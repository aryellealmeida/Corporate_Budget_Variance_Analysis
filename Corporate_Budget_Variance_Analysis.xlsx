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ryel_0b4\Downloads\"/>
    </mc:Choice>
  </mc:AlternateContent>
  <xr:revisionPtr revIDLastSave="0" documentId="13_ncr:1_{22FEB171-2D60-4653-A5CF-D609820B47E3}" xr6:coauthVersionLast="47" xr6:coauthVersionMax="47" xr10:uidLastSave="{00000000-0000-0000-0000-000000000000}"/>
  <bookViews>
    <workbookView xWindow="-120" yWindow="-120" windowWidth="20730" windowHeight="11160" activeTab="1" xr2:uid="{47DB4452-B5E6-4D71-BA55-C9E755E52EB2}"/>
  </bookViews>
  <sheets>
    <sheet name="Dashboard" sheetId="7" r:id="rId1"/>
    <sheet name="Insights" sheetId="16" r:id="rId2"/>
    <sheet name="Raw_Budget" sheetId="1" r:id="rId3"/>
    <sheet name="Raw_GeneralLedger" sheetId="2" r:id="rId4"/>
    <sheet name="Raw_ExpenseClaims" sheetId="3" r:id="rId5"/>
    <sheet name="Data Quality Check" sheetId="13" r:id="rId6"/>
    <sheet name="Exchange_Rates" sheetId="4" r:id="rId7"/>
    <sheet name="GL_Summary" sheetId="5" r:id="rId8"/>
    <sheet name="Variance_Analysis" sheetId="6" r:id="rId9"/>
    <sheet name="Pivot by Dept " sheetId="8" r:id="rId10"/>
    <sheet name="Pivot Trend" sheetId="9" r:id="rId11"/>
    <sheet name="Pivot Ranking" sheetId="10" r:id="rId12"/>
    <sheet name="Pivot ExpensebyCat" sheetId="12" r:id="rId13"/>
  </sheets>
  <externalReferences>
    <externalReference r:id="rId14"/>
  </externalReferences>
  <definedNames>
    <definedName name="Slicer_Dept">#N/A</definedName>
    <definedName name="Slicer_Fiscal_Year">#N/A</definedName>
    <definedName name="Slicer_Quarter">#N/A</definedName>
  </definedNames>
  <calcPr calcId="191029"/>
  <pivotCaches>
    <pivotCache cacheId="7" r:id="rId15"/>
    <pivotCache cacheId="14" r:id="rId16"/>
    <pivotCache cacheId="18"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6" i="13" l="1"/>
  <c r="B5" i="13"/>
  <c r="B4" i="13"/>
  <c r="B3" i="13" a="1"/>
  <c r="B2" i="13" a="1"/>
  <c r="B1" i="1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2" i="3"/>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2" i="6"/>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2" i="5"/>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2" i="6"/>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2" i="1"/>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2" i="5"/>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K3" i="2"/>
  <c r="L3" i="2" s="1"/>
  <c r="K4" i="2"/>
  <c r="L4" i="2" s="1"/>
  <c r="K5" i="2"/>
  <c r="L5" i="2" s="1"/>
  <c r="K6" i="2"/>
  <c r="L6" i="2" s="1"/>
  <c r="K7" i="2"/>
  <c r="L7" i="2" s="1"/>
  <c r="K8" i="2"/>
  <c r="L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L72" i="2" s="1"/>
  <c r="K73" i="2"/>
  <c r="L73" i="2" s="1"/>
  <c r="K74" i="2"/>
  <c r="L74" i="2" s="1"/>
  <c r="K75" i="2"/>
  <c r="L75" i="2" s="1"/>
  <c r="K76" i="2"/>
  <c r="L76" i="2" s="1"/>
  <c r="K77" i="2"/>
  <c r="L77" i="2" s="1"/>
  <c r="K78" i="2"/>
  <c r="L78" i="2" s="1"/>
  <c r="K79" i="2"/>
  <c r="L79" i="2" s="1"/>
  <c r="K80" i="2"/>
  <c r="L80" i="2" s="1"/>
  <c r="K81" i="2"/>
  <c r="L81" i="2" s="1"/>
  <c r="K82" i="2"/>
  <c r="L82" i="2" s="1"/>
  <c r="K83" i="2"/>
  <c r="L83" i="2" s="1"/>
  <c r="K84" i="2"/>
  <c r="L84" i="2" s="1"/>
  <c r="K85" i="2"/>
  <c r="L85" i="2" s="1"/>
  <c r="K86" i="2"/>
  <c r="L86" i="2" s="1"/>
  <c r="K87" i="2"/>
  <c r="L87" i="2" s="1"/>
  <c r="K88" i="2"/>
  <c r="L88" i="2" s="1"/>
  <c r="K89" i="2"/>
  <c r="L89" i="2" s="1"/>
  <c r="K90" i="2"/>
  <c r="L90" i="2" s="1"/>
  <c r="K91" i="2"/>
  <c r="L91" i="2" s="1"/>
  <c r="K92" i="2"/>
  <c r="L92" i="2" s="1"/>
  <c r="K93" i="2"/>
  <c r="L93" i="2" s="1"/>
  <c r="K94" i="2"/>
  <c r="L94" i="2" s="1"/>
  <c r="K95" i="2"/>
  <c r="L95" i="2" s="1"/>
  <c r="K96" i="2"/>
  <c r="L96" i="2" s="1"/>
  <c r="K97" i="2"/>
  <c r="L97" i="2" s="1"/>
  <c r="K98" i="2"/>
  <c r="L98" i="2" s="1"/>
  <c r="K99" i="2"/>
  <c r="L99" i="2" s="1"/>
  <c r="K100" i="2"/>
  <c r="L100" i="2" s="1"/>
  <c r="K101" i="2"/>
  <c r="L101" i="2" s="1"/>
  <c r="K102" i="2"/>
  <c r="L102" i="2" s="1"/>
  <c r="K103" i="2"/>
  <c r="L103" i="2" s="1"/>
  <c r="K104" i="2"/>
  <c r="L104" i="2" s="1"/>
  <c r="K105" i="2"/>
  <c r="L105" i="2" s="1"/>
  <c r="K106" i="2"/>
  <c r="L106" i="2" s="1"/>
  <c r="K107" i="2"/>
  <c r="L107" i="2" s="1"/>
  <c r="K108" i="2"/>
  <c r="L108" i="2" s="1"/>
  <c r="K109" i="2"/>
  <c r="L109" i="2" s="1"/>
  <c r="K110" i="2"/>
  <c r="L110" i="2" s="1"/>
  <c r="K111" i="2"/>
  <c r="L111" i="2" s="1"/>
  <c r="K112" i="2"/>
  <c r="L112" i="2" s="1"/>
  <c r="K113" i="2"/>
  <c r="L113" i="2" s="1"/>
  <c r="K114" i="2"/>
  <c r="L114" i="2" s="1"/>
  <c r="K115" i="2"/>
  <c r="L115" i="2" s="1"/>
  <c r="K116" i="2"/>
  <c r="L116" i="2" s="1"/>
  <c r="K117" i="2"/>
  <c r="L117" i="2" s="1"/>
  <c r="K118" i="2"/>
  <c r="L118" i="2" s="1"/>
  <c r="K119" i="2"/>
  <c r="L119" i="2" s="1"/>
  <c r="K120" i="2"/>
  <c r="L120" i="2" s="1"/>
  <c r="K121" i="2"/>
  <c r="L121" i="2" s="1"/>
  <c r="K122" i="2"/>
  <c r="L122" i="2" s="1"/>
  <c r="K123" i="2"/>
  <c r="L123" i="2" s="1"/>
  <c r="K124" i="2"/>
  <c r="L124" i="2" s="1"/>
  <c r="K125" i="2"/>
  <c r="L125" i="2" s="1"/>
  <c r="K126" i="2"/>
  <c r="L126" i="2" s="1"/>
  <c r="K127" i="2"/>
  <c r="L127" i="2" s="1"/>
  <c r="K128" i="2"/>
  <c r="L128" i="2" s="1"/>
  <c r="K129" i="2"/>
  <c r="L129" i="2" s="1"/>
  <c r="K130" i="2"/>
  <c r="L130" i="2" s="1"/>
  <c r="K131" i="2"/>
  <c r="L131" i="2" s="1"/>
  <c r="K132" i="2"/>
  <c r="L132" i="2" s="1"/>
  <c r="K133" i="2"/>
  <c r="L133" i="2" s="1"/>
  <c r="K134" i="2"/>
  <c r="L134" i="2" s="1"/>
  <c r="K135" i="2"/>
  <c r="L135" i="2" s="1"/>
  <c r="K136" i="2"/>
  <c r="L136" i="2" s="1"/>
  <c r="K137" i="2"/>
  <c r="L137" i="2" s="1"/>
  <c r="K138" i="2"/>
  <c r="L138" i="2" s="1"/>
  <c r="K139" i="2"/>
  <c r="L139" i="2" s="1"/>
  <c r="K140" i="2"/>
  <c r="L140" i="2" s="1"/>
  <c r="K141" i="2"/>
  <c r="L141" i="2" s="1"/>
  <c r="K142" i="2"/>
  <c r="L142" i="2" s="1"/>
  <c r="K143" i="2"/>
  <c r="L143" i="2" s="1"/>
  <c r="K144" i="2"/>
  <c r="L144" i="2" s="1"/>
  <c r="K145" i="2"/>
  <c r="L145" i="2" s="1"/>
  <c r="K146" i="2"/>
  <c r="L146" i="2" s="1"/>
  <c r="K147" i="2"/>
  <c r="L147" i="2" s="1"/>
  <c r="K148" i="2"/>
  <c r="L148" i="2" s="1"/>
  <c r="K149" i="2"/>
  <c r="L149" i="2" s="1"/>
  <c r="K150" i="2"/>
  <c r="L150" i="2" s="1"/>
  <c r="K151" i="2"/>
  <c r="L151" i="2" s="1"/>
  <c r="K152" i="2"/>
  <c r="L152" i="2" s="1"/>
  <c r="K153" i="2"/>
  <c r="L153" i="2" s="1"/>
  <c r="K154" i="2"/>
  <c r="L154" i="2" s="1"/>
  <c r="K155" i="2"/>
  <c r="L155" i="2" s="1"/>
  <c r="K156" i="2"/>
  <c r="L156" i="2" s="1"/>
  <c r="K157" i="2"/>
  <c r="L157" i="2" s="1"/>
  <c r="K158" i="2"/>
  <c r="L158" i="2" s="1"/>
  <c r="K159" i="2"/>
  <c r="L159" i="2" s="1"/>
  <c r="K160" i="2"/>
  <c r="L160" i="2" s="1"/>
  <c r="K161" i="2"/>
  <c r="L161" i="2" s="1"/>
  <c r="K162" i="2"/>
  <c r="L162" i="2" s="1"/>
  <c r="K163" i="2"/>
  <c r="L163" i="2" s="1"/>
  <c r="K164" i="2"/>
  <c r="L164" i="2" s="1"/>
  <c r="K165" i="2"/>
  <c r="L165" i="2" s="1"/>
  <c r="K166" i="2"/>
  <c r="L166" i="2" s="1"/>
  <c r="K167" i="2"/>
  <c r="L167" i="2" s="1"/>
  <c r="K168" i="2"/>
  <c r="L168" i="2" s="1"/>
  <c r="K169" i="2"/>
  <c r="L169" i="2" s="1"/>
  <c r="K170" i="2"/>
  <c r="L170" i="2" s="1"/>
  <c r="K171" i="2"/>
  <c r="L171" i="2" s="1"/>
  <c r="K172" i="2"/>
  <c r="L172" i="2" s="1"/>
  <c r="K173" i="2"/>
  <c r="L173" i="2" s="1"/>
  <c r="K174" i="2"/>
  <c r="L174" i="2" s="1"/>
  <c r="K175" i="2"/>
  <c r="L175" i="2" s="1"/>
  <c r="K176" i="2"/>
  <c r="L176" i="2" s="1"/>
  <c r="K177" i="2"/>
  <c r="L177" i="2" s="1"/>
  <c r="K178" i="2"/>
  <c r="L178" i="2" s="1"/>
  <c r="K179" i="2"/>
  <c r="L179" i="2" s="1"/>
  <c r="K180" i="2"/>
  <c r="L180" i="2" s="1"/>
  <c r="K181" i="2"/>
  <c r="L181" i="2" s="1"/>
  <c r="K182" i="2"/>
  <c r="L182" i="2" s="1"/>
  <c r="K183" i="2"/>
  <c r="L183" i="2" s="1"/>
  <c r="K184" i="2"/>
  <c r="L184" i="2" s="1"/>
  <c r="K185" i="2"/>
  <c r="L185" i="2" s="1"/>
  <c r="K186" i="2"/>
  <c r="L186" i="2" s="1"/>
  <c r="K187" i="2"/>
  <c r="L187" i="2" s="1"/>
  <c r="K188" i="2"/>
  <c r="L188" i="2" s="1"/>
  <c r="K189" i="2"/>
  <c r="L189" i="2" s="1"/>
  <c r="K190" i="2"/>
  <c r="L190" i="2" s="1"/>
  <c r="K191" i="2"/>
  <c r="L191" i="2" s="1"/>
  <c r="K192" i="2"/>
  <c r="L192" i="2" s="1"/>
  <c r="K193" i="2"/>
  <c r="L193" i="2" s="1"/>
  <c r="K194" i="2"/>
  <c r="L194" i="2" s="1"/>
  <c r="K195" i="2"/>
  <c r="L195" i="2" s="1"/>
  <c r="K196" i="2"/>
  <c r="L196" i="2" s="1"/>
  <c r="K197" i="2"/>
  <c r="L197" i="2" s="1"/>
  <c r="K198" i="2"/>
  <c r="L198" i="2" s="1"/>
  <c r="K199" i="2"/>
  <c r="L199" i="2" s="1"/>
  <c r="K200" i="2"/>
  <c r="L200" i="2" s="1"/>
  <c r="K201" i="2"/>
  <c r="L201" i="2" s="1"/>
  <c r="K202" i="2"/>
  <c r="L202" i="2" s="1"/>
  <c r="K203" i="2"/>
  <c r="L203" i="2" s="1"/>
  <c r="K204" i="2"/>
  <c r="L204" i="2" s="1"/>
  <c r="K205" i="2"/>
  <c r="L205" i="2" s="1"/>
  <c r="K206" i="2"/>
  <c r="L206" i="2" s="1"/>
  <c r="K207" i="2"/>
  <c r="L207" i="2" s="1"/>
  <c r="K208" i="2"/>
  <c r="L208" i="2" s="1"/>
  <c r="K209" i="2"/>
  <c r="L209" i="2" s="1"/>
  <c r="K210" i="2"/>
  <c r="L210" i="2" s="1"/>
  <c r="K211" i="2"/>
  <c r="L211" i="2" s="1"/>
  <c r="K212" i="2"/>
  <c r="L212" i="2" s="1"/>
  <c r="K213" i="2"/>
  <c r="L213" i="2" s="1"/>
  <c r="K214" i="2"/>
  <c r="L214" i="2" s="1"/>
  <c r="K215" i="2"/>
  <c r="L215" i="2" s="1"/>
  <c r="K216" i="2"/>
  <c r="L216" i="2" s="1"/>
  <c r="K217" i="2"/>
  <c r="L217" i="2" s="1"/>
  <c r="K218" i="2"/>
  <c r="L218" i="2" s="1"/>
  <c r="K219" i="2"/>
  <c r="L219" i="2" s="1"/>
  <c r="K220" i="2"/>
  <c r="L220" i="2" s="1"/>
  <c r="K221" i="2"/>
  <c r="L221" i="2" s="1"/>
  <c r="K222" i="2"/>
  <c r="L222" i="2" s="1"/>
  <c r="K223" i="2"/>
  <c r="L223" i="2" s="1"/>
  <c r="K224" i="2"/>
  <c r="L224" i="2" s="1"/>
  <c r="K225" i="2"/>
  <c r="L225" i="2" s="1"/>
  <c r="K226" i="2"/>
  <c r="L226" i="2" s="1"/>
  <c r="K227" i="2"/>
  <c r="L227" i="2" s="1"/>
  <c r="K228" i="2"/>
  <c r="L228" i="2" s="1"/>
  <c r="K229" i="2"/>
  <c r="L229" i="2" s="1"/>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M829" i="2" s="1"/>
  <c r="K830" i="2"/>
  <c r="M830" i="2" s="1"/>
  <c r="K831" i="2"/>
  <c r="M831" i="2" s="1"/>
  <c r="K832" i="2"/>
  <c r="M832" i="2" s="1"/>
  <c r="K833" i="2"/>
  <c r="M833" i="2" s="1"/>
  <c r="K834" i="2"/>
  <c r="M834" i="2" s="1"/>
  <c r="K835" i="2"/>
  <c r="M835" i="2" s="1"/>
  <c r="K836" i="2"/>
  <c r="M836" i="2" s="1"/>
  <c r="K837" i="2"/>
  <c r="M837" i="2" s="1"/>
  <c r="K838" i="2"/>
  <c r="M838" i="2" s="1"/>
  <c r="K839" i="2"/>
  <c r="M839" i="2" s="1"/>
  <c r="K840" i="2"/>
  <c r="M840" i="2" s="1"/>
  <c r="K841" i="2"/>
  <c r="M841" i="2" s="1"/>
  <c r="K842" i="2"/>
  <c r="M842" i="2" s="1"/>
  <c r="K843" i="2"/>
  <c r="M843" i="2" s="1"/>
  <c r="K844" i="2"/>
  <c r="M844" i="2" s="1"/>
  <c r="K845" i="2"/>
  <c r="M845" i="2" s="1"/>
  <c r="K846" i="2"/>
  <c r="M846" i="2" s="1"/>
  <c r="K847" i="2"/>
  <c r="M847" i="2" s="1"/>
  <c r="K848" i="2"/>
  <c r="M848" i="2" s="1"/>
  <c r="K849" i="2"/>
  <c r="M849" i="2" s="1"/>
  <c r="K850" i="2"/>
  <c r="M850" i="2" s="1"/>
  <c r="K851" i="2"/>
  <c r="M851" i="2" s="1"/>
  <c r="K852" i="2"/>
  <c r="M852" i="2" s="1"/>
  <c r="K853" i="2"/>
  <c r="M853" i="2" s="1"/>
  <c r="K854" i="2"/>
  <c r="M854" i="2" s="1"/>
  <c r="K855" i="2"/>
  <c r="M855" i="2" s="1"/>
  <c r="K856" i="2"/>
  <c r="M856" i="2" s="1"/>
  <c r="K857" i="2"/>
  <c r="M857" i="2" s="1"/>
  <c r="K858" i="2"/>
  <c r="M858" i="2" s="1"/>
  <c r="K859" i="2"/>
  <c r="M859" i="2" s="1"/>
  <c r="K860" i="2"/>
  <c r="M860" i="2" s="1"/>
  <c r="K861" i="2"/>
  <c r="M861" i="2" s="1"/>
  <c r="K862" i="2"/>
  <c r="M862" i="2" s="1"/>
  <c r="K863" i="2"/>
  <c r="M863" i="2" s="1"/>
  <c r="K864" i="2"/>
  <c r="M864" i="2" s="1"/>
  <c r="K865" i="2"/>
  <c r="M865" i="2" s="1"/>
  <c r="K866" i="2"/>
  <c r="M866" i="2" s="1"/>
  <c r="K867" i="2"/>
  <c r="M867" i="2" s="1"/>
  <c r="K868" i="2"/>
  <c r="M868" i="2" s="1"/>
  <c r="K869" i="2"/>
  <c r="M869" i="2" s="1"/>
  <c r="K870" i="2"/>
  <c r="M870" i="2" s="1"/>
  <c r="K871" i="2"/>
  <c r="M871" i="2" s="1"/>
  <c r="K872" i="2"/>
  <c r="M872" i="2" s="1"/>
  <c r="K873" i="2"/>
  <c r="M873" i="2" s="1"/>
  <c r="K874" i="2"/>
  <c r="M874" i="2" s="1"/>
  <c r="K875" i="2"/>
  <c r="M875" i="2" s="1"/>
  <c r="K876" i="2"/>
  <c r="M876" i="2" s="1"/>
  <c r="K877" i="2"/>
  <c r="M877" i="2" s="1"/>
  <c r="K878" i="2"/>
  <c r="M878" i="2" s="1"/>
  <c r="K879" i="2"/>
  <c r="M879" i="2" s="1"/>
  <c r="K880" i="2"/>
  <c r="M880" i="2" s="1"/>
  <c r="K881" i="2"/>
  <c r="M881" i="2" s="1"/>
  <c r="K882" i="2"/>
  <c r="M882" i="2" s="1"/>
  <c r="K883" i="2"/>
  <c r="M883" i="2" s="1"/>
  <c r="K884" i="2"/>
  <c r="M884" i="2" s="1"/>
  <c r="K885" i="2"/>
  <c r="M885" i="2" s="1"/>
  <c r="K886" i="2"/>
  <c r="M886" i="2" s="1"/>
  <c r="K887" i="2"/>
  <c r="M887" i="2" s="1"/>
  <c r="K888" i="2"/>
  <c r="M888" i="2" s="1"/>
  <c r="K889" i="2"/>
  <c r="M889" i="2" s="1"/>
  <c r="K890" i="2"/>
  <c r="M890" i="2" s="1"/>
  <c r="K891" i="2"/>
  <c r="M891" i="2" s="1"/>
  <c r="K892" i="2"/>
  <c r="M892" i="2" s="1"/>
  <c r="K893" i="2"/>
  <c r="M893" i="2" s="1"/>
  <c r="K894" i="2"/>
  <c r="M894" i="2" s="1"/>
  <c r="K895" i="2"/>
  <c r="M895" i="2" s="1"/>
  <c r="K896" i="2"/>
  <c r="M896" i="2" s="1"/>
  <c r="K897" i="2"/>
  <c r="M897" i="2" s="1"/>
  <c r="K898" i="2"/>
  <c r="M898" i="2" s="1"/>
  <c r="K899" i="2"/>
  <c r="M899" i="2" s="1"/>
  <c r="K900" i="2"/>
  <c r="M900" i="2" s="1"/>
  <c r="K901" i="2"/>
  <c r="M901" i="2" s="1"/>
  <c r="K902" i="2"/>
  <c r="M902" i="2" s="1"/>
  <c r="K903" i="2"/>
  <c r="M903" i="2" s="1"/>
  <c r="K904" i="2"/>
  <c r="M904" i="2" s="1"/>
  <c r="K905" i="2"/>
  <c r="M905" i="2" s="1"/>
  <c r="K906" i="2"/>
  <c r="M906" i="2" s="1"/>
  <c r="K907" i="2"/>
  <c r="M907" i="2" s="1"/>
  <c r="K908" i="2"/>
  <c r="M908" i="2" s="1"/>
  <c r="K909" i="2"/>
  <c r="M909" i="2" s="1"/>
  <c r="K910" i="2"/>
  <c r="M910" i="2" s="1"/>
  <c r="K911" i="2"/>
  <c r="M911" i="2" s="1"/>
  <c r="K912" i="2"/>
  <c r="M912" i="2" s="1"/>
  <c r="K913" i="2"/>
  <c r="M913" i="2" s="1"/>
  <c r="K914" i="2"/>
  <c r="M914" i="2" s="1"/>
  <c r="K915" i="2"/>
  <c r="M915" i="2" s="1"/>
  <c r="K916" i="2"/>
  <c r="M916" i="2" s="1"/>
  <c r="K917" i="2"/>
  <c r="M917" i="2" s="1"/>
  <c r="K918" i="2"/>
  <c r="M918" i="2" s="1"/>
  <c r="K919" i="2"/>
  <c r="M919" i="2" s="1"/>
  <c r="K920" i="2"/>
  <c r="M920" i="2" s="1"/>
  <c r="K921" i="2"/>
  <c r="M921" i="2" s="1"/>
  <c r="K922" i="2"/>
  <c r="M922" i="2" s="1"/>
  <c r="K923" i="2"/>
  <c r="M923" i="2" s="1"/>
  <c r="K924" i="2"/>
  <c r="M924" i="2" s="1"/>
  <c r="K925" i="2"/>
  <c r="M925" i="2" s="1"/>
  <c r="K926" i="2"/>
  <c r="M926" i="2" s="1"/>
  <c r="K927" i="2"/>
  <c r="M927" i="2" s="1"/>
  <c r="K928" i="2"/>
  <c r="M928" i="2" s="1"/>
  <c r="K929" i="2"/>
  <c r="M929" i="2" s="1"/>
  <c r="K930" i="2"/>
  <c r="M930" i="2" s="1"/>
  <c r="K931" i="2"/>
  <c r="M931" i="2" s="1"/>
  <c r="K932" i="2"/>
  <c r="M932" i="2" s="1"/>
  <c r="K933" i="2"/>
  <c r="M933" i="2" s="1"/>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M1834" i="2" s="1"/>
  <c r="K1835" i="2"/>
  <c r="M1835" i="2" s="1"/>
  <c r="K1836" i="2"/>
  <c r="M1836" i="2" s="1"/>
  <c r="K1837" i="2"/>
  <c r="M1837" i="2" s="1"/>
  <c r="K1838" i="2"/>
  <c r="M1838" i="2" s="1"/>
  <c r="K1839" i="2"/>
  <c r="M1839" i="2" s="1"/>
  <c r="K1840" i="2"/>
  <c r="M1840" i="2" s="1"/>
  <c r="K1841" i="2"/>
  <c r="M1841" i="2" s="1"/>
  <c r="K1842" i="2"/>
  <c r="M1842" i="2" s="1"/>
  <c r="K1843" i="2"/>
  <c r="M1843" i="2" s="1"/>
  <c r="K1844" i="2"/>
  <c r="M1844" i="2" s="1"/>
  <c r="K1845" i="2"/>
  <c r="M1845" i="2" s="1"/>
  <c r="K1846" i="2"/>
  <c r="M1846" i="2" s="1"/>
  <c r="K1847" i="2"/>
  <c r="M1847" i="2" s="1"/>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 i="2"/>
  <c r="L230" i="2" l="1"/>
  <c r="M230" i="2"/>
  <c r="L231" i="2"/>
  <c r="M231" i="2"/>
  <c r="L232" i="2"/>
  <c r="M232" i="2"/>
  <c r="L233" i="2"/>
  <c r="M233" i="2"/>
  <c r="M234" i="2"/>
  <c r="L234" i="2"/>
  <c r="L235" i="2"/>
  <c r="M235" i="2"/>
  <c r="M236" i="2"/>
  <c r="L236" i="2"/>
  <c r="M237" i="2"/>
  <c r="L237" i="2"/>
  <c r="M238" i="2"/>
  <c r="L238" i="2"/>
  <c r="L239" i="2"/>
  <c r="M239" i="2"/>
  <c r="M240" i="2"/>
  <c r="L240" i="2"/>
  <c r="M241" i="2"/>
  <c r="L241" i="2"/>
  <c r="L242" i="2"/>
  <c r="M242" i="2"/>
  <c r="L243" i="2"/>
  <c r="M243" i="2"/>
  <c r="L244" i="2"/>
  <c r="M244" i="2"/>
  <c r="L245" i="2"/>
  <c r="M245" i="2"/>
  <c r="M246" i="2"/>
  <c r="L246" i="2"/>
  <c r="L247" i="2"/>
  <c r="M247" i="2"/>
  <c r="L248" i="2"/>
  <c r="M248" i="2"/>
  <c r="M249" i="2"/>
  <c r="L249" i="2"/>
  <c r="M250" i="2"/>
  <c r="L250" i="2"/>
  <c r="M251" i="2"/>
  <c r="L251" i="2"/>
  <c r="M252" i="2"/>
  <c r="L252" i="2"/>
  <c r="M253" i="2"/>
  <c r="L253" i="2"/>
  <c r="M254" i="2"/>
  <c r="L254" i="2"/>
  <c r="M255" i="2"/>
  <c r="L255" i="2"/>
  <c r="M256" i="2"/>
  <c r="L256" i="2"/>
  <c r="M257" i="2"/>
  <c r="L257" i="2"/>
  <c r="L258" i="2"/>
  <c r="M258" i="2"/>
  <c r="L259" i="2"/>
  <c r="M259" i="2"/>
  <c r="L260" i="2"/>
  <c r="M260" i="2"/>
  <c r="L261" i="2"/>
  <c r="M261" i="2"/>
  <c r="L262" i="2"/>
  <c r="M262" i="2"/>
  <c r="L263" i="2"/>
  <c r="M263" i="2"/>
  <c r="L264" i="2"/>
  <c r="M264" i="2"/>
  <c r="L265" i="2"/>
  <c r="M265" i="2"/>
  <c r="L266" i="2"/>
  <c r="M266" i="2"/>
  <c r="M267" i="2"/>
  <c r="L267" i="2"/>
  <c r="M268" i="2"/>
  <c r="L268" i="2"/>
  <c r="M269" i="2"/>
  <c r="L269" i="2"/>
  <c r="M270" i="2"/>
  <c r="L270" i="2"/>
  <c r="L271" i="2"/>
  <c r="M271" i="2"/>
  <c r="L272" i="2"/>
  <c r="M272" i="2"/>
  <c r="L273" i="2"/>
  <c r="M273" i="2"/>
  <c r="M274" i="2"/>
  <c r="L274" i="2"/>
  <c r="L275" i="2"/>
  <c r="M275" i="2"/>
  <c r="M276" i="2"/>
  <c r="L276" i="2"/>
  <c r="L277" i="2"/>
  <c r="M277" i="2"/>
  <c r="M278" i="2"/>
  <c r="L278" i="2"/>
  <c r="M279" i="2"/>
  <c r="L279" i="2"/>
  <c r="L280" i="2"/>
  <c r="M280" i="2"/>
  <c r="M281" i="2"/>
  <c r="L281" i="2"/>
  <c r="L282" i="2"/>
  <c r="M282" i="2"/>
  <c r="L283" i="2"/>
  <c r="M283" i="2"/>
  <c r="L284" i="2"/>
  <c r="M284" i="2"/>
  <c r="M285" i="2"/>
  <c r="L285" i="2"/>
  <c r="L286" i="2"/>
  <c r="M286" i="2"/>
  <c r="M287" i="2"/>
  <c r="L287" i="2"/>
  <c r="M288" i="2"/>
  <c r="L288" i="2"/>
  <c r="M289" i="2"/>
  <c r="L289" i="2"/>
  <c r="M290" i="2"/>
  <c r="L290" i="2"/>
  <c r="L291" i="2"/>
  <c r="M291" i="2"/>
  <c r="M292" i="2"/>
  <c r="L292" i="2"/>
  <c r="L293" i="2"/>
  <c r="M293" i="2"/>
  <c r="L294" i="2"/>
  <c r="M294" i="2"/>
  <c r="L295" i="2"/>
  <c r="M295" i="2"/>
  <c r="M296" i="2"/>
  <c r="L296" i="2"/>
  <c r="M297" i="2"/>
  <c r="L297" i="2"/>
  <c r="M298" i="2"/>
  <c r="L298" i="2"/>
  <c r="M299" i="2"/>
  <c r="L299" i="2"/>
  <c r="M300" i="2"/>
  <c r="L300" i="2"/>
  <c r="M301" i="2"/>
  <c r="L301" i="2"/>
  <c r="M302" i="2"/>
  <c r="L302" i="2"/>
  <c r="M303" i="2"/>
  <c r="L303" i="2"/>
  <c r="M304" i="2"/>
  <c r="L304" i="2"/>
  <c r="L305" i="2"/>
  <c r="M305" i="2"/>
  <c r="L306" i="2"/>
  <c r="M306" i="2"/>
  <c r="L307" i="2"/>
  <c r="M307" i="2"/>
  <c r="L308" i="2"/>
  <c r="M308" i="2"/>
  <c r="L309" i="2"/>
  <c r="M309" i="2"/>
  <c r="L310" i="2"/>
  <c r="M310" i="2"/>
  <c r="L311" i="2"/>
  <c r="M311" i="2"/>
  <c r="M312" i="2"/>
  <c r="L312" i="2"/>
  <c r="L313" i="2"/>
  <c r="M313" i="2"/>
  <c r="M314" i="2"/>
  <c r="L314" i="2"/>
  <c r="L315" i="2"/>
  <c r="M315" i="2"/>
  <c r="L316" i="2"/>
  <c r="M316" i="2"/>
  <c r="L317" i="2"/>
  <c r="M317" i="2"/>
  <c r="M318" i="2"/>
  <c r="L318" i="2"/>
  <c r="M319" i="2"/>
  <c r="L319" i="2"/>
  <c r="L320" i="2"/>
  <c r="M320" i="2"/>
  <c r="L321" i="2"/>
  <c r="M321" i="2"/>
  <c r="M322" i="2"/>
  <c r="L322" i="2"/>
  <c r="M323" i="2"/>
  <c r="L323" i="2"/>
  <c r="M324" i="2"/>
  <c r="L324" i="2"/>
  <c r="L325" i="2"/>
  <c r="M325" i="2"/>
  <c r="L326" i="2"/>
  <c r="M326" i="2"/>
  <c r="M327" i="2"/>
  <c r="L327" i="2"/>
  <c r="M328" i="2"/>
  <c r="L328" i="2"/>
  <c r="M329" i="2"/>
  <c r="L329" i="2"/>
  <c r="L330" i="2"/>
  <c r="M330" i="2"/>
  <c r="M331" i="2"/>
  <c r="L331" i="2"/>
  <c r="M332" i="2"/>
  <c r="L332" i="2"/>
  <c r="M333" i="2"/>
  <c r="L333" i="2"/>
  <c r="L334" i="2"/>
  <c r="M334" i="2"/>
  <c r="L335" i="2"/>
  <c r="M335" i="2"/>
  <c r="M336" i="2"/>
  <c r="L336" i="2"/>
  <c r="M337" i="2"/>
  <c r="L337" i="2"/>
  <c r="L338" i="2"/>
  <c r="M338" i="2"/>
  <c r="L339" i="2"/>
  <c r="M339" i="2"/>
  <c r="L340" i="2"/>
  <c r="M340" i="2"/>
  <c r="L341" i="2"/>
  <c r="M341" i="2"/>
  <c r="L342" i="2"/>
  <c r="M342" i="2"/>
  <c r="M343" i="2"/>
  <c r="L343" i="2"/>
  <c r="L344" i="2"/>
  <c r="M344" i="2"/>
  <c r="L345" i="2"/>
  <c r="M345" i="2"/>
  <c r="L346" i="2"/>
  <c r="M346" i="2"/>
  <c r="L347" i="2"/>
  <c r="M347" i="2"/>
  <c r="L348" i="2"/>
  <c r="M348" i="2"/>
  <c r="L349" i="2"/>
  <c r="M349" i="2"/>
  <c r="L350" i="2"/>
  <c r="M350" i="2"/>
  <c r="L351" i="2"/>
  <c r="M351" i="2"/>
  <c r="L352" i="2"/>
  <c r="M352" i="2"/>
  <c r="M353" i="2"/>
  <c r="L353" i="2"/>
  <c r="L354" i="2"/>
  <c r="M354" i="2"/>
  <c r="L355" i="2"/>
  <c r="M355" i="2"/>
  <c r="L356" i="2"/>
  <c r="M356" i="2"/>
  <c r="L357" i="2"/>
  <c r="M357" i="2"/>
  <c r="M358" i="2"/>
  <c r="L358" i="2"/>
  <c r="M359" i="2"/>
  <c r="L359" i="2"/>
  <c r="M360" i="2"/>
  <c r="L360" i="2"/>
  <c r="L361" i="2"/>
  <c r="M361" i="2"/>
  <c r="L362" i="2"/>
  <c r="M362" i="2"/>
  <c r="L363" i="2"/>
  <c r="M363" i="2"/>
  <c r="M364" i="2"/>
  <c r="L364" i="2"/>
  <c r="L365" i="2"/>
  <c r="M365" i="2"/>
  <c r="M366" i="2"/>
  <c r="L366" i="2"/>
  <c r="M367" i="2"/>
  <c r="L367" i="2"/>
  <c r="M368" i="2"/>
  <c r="L368" i="2"/>
  <c r="M369" i="2"/>
  <c r="L369" i="2"/>
  <c r="M370" i="2"/>
  <c r="L370" i="2"/>
  <c r="M371" i="2"/>
  <c r="L371" i="2"/>
  <c r="M372" i="2"/>
  <c r="L372" i="2"/>
  <c r="M373" i="2"/>
  <c r="L373" i="2"/>
  <c r="M374" i="2"/>
  <c r="L374" i="2"/>
  <c r="M375" i="2"/>
  <c r="L375" i="2"/>
  <c r="M376" i="2"/>
  <c r="L376" i="2"/>
  <c r="M377" i="2"/>
  <c r="L377" i="2"/>
  <c r="M378" i="2"/>
  <c r="L378" i="2"/>
  <c r="M379" i="2"/>
  <c r="L379" i="2"/>
  <c r="M380" i="2"/>
  <c r="L380" i="2"/>
  <c r="L381" i="2"/>
  <c r="M381" i="2"/>
  <c r="M382" i="2"/>
  <c r="L382" i="2"/>
  <c r="L383" i="2"/>
  <c r="M383" i="2"/>
  <c r="L384" i="2"/>
  <c r="M384" i="2"/>
  <c r="L385" i="2"/>
  <c r="M385" i="2"/>
  <c r="L386" i="2"/>
  <c r="M386" i="2"/>
  <c r="L387" i="2"/>
  <c r="M387" i="2"/>
  <c r="L388" i="2"/>
  <c r="M388" i="2"/>
  <c r="L389" i="2"/>
  <c r="M389" i="2"/>
  <c r="M390" i="2"/>
  <c r="L390" i="2"/>
  <c r="M391" i="2"/>
  <c r="L391" i="2"/>
  <c r="L392" i="2"/>
  <c r="M392" i="2"/>
  <c r="L393" i="2"/>
  <c r="M393" i="2"/>
  <c r="M394" i="2"/>
  <c r="L394" i="2"/>
  <c r="M395" i="2"/>
  <c r="L395" i="2"/>
  <c r="M396" i="2"/>
  <c r="L396" i="2"/>
  <c r="M397" i="2"/>
  <c r="L397" i="2"/>
  <c r="M398" i="2"/>
  <c r="L398" i="2"/>
  <c r="M399" i="2"/>
  <c r="L399" i="2"/>
  <c r="L400" i="2"/>
  <c r="M400" i="2"/>
  <c r="L401" i="2"/>
  <c r="M401" i="2"/>
  <c r="L402" i="2"/>
  <c r="M402" i="2"/>
  <c r="L403" i="2"/>
  <c r="M403" i="2"/>
  <c r="L404" i="2"/>
  <c r="M404" i="2"/>
  <c r="L405" i="2"/>
  <c r="M405" i="2"/>
  <c r="L406" i="2"/>
  <c r="M406" i="2"/>
  <c r="L407" i="2"/>
  <c r="M407" i="2"/>
  <c r="L408" i="2"/>
  <c r="M408" i="2"/>
  <c r="M409" i="2"/>
  <c r="L409" i="2"/>
  <c r="M410" i="2"/>
  <c r="L410" i="2"/>
  <c r="M411" i="2"/>
  <c r="L411" i="2"/>
  <c r="M412" i="2"/>
  <c r="L412" i="2"/>
  <c r="L413" i="2"/>
  <c r="M413" i="2"/>
  <c r="M414" i="2"/>
  <c r="L414" i="2"/>
  <c r="L415" i="2"/>
  <c r="M415" i="2"/>
  <c r="L416" i="2"/>
  <c r="M416" i="2"/>
  <c r="M417" i="2"/>
  <c r="L417" i="2"/>
  <c r="L418" i="2"/>
  <c r="M418" i="2"/>
  <c r="L419" i="2"/>
  <c r="M419" i="2"/>
  <c r="M420" i="2"/>
  <c r="L420" i="2"/>
  <c r="L421" i="2"/>
  <c r="M421" i="2"/>
  <c r="L422" i="2"/>
  <c r="M422" i="2"/>
  <c r="L423" i="2"/>
  <c r="M423" i="2"/>
  <c r="M424" i="2"/>
  <c r="L424" i="2"/>
  <c r="L425" i="2"/>
  <c r="M425" i="2"/>
  <c r="L426" i="2"/>
  <c r="M426" i="2"/>
  <c r="L427" i="2"/>
  <c r="M427" i="2"/>
  <c r="L428" i="2"/>
  <c r="M428" i="2"/>
  <c r="L429" i="2"/>
  <c r="M429" i="2"/>
  <c r="L430" i="2"/>
  <c r="M430" i="2"/>
  <c r="L431" i="2"/>
  <c r="M431" i="2"/>
  <c r="M432" i="2"/>
  <c r="L432" i="2"/>
  <c r="L433" i="2"/>
  <c r="M433" i="2"/>
  <c r="M434" i="2"/>
  <c r="L434" i="2"/>
  <c r="L435" i="2"/>
  <c r="M435" i="2"/>
  <c r="M436" i="2"/>
  <c r="L436" i="2"/>
  <c r="L437" i="2"/>
  <c r="M437" i="2"/>
  <c r="L438" i="2"/>
  <c r="M438" i="2"/>
  <c r="L439" i="2"/>
  <c r="M439" i="2"/>
  <c r="L440" i="2"/>
  <c r="M440" i="2"/>
  <c r="L441" i="2"/>
  <c r="M441" i="2"/>
  <c r="L442" i="2"/>
  <c r="M442" i="2"/>
  <c r="L443" i="2"/>
  <c r="M443" i="2"/>
  <c r="L444" i="2"/>
  <c r="M444" i="2"/>
  <c r="L445" i="2"/>
  <c r="M445" i="2"/>
  <c r="M446" i="2"/>
  <c r="L446" i="2"/>
  <c r="L447" i="2"/>
  <c r="M447" i="2"/>
  <c r="M448" i="2"/>
  <c r="L448" i="2"/>
  <c r="L449" i="2"/>
  <c r="M449" i="2"/>
  <c r="L450" i="2"/>
  <c r="M450" i="2"/>
  <c r="M451" i="2"/>
  <c r="L451" i="2"/>
  <c r="M452" i="2"/>
  <c r="L452" i="2"/>
  <c r="L453" i="2"/>
  <c r="M453" i="2"/>
  <c r="M454" i="2"/>
  <c r="L454" i="2"/>
  <c r="M455" i="2"/>
  <c r="L455" i="2"/>
  <c r="M456" i="2"/>
  <c r="L456" i="2"/>
  <c r="M457" i="2"/>
  <c r="L457" i="2"/>
  <c r="L458" i="2"/>
  <c r="M458" i="2"/>
  <c r="L459" i="2"/>
  <c r="M459" i="2"/>
  <c r="L460" i="2"/>
  <c r="M460" i="2"/>
  <c r="L461" i="2"/>
  <c r="M461" i="2"/>
  <c r="L462" i="2"/>
  <c r="M462" i="2"/>
  <c r="L463" i="2"/>
  <c r="M463" i="2"/>
  <c r="M464" i="2"/>
  <c r="L464" i="2"/>
  <c r="L465" i="2"/>
  <c r="M465" i="2"/>
  <c r="M466" i="2"/>
  <c r="L466" i="2"/>
  <c r="L467" i="2"/>
  <c r="M467" i="2"/>
  <c r="L468" i="2"/>
  <c r="M468" i="2"/>
  <c r="L469" i="2"/>
  <c r="M469" i="2"/>
  <c r="L470" i="2"/>
  <c r="M470" i="2"/>
  <c r="M471" i="2"/>
  <c r="L471" i="2"/>
  <c r="M472" i="2"/>
  <c r="L472" i="2"/>
  <c r="M473" i="2"/>
  <c r="L473" i="2"/>
  <c r="M474" i="2"/>
  <c r="L474" i="2"/>
  <c r="M475" i="2"/>
  <c r="L475" i="2"/>
  <c r="M476" i="2"/>
  <c r="L476" i="2"/>
  <c r="M477" i="2"/>
  <c r="L477" i="2"/>
  <c r="M478" i="2"/>
  <c r="L478" i="2"/>
  <c r="M479" i="2"/>
  <c r="L479" i="2"/>
  <c r="M480" i="2"/>
  <c r="L480" i="2"/>
  <c r="L481" i="2"/>
  <c r="M481" i="2"/>
  <c r="L482" i="2"/>
  <c r="M482" i="2"/>
  <c r="L483" i="2"/>
  <c r="M483" i="2"/>
  <c r="L484" i="2"/>
  <c r="M484" i="2"/>
  <c r="L485" i="2"/>
  <c r="M485" i="2"/>
  <c r="L486" i="2"/>
  <c r="M486" i="2"/>
  <c r="L487" i="2"/>
  <c r="M487" i="2"/>
  <c r="L488" i="2"/>
  <c r="M488" i="2"/>
  <c r="M489" i="2"/>
  <c r="L489" i="2"/>
  <c r="M490" i="2"/>
  <c r="L490" i="2"/>
  <c r="M491" i="2"/>
  <c r="L491" i="2"/>
  <c r="M492" i="2"/>
  <c r="L492" i="2"/>
  <c r="M493" i="2"/>
  <c r="L493" i="2"/>
  <c r="M494" i="2"/>
  <c r="L494" i="2"/>
  <c r="M495" i="2"/>
  <c r="L495" i="2"/>
  <c r="M496" i="2"/>
  <c r="L496" i="2"/>
  <c r="M497" i="2"/>
  <c r="L497" i="2"/>
  <c r="M498" i="2"/>
  <c r="L498" i="2"/>
  <c r="M499" i="2"/>
  <c r="L499" i="2"/>
  <c r="M500" i="2"/>
  <c r="L500" i="2"/>
  <c r="M501" i="2"/>
  <c r="L501" i="2"/>
  <c r="M502" i="2"/>
  <c r="L502" i="2"/>
  <c r="M503" i="2"/>
  <c r="L503" i="2"/>
  <c r="M504" i="2"/>
  <c r="L504" i="2"/>
  <c r="M505" i="2"/>
  <c r="L505" i="2"/>
  <c r="M506" i="2"/>
  <c r="L506" i="2"/>
  <c r="M507" i="2"/>
  <c r="L507" i="2"/>
  <c r="M508" i="2"/>
  <c r="L508" i="2"/>
  <c r="M509" i="2"/>
  <c r="L509" i="2"/>
  <c r="M510" i="2"/>
  <c r="L510" i="2"/>
  <c r="M511" i="2"/>
  <c r="L511" i="2"/>
  <c r="M512" i="2"/>
  <c r="L512" i="2"/>
  <c r="M513" i="2"/>
  <c r="L513" i="2"/>
  <c r="M514" i="2"/>
  <c r="L514" i="2"/>
  <c r="M515" i="2"/>
  <c r="L515" i="2"/>
  <c r="M516" i="2"/>
  <c r="L516" i="2"/>
  <c r="M517" i="2"/>
  <c r="L517" i="2"/>
  <c r="M518" i="2"/>
  <c r="L518" i="2"/>
  <c r="M519" i="2"/>
  <c r="L519" i="2"/>
  <c r="M520" i="2"/>
  <c r="L520" i="2"/>
  <c r="M521" i="2"/>
  <c r="L521" i="2"/>
  <c r="M522" i="2"/>
  <c r="L522" i="2"/>
  <c r="M523" i="2"/>
  <c r="L523" i="2"/>
  <c r="M524" i="2"/>
  <c r="L524" i="2"/>
  <c r="M525" i="2"/>
  <c r="L525" i="2"/>
  <c r="M526" i="2"/>
  <c r="L526" i="2"/>
  <c r="M527" i="2"/>
  <c r="L527" i="2"/>
  <c r="L528" i="2"/>
  <c r="M528" i="2"/>
  <c r="M529" i="2"/>
  <c r="L529" i="2"/>
  <c r="L530" i="2"/>
  <c r="M530" i="2"/>
  <c r="M531" i="2"/>
  <c r="L531" i="2"/>
  <c r="L532" i="2"/>
  <c r="M532" i="2"/>
  <c r="L533" i="2"/>
  <c r="M533" i="2"/>
  <c r="L534" i="2"/>
  <c r="M534" i="2"/>
  <c r="M535" i="2"/>
  <c r="L535" i="2"/>
  <c r="M536" i="2"/>
  <c r="L536" i="2"/>
  <c r="M537" i="2"/>
  <c r="L537" i="2"/>
  <c r="M538" i="2"/>
  <c r="L538" i="2"/>
  <c r="M539" i="2"/>
  <c r="L539" i="2"/>
  <c r="M540" i="2"/>
  <c r="L540" i="2"/>
  <c r="M541" i="2"/>
  <c r="L541" i="2"/>
  <c r="M542" i="2"/>
  <c r="L542" i="2"/>
  <c r="L543" i="2"/>
  <c r="M543" i="2"/>
  <c r="L544" i="2"/>
  <c r="M544" i="2"/>
  <c r="M545" i="2"/>
  <c r="L545" i="2"/>
  <c r="M546" i="2"/>
  <c r="L546" i="2"/>
  <c r="M547" i="2"/>
  <c r="L547" i="2"/>
  <c r="L548" i="2"/>
  <c r="M548" i="2"/>
  <c r="M549" i="2"/>
  <c r="L549" i="2"/>
  <c r="L550" i="2"/>
  <c r="M550" i="2"/>
  <c r="L551" i="2"/>
  <c r="M551" i="2"/>
  <c r="M552" i="2"/>
  <c r="L552" i="2"/>
  <c r="L553" i="2"/>
  <c r="M553" i="2"/>
  <c r="M554" i="2"/>
  <c r="L554" i="2"/>
  <c r="M555" i="2"/>
  <c r="L555" i="2"/>
  <c r="M556" i="2"/>
  <c r="L556" i="2"/>
  <c r="M557" i="2"/>
  <c r="L557" i="2"/>
  <c r="M558" i="2"/>
  <c r="L558" i="2"/>
  <c r="M559" i="2"/>
  <c r="L559" i="2"/>
  <c r="M560" i="2"/>
  <c r="L560" i="2"/>
  <c r="M561" i="2"/>
  <c r="L561" i="2"/>
  <c r="M562" i="2"/>
  <c r="L562" i="2"/>
  <c r="L563" i="2"/>
  <c r="M563" i="2"/>
  <c r="M564" i="2"/>
  <c r="L564" i="2"/>
  <c r="M565" i="2"/>
  <c r="L565" i="2"/>
  <c r="M566" i="2"/>
  <c r="L566" i="2"/>
  <c r="L567" i="2"/>
  <c r="M567" i="2"/>
  <c r="L568" i="2"/>
  <c r="M568" i="2"/>
  <c r="M569" i="2"/>
  <c r="L569" i="2"/>
  <c r="M570" i="2"/>
  <c r="L570" i="2"/>
  <c r="M571" i="2"/>
  <c r="L571" i="2"/>
  <c r="M572" i="2"/>
  <c r="L572" i="2"/>
  <c r="M573" i="2"/>
  <c r="L573" i="2"/>
  <c r="L574" i="2"/>
  <c r="M574" i="2"/>
  <c r="L575" i="2"/>
  <c r="M575" i="2"/>
  <c r="L576" i="2"/>
  <c r="M576" i="2"/>
  <c r="L577" i="2"/>
  <c r="M577" i="2"/>
  <c r="L578" i="2"/>
  <c r="M578" i="2"/>
  <c r="M579" i="2"/>
  <c r="L579" i="2"/>
  <c r="M580" i="2"/>
  <c r="L580" i="2"/>
  <c r="M581" i="2"/>
  <c r="L581" i="2"/>
  <c r="L582" i="2"/>
  <c r="M582" i="2"/>
  <c r="L583" i="2"/>
  <c r="M583" i="2"/>
  <c r="L584" i="2"/>
  <c r="M584" i="2"/>
  <c r="M585" i="2"/>
  <c r="L585" i="2"/>
  <c r="M586" i="2"/>
  <c r="L586" i="2"/>
  <c r="M587" i="2"/>
  <c r="L587" i="2"/>
  <c r="M588" i="2"/>
  <c r="L588" i="2"/>
  <c r="M589" i="2"/>
  <c r="L589" i="2"/>
  <c r="M590" i="2"/>
  <c r="L590" i="2"/>
  <c r="M591" i="2"/>
  <c r="L591" i="2"/>
  <c r="L592" i="2"/>
  <c r="M592" i="2"/>
  <c r="L593" i="2"/>
  <c r="M593" i="2"/>
  <c r="L594" i="2"/>
  <c r="M594" i="2"/>
  <c r="L595" i="2"/>
  <c r="M595" i="2"/>
  <c r="L596" i="2"/>
  <c r="M596" i="2"/>
  <c r="M597" i="2"/>
  <c r="L597" i="2"/>
  <c r="M598" i="2"/>
  <c r="L598" i="2"/>
  <c r="L599" i="2"/>
  <c r="M599" i="2"/>
  <c r="M600" i="2"/>
  <c r="L600" i="2"/>
  <c r="M601" i="2"/>
  <c r="L601" i="2"/>
  <c r="M602" i="2"/>
  <c r="L602" i="2"/>
  <c r="M603" i="2"/>
  <c r="L603" i="2"/>
  <c r="L604" i="2"/>
  <c r="M604" i="2"/>
  <c r="L605" i="2"/>
  <c r="M605" i="2"/>
  <c r="M606" i="2"/>
  <c r="L606" i="2"/>
  <c r="M607" i="2"/>
  <c r="L607" i="2"/>
  <c r="L608" i="2"/>
  <c r="M608" i="2"/>
  <c r="L609" i="2"/>
  <c r="M609" i="2"/>
  <c r="L610" i="2"/>
  <c r="M610" i="2"/>
  <c r="M611" i="2"/>
  <c r="L611" i="2"/>
  <c r="M612" i="2"/>
  <c r="L612" i="2"/>
  <c r="L613" i="2"/>
  <c r="M613" i="2"/>
  <c r="M614" i="2"/>
  <c r="L614" i="2"/>
  <c r="M615" i="2"/>
  <c r="L615" i="2"/>
  <c r="M616" i="2"/>
  <c r="L616" i="2"/>
  <c r="M617" i="2"/>
  <c r="L617" i="2"/>
  <c r="M618" i="2"/>
  <c r="L618" i="2"/>
  <c r="L619" i="2"/>
  <c r="M619" i="2"/>
  <c r="L620" i="2"/>
  <c r="M620" i="2"/>
  <c r="L621" i="2"/>
  <c r="M621" i="2"/>
  <c r="L622" i="2"/>
  <c r="M622" i="2"/>
  <c r="M623" i="2"/>
  <c r="L623" i="2"/>
  <c r="M624" i="2"/>
  <c r="L624" i="2"/>
  <c r="M625" i="2"/>
  <c r="L625" i="2"/>
  <c r="M626" i="2"/>
  <c r="L626" i="2"/>
  <c r="M627" i="2"/>
  <c r="L627" i="2"/>
  <c r="M628" i="2"/>
  <c r="L628" i="2"/>
  <c r="M629" i="2"/>
  <c r="L629" i="2"/>
  <c r="M630" i="2"/>
  <c r="L630" i="2"/>
  <c r="M631" i="2"/>
  <c r="L631" i="2"/>
  <c r="M632" i="2"/>
  <c r="L632" i="2"/>
  <c r="M633" i="2"/>
  <c r="L633" i="2"/>
  <c r="M634" i="2"/>
  <c r="L634" i="2"/>
  <c r="M635" i="2"/>
  <c r="L635" i="2"/>
  <c r="M636" i="2"/>
  <c r="L636" i="2"/>
  <c r="M637" i="2"/>
  <c r="L637" i="2"/>
  <c r="M638" i="2"/>
  <c r="L638" i="2"/>
  <c r="L639" i="2"/>
  <c r="M639" i="2"/>
  <c r="M640" i="2"/>
  <c r="L640" i="2"/>
  <c r="L641" i="2"/>
  <c r="M641" i="2"/>
  <c r="M642" i="2"/>
  <c r="L642" i="2"/>
  <c r="M643" i="2"/>
  <c r="L643" i="2"/>
  <c r="M644" i="2"/>
  <c r="L644" i="2"/>
  <c r="M645" i="2"/>
  <c r="L645" i="2"/>
  <c r="M646" i="2"/>
  <c r="L646" i="2"/>
  <c r="M647" i="2"/>
  <c r="L647" i="2"/>
  <c r="M648" i="2"/>
  <c r="L648" i="2"/>
  <c r="M649" i="2"/>
  <c r="L649" i="2"/>
  <c r="M650" i="2"/>
  <c r="L650" i="2"/>
  <c r="M651" i="2"/>
  <c r="L651" i="2"/>
  <c r="M652" i="2"/>
  <c r="L652" i="2"/>
  <c r="M653" i="2"/>
  <c r="L653" i="2"/>
  <c r="M654" i="2"/>
  <c r="L654" i="2"/>
  <c r="M655" i="2"/>
  <c r="L655" i="2"/>
  <c r="M656" i="2"/>
  <c r="L656" i="2"/>
  <c r="M657" i="2"/>
  <c r="L657" i="2"/>
  <c r="M658" i="2"/>
  <c r="L658" i="2"/>
  <c r="M659" i="2"/>
  <c r="L659" i="2"/>
  <c r="L660" i="2"/>
  <c r="M660" i="2"/>
  <c r="L661" i="2"/>
  <c r="M661" i="2"/>
  <c r="M662" i="2"/>
  <c r="L662" i="2"/>
  <c r="L663" i="2"/>
  <c r="M663" i="2"/>
  <c r="L664" i="2"/>
  <c r="M664" i="2"/>
  <c r="L665" i="2"/>
  <c r="M665" i="2"/>
  <c r="L666" i="2"/>
  <c r="M666" i="2"/>
  <c r="L667" i="2"/>
  <c r="M667" i="2"/>
  <c r="M668" i="2"/>
  <c r="L668" i="2"/>
  <c r="M669" i="2"/>
  <c r="L669" i="2"/>
  <c r="M670" i="2"/>
  <c r="L670" i="2"/>
  <c r="M671" i="2"/>
  <c r="L671" i="2"/>
  <c r="M672" i="2"/>
  <c r="L672" i="2"/>
  <c r="M673" i="2"/>
  <c r="L673" i="2"/>
  <c r="M674" i="2"/>
  <c r="L674" i="2"/>
  <c r="M675" i="2"/>
  <c r="L675" i="2"/>
  <c r="M676" i="2"/>
  <c r="L676" i="2"/>
  <c r="M677" i="2"/>
  <c r="L677" i="2"/>
  <c r="M678" i="2"/>
  <c r="L678" i="2"/>
  <c r="M679" i="2"/>
  <c r="L679" i="2"/>
  <c r="M680" i="2"/>
  <c r="L680" i="2"/>
  <c r="M681" i="2"/>
  <c r="L681" i="2"/>
  <c r="M682" i="2"/>
  <c r="L682" i="2"/>
  <c r="M683" i="2"/>
  <c r="L683" i="2"/>
  <c r="M684" i="2"/>
  <c r="L684" i="2"/>
  <c r="M685" i="2"/>
  <c r="L685" i="2"/>
  <c r="L934" i="2"/>
  <c r="M934" i="2"/>
  <c r="L935" i="2"/>
  <c r="M935" i="2"/>
  <c r="L936" i="2"/>
  <c r="M936" i="2"/>
  <c r="L937" i="2"/>
  <c r="M937" i="2"/>
  <c r="L938" i="2"/>
  <c r="M938" i="2"/>
  <c r="M939" i="2"/>
  <c r="L939" i="2"/>
  <c r="M940" i="2"/>
  <c r="L940" i="2"/>
  <c r="L941" i="2"/>
  <c r="M941" i="2"/>
  <c r="M942" i="2"/>
  <c r="L942" i="2"/>
  <c r="M943" i="2"/>
  <c r="L943" i="2"/>
  <c r="L944" i="2"/>
  <c r="M944" i="2"/>
  <c r="M945" i="2"/>
  <c r="L945" i="2"/>
  <c r="L946" i="2"/>
  <c r="M946" i="2"/>
  <c r="L947" i="2"/>
  <c r="M947" i="2"/>
  <c r="L948" i="2"/>
  <c r="M948" i="2"/>
  <c r="L949" i="2"/>
  <c r="M949" i="2"/>
  <c r="L950" i="2"/>
  <c r="M950" i="2"/>
  <c r="L951" i="2"/>
  <c r="M951" i="2"/>
  <c r="L952" i="2"/>
  <c r="M952" i="2"/>
  <c r="L953" i="2"/>
  <c r="M953" i="2"/>
  <c r="L954" i="2"/>
  <c r="M954" i="2"/>
  <c r="L955" i="2"/>
  <c r="M955" i="2"/>
  <c r="M956" i="2"/>
  <c r="L956" i="2"/>
  <c r="L957" i="2"/>
  <c r="M957" i="2"/>
  <c r="L958" i="2"/>
  <c r="M958" i="2"/>
  <c r="L959" i="2"/>
  <c r="M959" i="2"/>
  <c r="M960" i="2"/>
  <c r="L960" i="2"/>
  <c r="L961" i="2"/>
  <c r="M961" i="2"/>
  <c r="L962" i="2"/>
  <c r="M962" i="2"/>
  <c r="L963" i="2"/>
  <c r="M963" i="2"/>
  <c r="L964" i="2"/>
  <c r="M964" i="2"/>
  <c r="L965" i="2"/>
  <c r="M965" i="2"/>
  <c r="L966" i="2"/>
  <c r="M966" i="2"/>
  <c r="L967" i="2"/>
  <c r="M967" i="2"/>
  <c r="L968" i="2"/>
  <c r="M968" i="2"/>
  <c r="M969" i="2"/>
  <c r="L969" i="2"/>
  <c r="L970" i="2"/>
  <c r="M970" i="2"/>
  <c r="L971" i="2"/>
  <c r="M971" i="2"/>
  <c r="L972" i="2"/>
  <c r="M972" i="2"/>
  <c r="L973" i="2"/>
  <c r="M973" i="2"/>
  <c r="L974" i="2"/>
  <c r="M974" i="2"/>
  <c r="L975" i="2"/>
  <c r="M975" i="2"/>
  <c r="M976" i="2"/>
  <c r="L976" i="2"/>
  <c r="L977" i="2"/>
  <c r="M977" i="2"/>
  <c r="L978" i="2"/>
  <c r="M978" i="2"/>
  <c r="L979" i="2"/>
  <c r="M979" i="2"/>
  <c r="M980" i="2"/>
  <c r="L980" i="2"/>
  <c r="L981" i="2"/>
  <c r="M981" i="2"/>
  <c r="L982" i="2"/>
  <c r="M982" i="2"/>
  <c r="L983" i="2"/>
  <c r="M983" i="2"/>
  <c r="L984" i="2"/>
  <c r="M984" i="2"/>
  <c r="L985" i="2"/>
  <c r="M985" i="2"/>
  <c r="L986" i="2"/>
  <c r="M986" i="2"/>
  <c r="L987" i="2"/>
  <c r="M987" i="2"/>
  <c r="L988" i="2"/>
  <c r="M988" i="2"/>
  <c r="M989" i="2"/>
  <c r="L989" i="2"/>
  <c r="L990" i="2"/>
  <c r="M990" i="2"/>
  <c r="L991" i="2"/>
  <c r="M991" i="2"/>
  <c r="L992" i="2"/>
  <c r="M992" i="2"/>
  <c r="L993" i="2"/>
  <c r="M993" i="2"/>
  <c r="L994" i="2"/>
  <c r="M994" i="2"/>
  <c r="L995" i="2"/>
  <c r="M995" i="2"/>
  <c r="L996" i="2"/>
  <c r="M996" i="2"/>
  <c r="L997" i="2"/>
  <c r="M997" i="2"/>
  <c r="L998" i="2"/>
  <c r="M998" i="2"/>
  <c r="M999" i="2"/>
  <c r="L999" i="2"/>
  <c r="L1000" i="2"/>
  <c r="M1000" i="2"/>
  <c r="L1001" i="2"/>
  <c r="M1001" i="2"/>
  <c r="L1002" i="2"/>
  <c r="M1002" i="2"/>
  <c r="L1003" i="2"/>
  <c r="M1003" i="2"/>
  <c r="L1004" i="2"/>
  <c r="M1004" i="2"/>
  <c r="L1005" i="2"/>
  <c r="M1005" i="2"/>
  <c r="L1006" i="2"/>
  <c r="M1006" i="2"/>
  <c r="M1007" i="2"/>
  <c r="L1007" i="2"/>
  <c r="M1008" i="2"/>
  <c r="L1008" i="2"/>
  <c r="M1009" i="2"/>
  <c r="L1009" i="2"/>
  <c r="M1010" i="2"/>
  <c r="L1010" i="2"/>
  <c r="M1011" i="2"/>
  <c r="L1011" i="2"/>
  <c r="M1012" i="2"/>
  <c r="L1012" i="2"/>
  <c r="M1013" i="2"/>
  <c r="L1013" i="2"/>
  <c r="L1014" i="2"/>
  <c r="M1014" i="2"/>
  <c r="L1015" i="2"/>
  <c r="M1015" i="2"/>
  <c r="L1016" i="2"/>
  <c r="M1016" i="2"/>
  <c r="L1017" i="2"/>
  <c r="M1017" i="2"/>
  <c r="L1018" i="2"/>
  <c r="M1018" i="2"/>
  <c r="L1019" i="2"/>
  <c r="M1019" i="2"/>
  <c r="L1020" i="2"/>
  <c r="M1020" i="2"/>
  <c r="L1021" i="2"/>
  <c r="M1021" i="2"/>
  <c r="L1022" i="2"/>
  <c r="M1022" i="2"/>
  <c r="L1023" i="2"/>
  <c r="M1023" i="2"/>
  <c r="L1024" i="2"/>
  <c r="M1024" i="2"/>
  <c r="L1025" i="2"/>
  <c r="M1025" i="2"/>
  <c r="L1026" i="2"/>
  <c r="M1026" i="2"/>
  <c r="L1027" i="2"/>
  <c r="M1027" i="2"/>
  <c r="L1028" i="2"/>
  <c r="M1028" i="2"/>
  <c r="M1029" i="2"/>
  <c r="L1029" i="2"/>
  <c r="M1030" i="2"/>
  <c r="L1030" i="2"/>
  <c r="M1031" i="2"/>
  <c r="L1031" i="2"/>
  <c r="M1032" i="2"/>
  <c r="L1032" i="2"/>
  <c r="M1033" i="2"/>
  <c r="L1033" i="2"/>
  <c r="M1034" i="2"/>
  <c r="L1034" i="2"/>
  <c r="M1035" i="2"/>
  <c r="L1035" i="2"/>
  <c r="L1036" i="2"/>
  <c r="M1036" i="2"/>
  <c r="L1037" i="2"/>
  <c r="M1037" i="2"/>
  <c r="L1038" i="2"/>
  <c r="M1038" i="2"/>
  <c r="L1039" i="2"/>
  <c r="M1039" i="2"/>
  <c r="L1040" i="2"/>
  <c r="M1040" i="2"/>
  <c r="L1041" i="2"/>
  <c r="M1041" i="2"/>
  <c r="L1042" i="2"/>
  <c r="M1042" i="2"/>
  <c r="L1043" i="2"/>
  <c r="M1043" i="2"/>
  <c r="M1044" i="2"/>
  <c r="L1044" i="2"/>
  <c r="M1045" i="2"/>
  <c r="L1045" i="2"/>
  <c r="M1046" i="2"/>
  <c r="L1046" i="2"/>
  <c r="M1047" i="2"/>
  <c r="L1047" i="2"/>
  <c r="L1048" i="2"/>
  <c r="M1048" i="2"/>
  <c r="M1049" i="2"/>
  <c r="L1049" i="2"/>
  <c r="L1050" i="2"/>
  <c r="M1050" i="2"/>
  <c r="L1051" i="2"/>
  <c r="M1051" i="2"/>
  <c r="M1052" i="2"/>
  <c r="L1052" i="2"/>
  <c r="M1053" i="2"/>
  <c r="L1053" i="2"/>
  <c r="M1054" i="2"/>
  <c r="L1054" i="2"/>
  <c r="M1055" i="2"/>
  <c r="L1055" i="2"/>
  <c r="M1056" i="2"/>
  <c r="L1056" i="2"/>
  <c r="M1057" i="2"/>
  <c r="L1057" i="2"/>
  <c r="M1058" i="2"/>
  <c r="L1058" i="2"/>
  <c r="M1059" i="2"/>
  <c r="L1059" i="2"/>
  <c r="M1060" i="2"/>
  <c r="L1060" i="2"/>
  <c r="M1061" i="2"/>
  <c r="L1061" i="2"/>
  <c r="M1062" i="2"/>
  <c r="L1062" i="2"/>
  <c r="M1063" i="2"/>
  <c r="L1063" i="2"/>
  <c r="M1064" i="2"/>
  <c r="L1064" i="2"/>
  <c r="M1065" i="2"/>
  <c r="L1065" i="2"/>
  <c r="M1066" i="2"/>
  <c r="L1066" i="2"/>
  <c r="M1067" i="2"/>
  <c r="L1067" i="2"/>
  <c r="M1068" i="2"/>
  <c r="L1068" i="2"/>
  <c r="M1069" i="2"/>
  <c r="L1069" i="2"/>
  <c r="L1070" i="2"/>
  <c r="M1070" i="2"/>
  <c r="M1071" i="2"/>
  <c r="L1071" i="2"/>
  <c r="L1072" i="2"/>
  <c r="M1072" i="2"/>
  <c r="L1073" i="2"/>
  <c r="M1073" i="2"/>
  <c r="L1074" i="2"/>
  <c r="M1074" i="2"/>
  <c r="L1075" i="2"/>
  <c r="M1075" i="2"/>
  <c r="L1076" i="2"/>
  <c r="M1076" i="2"/>
  <c r="L1077" i="2"/>
  <c r="M1077" i="2"/>
  <c r="L1078" i="2"/>
  <c r="M1078" i="2"/>
  <c r="M1079" i="2"/>
  <c r="L1079" i="2"/>
  <c r="L1080" i="2"/>
  <c r="M1080" i="2"/>
  <c r="L1081" i="2"/>
  <c r="M1081" i="2"/>
  <c r="L1082" i="2"/>
  <c r="M1082" i="2"/>
  <c r="M1083" i="2"/>
  <c r="L1083" i="2"/>
  <c r="L1084" i="2"/>
  <c r="M1084" i="2"/>
  <c r="L1085" i="2"/>
  <c r="M1085" i="2"/>
  <c r="L1086" i="2"/>
  <c r="M1086" i="2"/>
  <c r="L1087" i="2"/>
  <c r="M1087" i="2"/>
  <c r="L1088" i="2"/>
  <c r="M1088" i="2"/>
  <c r="M1089" i="2"/>
  <c r="L1089" i="2"/>
  <c r="M1090" i="2"/>
  <c r="L1090" i="2"/>
  <c r="M1091" i="2"/>
  <c r="L1091" i="2"/>
  <c r="M1092" i="2"/>
  <c r="L1092" i="2"/>
  <c r="M1093" i="2"/>
  <c r="L1093" i="2"/>
  <c r="M1094" i="2"/>
  <c r="L1094" i="2"/>
  <c r="M1095" i="2"/>
  <c r="L1095" i="2"/>
  <c r="M1096" i="2"/>
  <c r="L1096" i="2"/>
  <c r="M1097" i="2"/>
  <c r="L1097" i="2"/>
  <c r="M1098" i="2"/>
  <c r="L1098" i="2"/>
  <c r="M1099" i="2"/>
  <c r="L1099" i="2"/>
  <c r="L1100" i="2"/>
  <c r="M1100" i="2"/>
  <c r="M1101" i="2"/>
  <c r="L1101" i="2"/>
  <c r="L1102" i="2"/>
  <c r="M1102" i="2"/>
  <c r="L1103" i="2"/>
  <c r="M1103" i="2"/>
  <c r="M1104" i="2"/>
  <c r="L1104" i="2"/>
  <c r="L1105" i="2"/>
  <c r="M1105" i="2"/>
  <c r="L1106" i="2"/>
  <c r="M1106" i="2"/>
  <c r="L1107" i="2"/>
  <c r="M1107" i="2"/>
  <c r="L1108" i="2"/>
  <c r="M1108" i="2"/>
  <c r="L1109" i="2"/>
  <c r="M1109" i="2"/>
  <c r="L1110" i="2"/>
  <c r="M1110" i="2"/>
  <c r="L1111" i="2"/>
  <c r="M1111" i="2"/>
  <c r="L1112" i="2"/>
  <c r="M1112" i="2"/>
  <c r="L1113" i="2"/>
  <c r="M1113" i="2"/>
  <c r="L1114" i="2"/>
  <c r="M1114" i="2"/>
  <c r="L1115" i="2"/>
  <c r="M1115" i="2"/>
  <c r="L1116" i="2"/>
  <c r="M1116" i="2"/>
  <c r="L1117" i="2"/>
  <c r="M1117" i="2"/>
  <c r="L1118" i="2"/>
  <c r="M1118" i="2"/>
  <c r="L1119" i="2"/>
  <c r="M1119" i="2"/>
  <c r="M1120" i="2"/>
  <c r="L1120" i="2"/>
  <c r="L1121" i="2"/>
  <c r="M1121" i="2"/>
  <c r="L1122" i="2"/>
  <c r="M1122" i="2"/>
  <c r="L1123" i="2"/>
  <c r="M1123" i="2"/>
  <c r="L1124" i="2"/>
  <c r="M1124" i="2"/>
  <c r="L1125" i="2"/>
  <c r="M1125" i="2"/>
  <c r="L1126" i="2"/>
  <c r="M1126" i="2"/>
  <c r="L1127" i="2"/>
  <c r="M1127" i="2"/>
  <c r="L1128" i="2"/>
  <c r="M1128" i="2"/>
  <c r="M1129" i="2"/>
  <c r="L1129" i="2"/>
  <c r="M1130" i="2"/>
  <c r="L1130" i="2"/>
  <c r="M1131" i="2"/>
  <c r="L1131" i="2"/>
  <c r="M1132" i="2"/>
  <c r="L1132" i="2"/>
  <c r="M1133" i="2"/>
  <c r="L1133" i="2"/>
  <c r="M1134" i="2"/>
  <c r="L1134" i="2"/>
  <c r="M1135" i="2"/>
  <c r="L1135" i="2"/>
  <c r="M1136" i="2"/>
  <c r="L1136" i="2"/>
  <c r="M1137" i="2"/>
  <c r="L1137" i="2"/>
  <c r="L1138" i="2"/>
  <c r="M1138" i="2"/>
  <c r="M1139" i="2"/>
  <c r="L1139" i="2"/>
  <c r="M1140" i="2"/>
  <c r="L1140" i="2"/>
  <c r="M1141" i="2"/>
  <c r="L1141" i="2"/>
  <c r="M1142" i="2"/>
  <c r="L1142" i="2"/>
  <c r="L1143" i="2"/>
  <c r="M1143" i="2"/>
  <c r="L1144" i="2"/>
  <c r="M1144" i="2"/>
  <c r="L1145" i="2"/>
  <c r="M1145" i="2"/>
  <c r="L1146" i="2"/>
  <c r="M1146" i="2"/>
  <c r="L1147" i="2"/>
  <c r="M1147" i="2"/>
  <c r="L1148" i="2"/>
  <c r="M1148" i="2"/>
  <c r="L1149" i="2"/>
  <c r="M1149" i="2"/>
  <c r="L1150" i="2"/>
  <c r="M1150" i="2"/>
  <c r="L1151" i="2"/>
  <c r="M1151" i="2"/>
  <c r="L1152" i="2"/>
  <c r="M1152" i="2"/>
  <c r="L1153" i="2"/>
  <c r="M1153" i="2"/>
  <c r="M1154" i="2"/>
  <c r="L1154" i="2"/>
  <c r="L1155" i="2"/>
  <c r="M1155" i="2"/>
  <c r="L1156" i="2"/>
  <c r="M1156" i="2"/>
  <c r="M1157" i="2"/>
  <c r="L1157" i="2"/>
  <c r="M1158" i="2"/>
  <c r="L1158" i="2"/>
  <c r="M1159" i="2"/>
  <c r="L1159" i="2"/>
  <c r="M1160" i="2"/>
  <c r="L1160" i="2"/>
  <c r="L1161" i="2"/>
  <c r="M1161" i="2"/>
  <c r="L1162" i="2"/>
  <c r="M1162" i="2"/>
  <c r="L1163" i="2"/>
  <c r="M1163" i="2"/>
  <c r="L1164" i="2"/>
  <c r="M1164" i="2"/>
  <c r="L1165" i="2"/>
  <c r="M1165" i="2"/>
  <c r="L1166" i="2"/>
  <c r="M1166" i="2"/>
  <c r="L1167" i="2"/>
  <c r="M1167" i="2"/>
  <c r="L1168" i="2"/>
  <c r="M1168" i="2"/>
  <c r="L1169" i="2"/>
  <c r="M1169" i="2"/>
  <c r="L1170" i="2"/>
  <c r="M1170" i="2"/>
  <c r="L1171" i="2"/>
  <c r="M1171" i="2"/>
  <c r="M1172" i="2"/>
  <c r="L1172" i="2"/>
  <c r="L1173" i="2"/>
  <c r="M1173" i="2"/>
  <c r="L1174" i="2"/>
  <c r="M1174" i="2"/>
  <c r="L1175" i="2"/>
  <c r="M1175" i="2"/>
  <c r="L1176" i="2"/>
  <c r="M1176" i="2"/>
  <c r="L1177" i="2"/>
  <c r="M1177" i="2"/>
  <c r="L1178" i="2"/>
  <c r="M1178" i="2"/>
  <c r="M1179" i="2"/>
  <c r="L1179" i="2"/>
  <c r="M1180" i="2"/>
  <c r="L1180" i="2"/>
  <c r="M1181" i="2"/>
  <c r="L1181" i="2"/>
  <c r="M1182" i="2"/>
  <c r="L1182" i="2"/>
  <c r="L1183" i="2"/>
  <c r="M1183" i="2"/>
  <c r="M1184" i="2"/>
  <c r="L1184" i="2"/>
  <c r="M1185" i="2"/>
  <c r="L1185" i="2"/>
  <c r="M1186" i="2"/>
  <c r="L1186" i="2"/>
  <c r="M1187" i="2"/>
  <c r="L1187" i="2"/>
  <c r="M1188" i="2"/>
  <c r="L1188" i="2"/>
  <c r="M1189" i="2"/>
  <c r="L1189" i="2"/>
  <c r="L1190" i="2"/>
  <c r="M1190" i="2"/>
  <c r="L1191" i="2"/>
  <c r="M1191" i="2"/>
  <c r="M1192" i="2"/>
  <c r="L1192" i="2"/>
  <c r="M1193" i="2"/>
  <c r="L1193" i="2"/>
  <c r="M1194" i="2"/>
  <c r="L1194" i="2"/>
  <c r="L1195" i="2"/>
  <c r="M1195" i="2"/>
  <c r="M1196" i="2"/>
  <c r="L1196" i="2"/>
  <c r="L1197" i="2"/>
  <c r="M1197" i="2"/>
  <c r="L1198" i="2"/>
  <c r="M1198" i="2"/>
  <c r="L1199" i="2"/>
  <c r="M1199" i="2"/>
  <c r="L1200" i="2"/>
  <c r="M1200" i="2"/>
  <c r="M1201" i="2"/>
  <c r="L1201" i="2"/>
  <c r="L1202" i="2"/>
  <c r="M1202" i="2"/>
  <c r="L1203" i="2"/>
  <c r="M1203" i="2"/>
  <c r="L1204" i="2"/>
  <c r="M1204" i="2"/>
  <c r="L1205" i="2"/>
  <c r="M1205" i="2"/>
  <c r="L1206" i="2"/>
  <c r="M1206" i="2"/>
  <c r="L1207" i="2"/>
  <c r="M1207" i="2"/>
  <c r="L1208" i="2"/>
  <c r="M1208" i="2"/>
  <c r="L1209" i="2"/>
  <c r="M1209" i="2"/>
  <c r="M1210" i="2"/>
  <c r="L1210" i="2"/>
  <c r="L1211" i="2"/>
  <c r="M1211" i="2"/>
  <c r="L1212" i="2"/>
  <c r="M1212" i="2"/>
  <c r="M1213" i="2"/>
  <c r="L1213" i="2"/>
  <c r="M1214" i="2"/>
  <c r="L1214" i="2"/>
  <c r="L1215" i="2"/>
  <c r="M1215" i="2"/>
  <c r="L1216" i="2"/>
  <c r="M1216" i="2"/>
  <c r="M1217" i="2"/>
  <c r="L1217" i="2"/>
  <c r="M1218" i="2"/>
  <c r="L1218" i="2"/>
  <c r="M1219" i="2"/>
  <c r="L1219" i="2"/>
  <c r="M1220" i="2"/>
  <c r="L1220" i="2"/>
  <c r="M1221" i="2"/>
  <c r="L1221" i="2"/>
  <c r="M1222" i="2"/>
  <c r="L1222" i="2"/>
  <c r="L1223" i="2"/>
  <c r="M1223" i="2"/>
  <c r="M1224" i="2"/>
  <c r="L1224" i="2"/>
  <c r="M1225" i="2"/>
  <c r="L1225" i="2"/>
  <c r="M1226" i="2"/>
  <c r="L1226" i="2"/>
  <c r="L1227" i="2"/>
  <c r="M1227" i="2"/>
  <c r="L1228" i="2"/>
  <c r="M1228" i="2"/>
  <c r="L1229" i="2"/>
  <c r="M1229" i="2"/>
  <c r="L1230" i="2"/>
  <c r="M1230" i="2"/>
  <c r="L1231" i="2"/>
  <c r="M1231" i="2"/>
  <c r="L1232" i="2"/>
  <c r="M1232" i="2"/>
  <c r="L1233" i="2"/>
  <c r="M1233" i="2"/>
  <c r="L1234" i="2"/>
  <c r="M1234" i="2"/>
  <c r="L1235" i="2"/>
  <c r="M1235" i="2"/>
  <c r="L1236" i="2"/>
  <c r="M1236" i="2"/>
  <c r="L1237" i="2"/>
  <c r="M1237" i="2"/>
  <c r="L1238" i="2"/>
  <c r="M1238" i="2"/>
  <c r="L1239" i="2"/>
  <c r="M1239" i="2"/>
  <c r="L1240" i="2"/>
  <c r="M1240" i="2"/>
  <c r="L1241" i="2"/>
  <c r="M1241" i="2"/>
  <c r="L1242" i="2"/>
  <c r="M1242" i="2"/>
  <c r="M1243" i="2"/>
  <c r="L1243" i="2"/>
  <c r="L1244" i="2"/>
  <c r="M1244" i="2"/>
  <c r="M1245" i="2"/>
  <c r="L1245" i="2"/>
  <c r="M1246" i="2"/>
  <c r="L1246" i="2"/>
  <c r="M1247" i="2"/>
  <c r="L1247" i="2"/>
  <c r="L1248" i="2"/>
  <c r="M1248" i="2"/>
  <c r="M1249" i="2"/>
  <c r="L1249" i="2"/>
  <c r="L1250" i="2"/>
  <c r="M1250" i="2"/>
  <c r="M1251" i="2"/>
  <c r="L1251" i="2"/>
  <c r="L1252" i="2"/>
  <c r="M1252" i="2"/>
  <c r="L1253" i="2"/>
  <c r="M1253" i="2"/>
  <c r="M1254" i="2"/>
  <c r="L1254" i="2"/>
  <c r="M1255" i="2"/>
  <c r="L1255" i="2"/>
  <c r="M1256" i="2"/>
  <c r="L1256" i="2"/>
  <c r="L1257" i="2"/>
  <c r="M1257" i="2"/>
  <c r="M1258" i="2"/>
  <c r="L1258" i="2"/>
  <c r="L1259" i="2"/>
  <c r="M1259" i="2"/>
  <c r="M1260" i="2"/>
  <c r="L1260" i="2"/>
  <c r="M1261" i="2"/>
  <c r="L1261" i="2"/>
  <c r="M1262" i="2"/>
  <c r="L1262" i="2"/>
  <c r="L1263" i="2"/>
  <c r="M1263" i="2"/>
  <c r="M1264" i="2"/>
  <c r="L1264" i="2"/>
  <c r="L1265" i="2"/>
  <c r="M1265" i="2"/>
  <c r="M1266" i="2"/>
  <c r="L1266" i="2"/>
  <c r="L1267" i="2"/>
  <c r="M1267" i="2"/>
  <c r="M1268" i="2"/>
  <c r="L1268" i="2"/>
  <c r="M1269" i="2"/>
  <c r="L1269" i="2"/>
  <c r="M1270" i="2"/>
  <c r="L1270" i="2"/>
  <c r="M1271" i="2"/>
  <c r="L1271" i="2"/>
  <c r="L1272" i="2"/>
  <c r="M1272" i="2"/>
  <c r="L1273" i="2"/>
  <c r="M1273" i="2"/>
  <c r="L1274" i="2"/>
  <c r="M1274" i="2"/>
  <c r="L1275" i="2"/>
  <c r="M1275" i="2"/>
  <c r="L1276" i="2"/>
  <c r="M1276" i="2"/>
  <c r="M1277" i="2"/>
  <c r="L1277" i="2"/>
  <c r="M1278" i="2"/>
  <c r="L1278" i="2"/>
  <c r="M1279" i="2"/>
  <c r="L1279" i="2"/>
  <c r="M1280" i="2"/>
  <c r="L1280" i="2"/>
  <c r="M1281" i="2"/>
  <c r="L1281" i="2"/>
  <c r="M1282" i="2"/>
  <c r="L1282" i="2"/>
  <c r="M1283" i="2"/>
  <c r="L1283" i="2"/>
  <c r="M1284" i="2"/>
  <c r="L1284" i="2"/>
  <c r="M1285" i="2"/>
  <c r="L1285" i="2"/>
  <c r="M1286" i="2"/>
  <c r="L1286" i="2"/>
  <c r="M1287" i="2"/>
  <c r="L1287" i="2"/>
  <c r="L1288" i="2"/>
  <c r="M1288" i="2"/>
  <c r="L1289" i="2"/>
  <c r="M1289" i="2"/>
  <c r="M1290" i="2"/>
  <c r="L1290" i="2"/>
  <c r="M1291" i="2"/>
  <c r="L1291" i="2"/>
  <c r="L1292" i="2"/>
  <c r="M1292" i="2"/>
  <c r="M1293" i="2"/>
  <c r="L1293" i="2"/>
  <c r="L1294" i="2"/>
  <c r="M1294" i="2"/>
  <c r="L1295" i="2"/>
  <c r="M1295" i="2"/>
  <c r="M1296" i="2"/>
  <c r="L1296" i="2"/>
  <c r="L1297" i="2"/>
  <c r="M1297" i="2"/>
  <c r="M1298" i="2"/>
  <c r="L1298" i="2"/>
  <c r="M1299" i="2"/>
  <c r="L1299" i="2"/>
  <c r="M1300" i="2"/>
  <c r="L1300" i="2"/>
  <c r="L1301" i="2"/>
  <c r="M1301" i="2"/>
  <c r="M1302" i="2"/>
  <c r="L1302" i="2"/>
  <c r="L1303" i="2"/>
  <c r="M1303" i="2"/>
  <c r="M1304" i="2"/>
  <c r="L1304" i="2"/>
  <c r="L1305" i="2"/>
  <c r="M1305" i="2"/>
  <c r="L1306" i="2"/>
  <c r="M1306" i="2"/>
  <c r="L1307" i="2"/>
  <c r="M1307" i="2"/>
  <c r="L1308" i="2"/>
  <c r="M1308" i="2"/>
  <c r="M1309" i="2"/>
  <c r="L1309" i="2"/>
  <c r="M1310" i="2"/>
  <c r="L1310" i="2"/>
  <c r="M1311" i="2"/>
  <c r="L1311" i="2"/>
  <c r="M1312" i="2"/>
  <c r="L1312" i="2"/>
  <c r="M1313" i="2"/>
  <c r="L1313" i="2"/>
  <c r="M1314" i="2"/>
  <c r="L1314" i="2"/>
  <c r="M1315" i="2"/>
  <c r="L1315" i="2"/>
  <c r="M1316" i="2"/>
  <c r="L1316" i="2"/>
  <c r="M1317" i="2"/>
  <c r="L1317" i="2"/>
  <c r="M1318" i="2"/>
  <c r="L1318" i="2"/>
  <c r="M1319" i="2"/>
  <c r="L1319" i="2"/>
  <c r="M1320" i="2"/>
  <c r="L1320" i="2"/>
  <c r="L1321" i="2"/>
  <c r="M1321" i="2"/>
  <c r="M1322" i="2"/>
  <c r="L1322" i="2"/>
  <c r="M1323" i="2"/>
  <c r="L1323" i="2"/>
  <c r="M1324" i="2"/>
  <c r="L1324" i="2"/>
  <c r="L1325" i="2"/>
  <c r="M1325" i="2"/>
  <c r="L1326" i="2"/>
  <c r="M1326" i="2"/>
  <c r="M1327" i="2"/>
  <c r="L1327" i="2"/>
  <c r="M1328" i="2"/>
  <c r="L1328" i="2"/>
  <c r="L1329" i="2"/>
  <c r="M1329" i="2"/>
  <c r="L1330" i="2"/>
  <c r="M1330" i="2"/>
  <c r="M1331" i="2"/>
  <c r="L1331" i="2"/>
  <c r="L1332" i="2"/>
  <c r="M1332" i="2"/>
  <c r="M1333" i="2"/>
  <c r="L1333" i="2"/>
  <c r="L1334" i="2"/>
  <c r="M1334" i="2"/>
  <c r="L1335" i="2"/>
  <c r="M1335" i="2"/>
  <c r="L1336" i="2"/>
  <c r="M1336" i="2"/>
  <c r="L1337" i="2"/>
  <c r="M1337" i="2"/>
  <c r="M1338" i="2"/>
  <c r="L1338" i="2"/>
  <c r="M1339" i="2"/>
  <c r="L1339" i="2"/>
  <c r="M1340" i="2"/>
  <c r="L1340" i="2"/>
  <c r="L1341" i="2"/>
  <c r="M1341" i="2"/>
  <c r="L1342" i="2"/>
  <c r="M1342" i="2"/>
  <c r="L1343" i="2"/>
  <c r="M1343" i="2"/>
  <c r="L1344" i="2"/>
  <c r="M1344" i="2"/>
  <c r="L1345" i="2"/>
  <c r="M1345" i="2"/>
  <c r="L1346" i="2"/>
  <c r="M1346" i="2"/>
  <c r="L1347" i="2"/>
  <c r="M1347" i="2"/>
  <c r="L1348" i="2"/>
  <c r="M1348" i="2"/>
  <c r="L1349" i="2"/>
  <c r="M1349" i="2"/>
  <c r="L1350" i="2"/>
  <c r="M1350" i="2"/>
  <c r="L1351" i="2"/>
  <c r="M1351" i="2"/>
  <c r="L1352" i="2"/>
  <c r="M1352" i="2"/>
  <c r="M1353" i="2"/>
  <c r="L1353" i="2"/>
  <c r="L1354" i="2"/>
  <c r="M1354" i="2"/>
  <c r="M1355" i="2"/>
  <c r="L1355" i="2"/>
  <c r="L1356" i="2"/>
  <c r="M1356" i="2"/>
  <c r="M1357" i="2"/>
  <c r="L1357" i="2"/>
  <c r="L1358" i="2"/>
  <c r="M1358" i="2"/>
  <c r="M1359" i="2"/>
  <c r="L1359" i="2"/>
  <c r="L1360" i="2"/>
  <c r="M1360" i="2"/>
  <c r="M1361" i="2"/>
  <c r="L1361" i="2"/>
  <c r="M1362" i="2"/>
  <c r="L1362" i="2"/>
  <c r="M1363" i="2"/>
  <c r="L1363" i="2"/>
  <c r="M1364" i="2"/>
  <c r="L1364" i="2"/>
  <c r="L1365" i="2"/>
  <c r="M1365" i="2"/>
  <c r="L1366" i="2"/>
  <c r="M1366" i="2"/>
  <c r="M1367" i="2"/>
  <c r="L1367" i="2"/>
  <c r="M1368" i="2"/>
  <c r="L1368" i="2"/>
  <c r="L1369" i="2"/>
  <c r="M1369" i="2"/>
  <c r="M1370" i="2"/>
  <c r="L1370" i="2"/>
  <c r="L1371" i="2"/>
  <c r="M1371" i="2"/>
  <c r="L1372" i="2"/>
  <c r="M1372" i="2"/>
  <c r="M1373" i="2"/>
  <c r="L1373" i="2"/>
  <c r="L1374" i="2"/>
  <c r="M1374" i="2"/>
  <c r="L1375" i="2"/>
  <c r="M1375" i="2"/>
  <c r="L1376" i="2"/>
  <c r="M1376" i="2"/>
  <c r="L1377" i="2"/>
  <c r="M1377" i="2"/>
  <c r="L1378" i="2"/>
  <c r="M1378" i="2"/>
  <c r="M1379" i="2"/>
  <c r="L1379" i="2"/>
  <c r="M1380" i="2"/>
  <c r="L1380" i="2"/>
  <c r="L1381" i="2"/>
  <c r="M1381" i="2"/>
  <c r="L1382" i="2"/>
  <c r="M1382" i="2"/>
  <c r="L1383" i="2"/>
  <c r="M1383" i="2"/>
  <c r="L1384" i="2"/>
  <c r="M1384" i="2"/>
  <c r="M1385" i="2"/>
  <c r="L1385" i="2"/>
  <c r="L1386" i="2"/>
  <c r="M1386" i="2"/>
  <c r="M1387" i="2"/>
  <c r="L1387" i="2"/>
  <c r="L1388" i="2"/>
  <c r="M1388" i="2"/>
  <c r="L1389" i="2"/>
  <c r="M1389" i="2"/>
  <c r="L1390" i="2"/>
  <c r="M1390" i="2"/>
  <c r="L1391" i="2"/>
  <c r="M1391" i="2"/>
  <c r="L1392" i="2"/>
  <c r="M1392" i="2"/>
  <c r="L1393" i="2"/>
  <c r="M1393" i="2"/>
  <c r="M1394" i="2"/>
  <c r="L1394" i="2"/>
  <c r="L1395" i="2"/>
  <c r="M1395" i="2"/>
  <c r="M1396" i="2"/>
  <c r="L1396" i="2"/>
  <c r="L1397" i="2"/>
  <c r="M1397" i="2"/>
  <c r="L1398" i="2"/>
  <c r="M1398" i="2"/>
  <c r="M1399" i="2"/>
  <c r="L1399" i="2"/>
  <c r="L1400" i="2"/>
  <c r="M1400" i="2"/>
  <c r="M1401" i="2"/>
  <c r="L1401" i="2"/>
  <c r="M1402" i="2"/>
  <c r="L1402" i="2"/>
  <c r="M1403" i="2"/>
  <c r="L1403" i="2"/>
  <c r="M1404" i="2"/>
  <c r="L1404" i="2"/>
  <c r="M1405" i="2"/>
  <c r="L1405" i="2"/>
  <c r="M1406" i="2"/>
  <c r="L1406" i="2"/>
  <c r="M1407" i="2"/>
  <c r="L1407" i="2"/>
  <c r="M1408" i="2"/>
  <c r="L1408" i="2"/>
  <c r="M1409" i="2"/>
  <c r="L1409" i="2"/>
  <c r="M1410" i="2"/>
  <c r="L1410" i="2"/>
  <c r="M1411" i="2"/>
  <c r="L1411" i="2"/>
  <c r="L1412" i="2"/>
  <c r="M1412" i="2"/>
  <c r="L1413" i="2"/>
  <c r="M1413" i="2"/>
  <c r="L1414" i="2"/>
  <c r="M1414" i="2"/>
  <c r="L1415" i="2"/>
  <c r="M1415" i="2"/>
  <c r="L1416" i="2"/>
  <c r="M1416" i="2"/>
  <c r="M1417" i="2"/>
  <c r="L1417" i="2"/>
  <c r="L1418" i="2"/>
  <c r="M1418" i="2"/>
  <c r="L1419" i="2"/>
  <c r="M1419" i="2"/>
  <c r="L1420" i="2"/>
  <c r="M1420" i="2"/>
  <c r="L1421" i="2"/>
  <c r="M1421" i="2"/>
  <c r="L1422" i="2"/>
  <c r="M1422" i="2"/>
  <c r="L1423" i="2"/>
  <c r="M1423" i="2"/>
  <c r="M1424" i="2"/>
  <c r="L1424" i="2"/>
  <c r="L1425" i="2"/>
  <c r="M1425" i="2"/>
  <c r="M1426" i="2"/>
  <c r="L1426" i="2"/>
  <c r="M1427" i="2"/>
  <c r="L1427" i="2"/>
  <c r="L1428" i="2"/>
  <c r="M1428" i="2"/>
  <c r="L1429" i="2"/>
  <c r="M1429" i="2"/>
  <c r="M1430" i="2"/>
  <c r="L1430" i="2"/>
  <c r="L1431" i="2"/>
  <c r="M1431" i="2"/>
  <c r="L1432" i="2"/>
  <c r="M1432" i="2"/>
  <c r="M1433" i="2"/>
  <c r="L1433" i="2"/>
  <c r="L1434" i="2"/>
  <c r="M1434" i="2"/>
  <c r="M1435" i="2"/>
  <c r="L1435" i="2"/>
  <c r="L1436" i="2"/>
  <c r="M1436" i="2"/>
  <c r="M1437" i="2"/>
  <c r="L1437" i="2"/>
  <c r="L1438" i="2"/>
  <c r="M1438" i="2"/>
  <c r="M1439" i="2"/>
  <c r="L1439" i="2"/>
  <c r="L1440" i="2"/>
  <c r="M1440" i="2"/>
  <c r="M1441" i="2"/>
  <c r="L1441" i="2"/>
  <c r="M1442" i="2"/>
  <c r="L1442" i="2"/>
  <c r="M1443" i="2"/>
  <c r="L1443" i="2"/>
  <c r="M1444" i="2"/>
  <c r="L1444" i="2"/>
  <c r="M1445" i="2"/>
  <c r="L1445" i="2"/>
  <c r="M1446" i="2"/>
  <c r="L1446" i="2"/>
  <c r="M1447" i="2"/>
  <c r="L1447" i="2"/>
  <c r="M1448" i="2"/>
  <c r="L1448" i="2"/>
  <c r="M1449" i="2"/>
  <c r="L1449" i="2"/>
  <c r="M1450" i="2"/>
  <c r="L1450" i="2"/>
  <c r="M1451" i="2"/>
  <c r="L1451" i="2"/>
  <c r="M1452" i="2"/>
  <c r="L1452" i="2"/>
  <c r="M1453" i="2"/>
  <c r="L1453" i="2"/>
  <c r="M1454" i="2"/>
  <c r="L1454" i="2"/>
  <c r="M1455" i="2"/>
  <c r="L1455" i="2"/>
  <c r="M1456" i="2"/>
  <c r="L1456" i="2"/>
  <c r="L1457" i="2"/>
  <c r="M1457" i="2"/>
  <c r="L1458" i="2"/>
  <c r="M1458" i="2"/>
  <c r="M1459" i="2"/>
  <c r="L1459" i="2"/>
  <c r="M1460" i="2"/>
  <c r="L1460" i="2"/>
  <c r="M1461" i="2"/>
  <c r="L1461" i="2"/>
  <c r="M1462" i="2"/>
  <c r="L1462" i="2"/>
  <c r="M1463" i="2"/>
  <c r="L1463" i="2"/>
  <c r="M1464" i="2"/>
  <c r="L1464" i="2"/>
  <c r="M1465" i="2"/>
  <c r="L1465" i="2"/>
  <c r="L1466" i="2"/>
  <c r="M1466" i="2"/>
  <c r="L1467" i="2"/>
  <c r="M1467" i="2"/>
  <c r="M1468" i="2"/>
  <c r="L1468" i="2"/>
  <c r="M1469" i="2"/>
  <c r="L1469" i="2"/>
  <c r="M1470" i="2"/>
  <c r="L1470" i="2"/>
  <c r="M1471" i="2"/>
  <c r="L1471" i="2"/>
  <c r="M1472" i="2"/>
  <c r="L1472" i="2"/>
  <c r="L1473" i="2"/>
  <c r="M1473" i="2"/>
  <c r="L1474" i="2"/>
  <c r="M1474" i="2"/>
  <c r="L1475" i="2"/>
  <c r="M1475" i="2"/>
  <c r="L1476" i="2"/>
  <c r="M1476" i="2"/>
  <c r="L1477" i="2"/>
  <c r="M1477" i="2"/>
  <c r="L1478" i="2"/>
  <c r="M1478" i="2"/>
  <c r="L1479" i="2"/>
  <c r="M1479" i="2"/>
  <c r="L1480" i="2"/>
  <c r="M1480" i="2"/>
  <c r="L1481" i="2"/>
  <c r="M1481" i="2"/>
  <c r="L1482" i="2"/>
  <c r="M1482" i="2"/>
  <c r="L1483" i="2"/>
  <c r="M1483" i="2"/>
  <c r="M1484" i="2"/>
  <c r="L1484" i="2"/>
  <c r="L1485" i="2"/>
  <c r="M1485" i="2"/>
  <c r="L1486" i="2"/>
  <c r="M1486" i="2"/>
  <c r="M1487" i="2"/>
  <c r="L1487" i="2"/>
  <c r="L1488" i="2"/>
  <c r="M1488" i="2"/>
  <c r="M1489" i="2"/>
  <c r="L1489" i="2"/>
  <c r="M1490" i="2"/>
  <c r="L1490" i="2"/>
  <c r="L1491" i="2"/>
  <c r="M1491" i="2"/>
  <c r="L1492" i="2"/>
  <c r="M1492" i="2"/>
  <c r="L1493" i="2"/>
  <c r="M1493" i="2"/>
  <c r="M1494" i="2"/>
  <c r="L1494" i="2"/>
  <c r="M1495" i="2"/>
  <c r="L1495" i="2"/>
  <c r="L1496" i="2"/>
  <c r="M1496" i="2"/>
  <c r="L1497" i="2"/>
  <c r="M1497" i="2"/>
  <c r="L1498" i="2"/>
  <c r="M1498" i="2"/>
  <c r="M1499" i="2"/>
  <c r="L1499" i="2"/>
  <c r="M1500" i="2"/>
  <c r="L1500" i="2"/>
  <c r="M1501" i="2"/>
  <c r="L1501" i="2"/>
  <c r="M1502" i="2"/>
  <c r="L1502" i="2"/>
  <c r="M1503" i="2"/>
  <c r="L1503" i="2"/>
  <c r="M1504" i="2"/>
  <c r="L1504" i="2"/>
  <c r="M1505" i="2"/>
  <c r="L1505" i="2"/>
  <c r="M1506" i="2"/>
  <c r="L1506" i="2"/>
  <c r="M1507" i="2"/>
  <c r="L1507" i="2"/>
  <c r="M1508" i="2"/>
  <c r="L1508" i="2"/>
  <c r="M1509" i="2"/>
  <c r="L1509" i="2"/>
  <c r="M1510" i="2"/>
  <c r="L1510" i="2"/>
  <c r="M1511" i="2"/>
  <c r="L1511" i="2"/>
  <c r="M1512" i="2"/>
  <c r="L1512" i="2"/>
  <c r="M1513" i="2"/>
  <c r="L1513" i="2"/>
  <c r="M1514" i="2"/>
  <c r="L1514" i="2"/>
  <c r="M1515" i="2"/>
  <c r="L1515" i="2"/>
  <c r="L1516" i="2"/>
  <c r="M1516" i="2"/>
  <c r="L1517" i="2"/>
  <c r="M1517" i="2"/>
  <c r="L1518" i="2"/>
  <c r="M1518" i="2"/>
  <c r="L1519" i="2"/>
  <c r="M1519" i="2"/>
  <c r="L1520" i="2"/>
  <c r="M1520" i="2"/>
  <c r="L1521" i="2"/>
  <c r="M1521" i="2"/>
  <c r="M1522" i="2"/>
  <c r="L1522" i="2"/>
  <c r="L1523" i="2"/>
  <c r="M1523" i="2"/>
  <c r="L1524" i="2"/>
  <c r="M1524" i="2"/>
  <c r="M1525" i="2"/>
  <c r="L1525" i="2"/>
  <c r="L1526" i="2"/>
  <c r="M1526" i="2"/>
  <c r="L1527" i="2"/>
  <c r="M1527" i="2"/>
  <c r="L1528" i="2"/>
  <c r="M1528" i="2"/>
  <c r="L1529" i="2"/>
  <c r="M1529" i="2"/>
  <c r="L1530" i="2"/>
  <c r="M1530" i="2"/>
  <c r="M1531" i="2"/>
  <c r="L1531" i="2"/>
  <c r="L1532" i="2"/>
  <c r="M1532" i="2"/>
  <c r="L1533" i="2"/>
  <c r="M1533" i="2"/>
  <c r="L1534" i="2"/>
  <c r="M1534" i="2"/>
  <c r="M1535" i="2"/>
  <c r="L1535" i="2"/>
  <c r="L1536" i="2"/>
  <c r="M1536" i="2"/>
  <c r="M1537" i="2"/>
  <c r="L1537" i="2"/>
  <c r="L1538" i="2"/>
  <c r="M1538" i="2"/>
  <c r="M1539" i="2"/>
  <c r="L1539" i="2"/>
  <c r="L1540" i="2"/>
  <c r="M1540" i="2"/>
  <c r="M1541" i="2"/>
  <c r="L1541" i="2"/>
  <c r="M1542" i="2"/>
  <c r="L1542" i="2"/>
  <c r="M1543" i="2"/>
  <c r="L1543" i="2"/>
  <c r="M1544" i="2"/>
  <c r="L1544" i="2"/>
  <c r="M1545" i="2"/>
  <c r="L1545" i="2"/>
  <c r="M1546" i="2"/>
  <c r="L1546" i="2"/>
  <c r="L1547" i="2"/>
  <c r="M1547" i="2"/>
  <c r="M1548" i="2"/>
  <c r="L1548" i="2"/>
  <c r="L1549" i="2"/>
  <c r="M1549" i="2"/>
  <c r="M1550" i="2"/>
  <c r="L1550" i="2"/>
  <c r="L1551" i="2"/>
  <c r="M1551" i="2"/>
  <c r="M1552" i="2"/>
  <c r="L1552" i="2"/>
  <c r="M1553" i="2"/>
  <c r="L1553" i="2"/>
  <c r="M1554" i="2"/>
  <c r="L1554" i="2"/>
  <c r="M1555" i="2"/>
  <c r="L1555" i="2"/>
  <c r="M1556" i="2"/>
  <c r="L1556" i="2"/>
  <c r="M1557" i="2"/>
  <c r="L1557" i="2"/>
  <c r="M1558" i="2"/>
  <c r="L1558" i="2"/>
  <c r="M1559" i="2"/>
  <c r="L1559" i="2"/>
  <c r="M1560" i="2"/>
  <c r="L1560" i="2"/>
  <c r="L1561" i="2"/>
  <c r="M1561" i="2"/>
  <c r="M1562" i="2"/>
  <c r="L1562" i="2"/>
  <c r="L1563" i="2"/>
  <c r="M1563" i="2"/>
  <c r="L1564" i="2"/>
  <c r="M1564" i="2"/>
  <c r="L1565" i="2"/>
  <c r="M1565" i="2"/>
  <c r="L1566" i="2"/>
  <c r="M1566" i="2"/>
  <c r="L1567" i="2"/>
  <c r="M1567" i="2"/>
  <c r="L1568" i="2"/>
  <c r="M1568" i="2"/>
  <c r="M1569" i="2"/>
  <c r="L1569" i="2"/>
  <c r="L1570" i="2"/>
  <c r="M1570" i="2"/>
  <c r="M1571" i="2"/>
  <c r="L1571" i="2"/>
  <c r="M1572" i="2"/>
  <c r="L1572" i="2"/>
  <c r="M1573" i="2"/>
  <c r="L1573" i="2"/>
  <c r="M1574" i="2"/>
  <c r="L1574" i="2"/>
  <c r="M1575" i="2"/>
  <c r="L1575" i="2"/>
  <c r="M1576" i="2"/>
  <c r="L1576" i="2"/>
  <c r="L1577" i="2"/>
  <c r="M1577" i="2"/>
  <c r="L1578" i="2"/>
  <c r="M1578" i="2"/>
  <c r="L1579" i="2"/>
  <c r="M1579" i="2"/>
  <c r="L1580" i="2"/>
  <c r="M1580" i="2"/>
  <c r="M1581" i="2"/>
  <c r="L1581" i="2"/>
  <c r="L1582" i="2"/>
  <c r="M1582" i="2"/>
  <c r="M1583" i="2"/>
  <c r="L1583" i="2"/>
  <c r="L1584" i="2"/>
  <c r="M1584" i="2"/>
  <c r="L1585" i="2"/>
  <c r="M1585" i="2"/>
  <c r="L1586" i="2"/>
  <c r="M1586" i="2"/>
  <c r="L1587" i="2"/>
  <c r="M1587" i="2"/>
  <c r="L1588" i="2"/>
  <c r="M1588" i="2"/>
  <c r="L1589" i="2"/>
  <c r="M1589" i="2"/>
  <c r="M1590" i="2"/>
  <c r="L1590" i="2"/>
  <c r="L1591" i="2"/>
  <c r="M1591" i="2"/>
  <c r="M1592" i="2"/>
  <c r="L1592" i="2"/>
  <c r="L1593" i="2"/>
  <c r="M1593" i="2"/>
  <c r="M1594" i="2"/>
  <c r="L1594" i="2"/>
  <c r="M1595" i="2"/>
  <c r="L1595" i="2"/>
  <c r="L1596" i="2"/>
  <c r="M1596" i="2"/>
  <c r="L1597" i="2"/>
  <c r="M1597" i="2"/>
  <c r="L1598" i="2"/>
  <c r="M1598" i="2"/>
  <c r="M1599" i="2"/>
  <c r="L1599" i="2"/>
  <c r="M1600" i="2"/>
  <c r="L1600" i="2"/>
  <c r="M1601" i="2"/>
  <c r="L1601" i="2"/>
  <c r="M1602" i="2"/>
  <c r="L1602" i="2"/>
  <c r="M1603" i="2"/>
  <c r="L1603" i="2"/>
  <c r="M1604" i="2"/>
  <c r="L1604" i="2"/>
  <c r="M1605" i="2"/>
  <c r="L1605" i="2"/>
  <c r="M1606" i="2"/>
  <c r="L1606" i="2"/>
  <c r="M1607" i="2"/>
  <c r="L1607" i="2"/>
  <c r="M1608" i="2"/>
  <c r="L1608" i="2"/>
  <c r="M1609" i="2"/>
  <c r="L1609" i="2"/>
  <c r="M1610" i="2"/>
  <c r="L1610" i="2"/>
  <c r="M1611" i="2"/>
  <c r="L1611" i="2"/>
  <c r="M1612" i="2"/>
  <c r="L1612" i="2"/>
  <c r="L1613" i="2"/>
  <c r="M1613" i="2"/>
  <c r="M1614" i="2"/>
  <c r="L1614" i="2"/>
  <c r="M1615" i="2"/>
  <c r="L1615" i="2"/>
  <c r="M1616" i="2"/>
  <c r="L1616" i="2"/>
  <c r="M1617" i="2"/>
  <c r="L1617" i="2"/>
  <c r="M1618" i="2"/>
  <c r="L1618" i="2"/>
  <c r="M1619" i="2"/>
  <c r="L1619" i="2"/>
  <c r="M1620" i="2"/>
  <c r="L1620" i="2"/>
  <c r="M1621" i="2"/>
  <c r="L1621" i="2"/>
  <c r="L1622" i="2"/>
  <c r="M1622" i="2"/>
  <c r="M1623" i="2"/>
  <c r="L1623" i="2"/>
  <c r="M1624" i="2"/>
  <c r="L1624" i="2"/>
  <c r="M1625" i="2"/>
  <c r="L1625" i="2"/>
  <c r="M1626" i="2"/>
  <c r="L1626" i="2"/>
  <c r="M1627" i="2"/>
  <c r="L1627" i="2"/>
  <c r="M1628" i="2"/>
  <c r="L1628" i="2"/>
  <c r="L1629" i="2"/>
  <c r="M1629" i="2"/>
  <c r="L1630" i="2"/>
  <c r="M1630" i="2"/>
  <c r="L1631" i="2"/>
  <c r="M1631" i="2"/>
  <c r="L1632" i="2"/>
  <c r="M1632" i="2"/>
  <c r="L1633" i="2"/>
  <c r="M1633" i="2"/>
  <c r="M1634" i="2"/>
  <c r="L1634" i="2"/>
  <c r="M1635" i="2"/>
  <c r="L1635" i="2"/>
  <c r="L1636" i="2"/>
  <c r="M1636" i="2"/>
  <c r="M1637" i="2"/>
  <c r="L1637" i="2"/>
  <c r="L1638" i="2"/>
  <c r="M1638" i="2"/>
  <c r="L1639" i="2"/>
  <c r="M1639" i="2"/>
  <c r="M1640" i="2"/>
  <c r="L1640" i="2"/>
  <c r="M1641" i="2"/>
  <c r="L1641" i="2"/>
  <c r="M1642" i="2"/>
  <c r="L1642" i="2"/>
  <c r="M1643" i="2"/>
  <c r="L1643" i="2"/>
  <c r="L1644" i="2"/>
  <c r="M1644" i="2"/>
  <c r="L1645" i="2"/>
  <c r="M1645" i="2"/>
  <c r="L1646" i="2"/>
  <c r="M1646" i="2"/>
  <c r="L1647" i="2"/>
  <c r="M1647" i="2"/>
  <c r="L1648" i="2"/>
  <c r="M1648" i="2"/>
  <c r="L1649" i="2"/>
  <c r="M1649" i="2"/>
  <c r="L1650" i="2"/>
  <c r="M1650" i="2"/>
  <c r="L1651" i="2"/>
  <c r="M1651" i="2"/>
  <c r="M1652" i="2"/>
  <c r="L1652" i="2"/>
  <c r="M1653" i="2"/>
  <c r="L1653" i="2"/>
  <c r="M1654" i="2"/>
  <c r="L1654" i="2"/>
  <c r="M1655" i="2"/>
  <c r="L1655" i="2"/>
  <c r="M1656" i="2"/>
  <c r="L1656" i="2"/>
  <c r="M1657" i="2"/>
  <c r="L1657" i="2"/>
  <c r="M1658" i="2"/>
  <c r="L1658" i="2"/>
  <c r="M1659" i="2"/>
  <c r="L1659" i="2"/>
  <c r="M1660" i="2"/>
  <c r="L1660" i="2"/>
  <c r="M1661" i="2"/>
  <c r="L1661" i="2"/>
  <c r="M1662" i="2"/>
  <c r="L1662" i="2"/>
  <c r="M1663" i="2"/>
  <c r="L1663" i="2"/>
  <c r="M1664" i="2"/>
  <c r="L1664" i="2"/>
  <c r="M1665" i="2"/>
  <c r="L1665" i="2"/>
  <c r="L1666" i="2"/>
  <c r="M1666" i="2"/>
  <c r="M1667" i="2"/>
  <c r="L1667" i="2"/>
  <c r="M1668" i="2"/>
  <c r="L1668" i="2"/>
  <c r="L1669" i="2"/>
  <c r="M1669" i="2"/>
  <c r="L1670" i="2"/>
  <c r="M1670" i="2"/>
  <c r="M1671" i="2"/>
  <c r="L1671" i="2"/>
  <c r="M1672" i="2"/>
  <c r="L1672" i="2"/>
  <c r="M1673" i="2"/>
  <c r="L1673" i="2"/>
  <c r="M1674" i="2"/>
  <c r="L1674" i="2"/>
  <c r="L1675" i="2"/>
  <c r="M1675" i="2"/>
  <c r="L1676" i="2"/>
  <c r="M1676" i="2"/>
  <c r="M1677" i="2"/>
  <c r="L1677" i="2"/>
  <c r="M1678" i="2"/>
  <c r="L1678" i="2"/>
  <c r="M1679" i="2"/>
  <c r="L1679" i="2"/>
  <c r="M1680" i="2"/>
  <c r="L1680" i="2"/>
  <c r="M1681" i="2"/>
  <c r="L1681" i="2"/>
  <c r="M1682" i="2"/>
  <c r="L1682" i="2"/>
  <c r="M1683" i="2"/>
  <c r="L1683" i="2"/>
  <c r="M1684" i="2"/>
  <c r="L1684" i="2"/>
  <c r="L1685" i="2"/>
  <c r="M1685" i="2"/>
  <c r="L1686" i="2"/>
  <c r="M1686" i="2"/>
  <c r="L1687" i="2"/>
  <c r="M1687" i="2"/>
  <c r="L1688" i="2"/>
  <c r="M1688" i="2"/>
  <c r="M1689" i="2"/>
  <c r="L1689" i="2"/>
  <c r="L1690" i="2"/>
  <c r="M1690" i="2"/>
  <c r="M1691" i="2"/>
  <c r="L1691" i="2"/>
  <c r="M1692" i="2"/>
  <c r="L1692" i="2"/>
  <c r="L1693" i="2"/>
  <c r="M1693" i="2"/>
  <c r="L1694" i="2"/>
  <c r="M1694" i="2"/>
  <c r="M1695" i="2"/>
  <c r="L1695" i="2"/>
  <c r="L1696" i="2"/>
  <c r="M1696" i="2"/>
  <c r="L1697" i="2"/>
  <c r="M1697" i="2"/>
  <c r="M1698" i="2"/>
  <c r="L1698" i="2"/>
  <c r="M1699" i="2"/>
  <c r="L1699" i="2"/>
  <c r="M1700" i="2"/>
  <c r="L1700" i="2"/>
  <c r="M1701" i="2"/>
  <c r="L1701" i="2"/>
  <c r="M1702" i="2"/>
  <c r="L1702" i="2"/>
  <c r="M1703" i="2"/>
  <c r="L1703" i="2"/>
  <c r="M1704" i="2"/>
  <c r="L1704" i="2"/>
  <c r="M1705" i="2"/>
  <c r="L1705" i="2"/>
  <c r="M1706" i="2"/>
  <c r="L1706" i="2"/>
  <c r="M1707" i="2"/>
  <c r="L1707" i="2"/>
  <c r="M1708" i="2"/>
  <c r="L1708" i="2"/>
  <c r="M1709" i="2"/>
  <c r="L1709" i="2"/>
  <c r="M1710" i="2"/>
  <c r="L1710" i="2"/>
  <c r="M1711" i="2"/>
  <c r="L1711" i="2"/>
  <c r="M1712" i="2"/>
  <c r="L1712" i="2"/>
  <c r="M1713" i="2"/>
  <c r="L1713" i="2"/>
  <c r="M1714" i="2"/>
  <c r="L1714" i="2"/>
  <c r="M1715" i="2"/>
  <c r="L1715" i="2"/>
  <c r="M1716" i="2"/>
  <c r="L1716" i="2"/>
  <c r="M1717" i="2"/>
  <c r="L1717" i="2"/>
  <c r="M1718" i="2"/>
  <c r="L1718" i="2"/>
  <c r="M1719" i="2"/>
  <c r="L1719" i="2"/>
  <c r="M1720" i="2"/>
  <c r="L1720" i="2"/>
  <c r="M1721" i="2"/>
  <c r="L1721" i="2"/>
  <c r="M1722" i="2"/>
  <c r="L1722" i="2"/>
  <c r="M1723" i="2"/>
  <c r="L1723" i="2"/>
  <c r="M1724" i="2"/>
  <c r="L1724" i="2"/>
  <c r="M1725" i="2"/>
  <c r="L1725" i="2"/>
  <c r="M1726" i="2"/>
  <c r="L1726" i="2"/>
  <c r="M1727" i="2"/>
  <c r="L1727" i="2"/>
  <c r="M1728" i="2"/>
  <c r="L1728" i="2"/>
  <c r="M1729" i="2"/>
  <c r="L1729" i="2"/>
  <c r="M1730" i="2"/>
  <c r="L1730" i="2"/>
  <c r="L1731" i="2"/>
  <c r="M1731" i="2"/>
  <c r="M1732" i="2"/>
  <c r="L1732" i="2"/>
  <c r="M1733" i="2"/>
  <c r="L1733" i="2"/>
  <c r="M1734" i="2"/>
  <c r="L1734" i="2"/>
  <c r="M1735" i="2"/>
  <c r="L1735" i="2"/>
  <c r="M1736" i="2"/>
  <c r="L1736" i="2"/>
  <c r="M1737" i="2"/>
  <c r="L1737" i="2"/>
  <c r="M1738" i="2"/>
  <c r="L1738" i="2"/>
  <c r="M1739" i="2"/>
  <c r="L1739" i="2"/>
  <c r="M1740" i="2"/>
  <c r="L1740" i="2"/>
  <c r="L1741" i="2"/>
  <c r="M1741" i="2"/>
  <c r="L1742" i="2"/>
  <c r="M1742" i="2"/>
  <c r="M1743" i="2"/>
  <c r="L1743" i="2"/>
  <c r="L1744" i="2"/>
  <c r="M1744" i="2"/>
  <c r="L1745" i="2"/>
  <c r="M1745" i="2"/>
  <c r="L1746" i="2"/>
  <c r="M1746" i="2"/>
  <c r="L1747" i="2"/>
  <c r="M1747" i="2"/>
  <c r="L1748" i="2"/>
  <c r="M1748" i="2"/>
  <c r="L1749" i="2"/>
  <c r="M1749" i="2"/>
  <c r="L1750" i="2"/>
  <c r="M1750" i="2"/>
  <c r="M1751" i="2"/>
  <c r="L1751" i="2"/>
  <c r="M1752" i="2"/>
  <c r="L1752" i="2"/>
  <c r="M1753" i="2"/>
  <c r="L1753" i="2"/>
  <c r="M1754" i="2"/>
  <c r="L1754" i="2"/>
  <c r="L1755" i="2"/>
  <c r="M1755" i="2"/>
  <c r="L1756" i="2"/>
  <c r="M1756" i="2"/>
  <c r="M1757" i="2"/>
  <c r="L1757" i="2"/>
  <c r="M1758" i="2"/>
  <c r="L1758" i="2"/>
  <c r="M1759" i="2"/>
  <c r="L1759" i="2"/>
  <c r="M1760" i="2"/>
  <c r="L1760" i="2"/>
  <c r="M1761" i="2"/>
  <c r="L1761" i="2"/>
  <c r="M1762" i="2"/>
  <c r="L1762" i="2"/>
  <c r="M1763" i="2"/>
  <c r="L1763" i="2"/>
  <c r="M1764" i="2"/>
  <c r="L1764" i="2"/>
  <c r="M1765" i="2"/>
  <c r="L1765" i="2"/>
  <c r="M1766" i="2"/>
  <c r="L1766" i="2"/>
  <c r="M1767" i="2"/>
  <c r="L1767" i="2"/>
  <c r="M1768" i="2"/>
  <c r="L1768" i="2"/>
  <c r="M1769" i="2"/>
  <c r="L1769" i="2"/>
  <c r="M1770" i="2"/>
  <c r="L1770" i="2"/>
  <c r="M1771" i="2"/>
  <c r="L1771" i="2"/>
  <c r="M1772" i="2"/>
  <c r="L1772" i="2"/>
  <c r="M1773" i="2"/>
  <c r="L1773" i="2"/>
  <c r="M1774" i="2"/>
  <c r="L1774" i="2"/>
  <c r="M1775" i="2"/>
  <c r="L1775" i="2"/>
  <c r="M1776" i="2"/>
  <c r="L1776" i="2"/>
  <c r="M1777" i="2"/>
  <c r="L1777" i="2"/>
  <c r="M1778" i="2"/>
  <c r="L1778" i="2"/>
  <c r="M1779" i="2"/>
  <c r="L1779" i="2"/>
  <c r="M1780" i="2"/>
  <c r="L1780" i="2"/>
  <c r="M1781" i="2"/>
  <c r="L1781" i="2"/>
  <c r="M1782" i="2"/>
  <c r="L1782" i="2"/>
  <c r="M1783" i="2"/>
  <c r="L1783" i="2"/>
  <c r="M1784" i="2"/>
  <c r="L1784" i="2"/>
  <c r="M1785" i="2"/>
  <c r="L1785" i="2"/>
  <c r="M1786" i="2"/>
  <c r="L1786" i="2"/>
  <c r="M1787" i="2"/>
  <c r="L1787" i="2"/>
  <c r="M1788" i="2"/>
  <c r="L1788" i="2"/>
  <c r="M1789" i="2"/>
  <c r="L1789" i="2"/>
  <c r="M1790" i="2"/>
  <c r="L1790" i="2"/>
  <c r="M1791" i="2"/>
  <c r="L1791" i="2"/>
  <c r="M1792" i="2"/>
  <c r="L1792" i="2"/>
  <c r="M1793" i="2"/>
  <c r="L1793" i="2"/>
  <c r="M1794" i="2"/>
  <c r="L1794" i="2"/>
  <c r="M1795" i="2"/>
  <c r="L1795" i="2"/>
  <c r="M1796" i="2"/>
  <c r="L1796" i="2"/>
  <c r="M1797" i="2"/>
  <c r="L1797" i="2"/>
  <c r="M1798" i="2"/>
  <c r="L1798" i="2"/>
  <c r="M1799" i="2"/>
  <c r="L1799" i="2"/>
  <c r="L1848" i="2"/>
  <c r="M1848" i="2"/>
  <c r="L1849" i="2"/>
  <c r="M1849" i="2"/>
  <c r="L1850" i="2"/>
  <c r="M1850" i="2"/>
  <c r="L1851" i="2"/>
  <c r="M1851" i="2"/>
  <c r="L1852" i="2"/>
  <c r="M1852" i="2"/>
  <c r="M1853" i="2"/>
  <c r="L1853" i="2"/>
  <c r="L1854" i="2"/>
  <c r="M1854" i="2"/>
  <c r="M1855" i="2"/>
  <c r="L1855" i="2"/>
  <c r="M1856" i="2"/>
  <c r="L1856" i="2"/>
  <c r="M1857" i="2"/>
  <c r="L1857" i="2"/>
  <c r="L1858" i="2"/>
  <c r="M1858" i="2"/>
  <c r="L1859" i="2"/>
  <c r="M1859" i="2"/>
  <c r="L1860" i="2"/>
  <c r="M1860" i="2"/>
  <c r="L1861" i="2"/>
  <c r="M1861" i="2"/>
  <c r="M1862" i="2"/>
  <c r="L1862" i="2"/>
  <c r="M1863" i="2"/>
  <c r="L1863" i="2"/>
  <c r="M1864" i="2"/>
  <c r="L1864" i="2"/>
  <c r="M1865" i="2"/>
  <c r="L1865" i="2"/>
  <c r="L1866" i="2"/>
  <c r="M1866" i="2"/>
  <c r="L1867" i="2"/>
  <c r="M1867" i="2"/>
  <c r="M1868" i="2"/>
  <c r="L1868" i="2"/>
  <c r="L1869" i="2"/>
  <c r="M1869" i="2"/>
  <c r="L1870" i="2"/>
  <c r="M1870" i="2"/>
  <c r="M1871" i="2"/>
  <c r="L1871" i="2"/>
  <c r="L1872" i="2"/>
  <c r="M1872" i="2"/>
  <c r="M1873" i="2"/>
  <c r="L1873" i="2"/>
  <c r="L1874" i="2"/>
  <c r="M1874" i="2"/>
  <c r="L1875" i="2"/>
  <c r="M1875" i="2"/>
  <c r="L1876" i="2"/>
  <c r="M1876" i="2"/>
  <c r="L1877" i="2"/>
  <c r="M1877" i="2"/>
  <c r="L1878" i="2"/>
  <c r="M1878" i="2"/>
  <c r="M1879" i="2"/>
  <c r="L1879" i="2"/>
  <c r="M1880" i="2"/>
  <c r="L1880" i="2"/>
  <c r="M1881" i="2"/>
  <c r="L1881" i="2"/>
  <c r="L1882" i="2"/>
  <c r="M1882" i="2"/>
  <c r="M1883" i="2"/>
  <c r="L1883" i="2"/>
  <c r="M1884" i="2"/>
  <c r="L1884" i="2"/>
  <c r="L1885" i="2"/>
  <c r="M1885" i="2"/>
  <c r="M1886" i="2"/>
  <c r="L1886" i="2"/>
  <c r="M1887" i="2"/>
  <c r="L1887" i="2"/>
  <c r="M1888" i="2"/>
  <c r="L1888" i="2"/>
  <c r="M1889" i="2"/>
  <c r="L1889" i="2"/>
  <c r="M1890" i="2"/>
  <c r="L1890" i="2"/>
  <c r="L1891" i="2"/>
  <c r="M1891" i="2"/>
  <c r="M1892" i="2"/>
  <c r="L1892" i="2"/>
  <c r="L1893" i="2"/>
  <c r="M1893" i="2"/>
  <c r="M1894" i="2"/>
  <c r="L1894" i="2"/>
  <c r="L1895" i="2"/>
  <c r="M1895" i="2"/>
  <c r="M1896" i="2"/>
  <c r="L1896" i="2"/>
  <c r="M1897" i="2"/>
  <c r="L1897" i="2"/>
  <c r="M1898" i="2"/>
  <c r="L1898" i="2"/>
  <c r="M1899" i="2"/>
  <c r="L1899" i="2"/>
  <c r="M1900" i="2"/>
  <c r="L1900" i="2"/>
  <c r="M1901" i="2"/>
  <c r="L1901" i="2"/>
  <c r="M1902" i="2"/>
  <c r="L1902" i="2"/>
  <c r="M1903" i="2"/>
  <c r="L1903" i="2"/>
  <c r="M1904" i="2"/>
  <c r="L1904" i="2"/>
  <c r="M1905" i="2"/>
  <c r="L1905" i="2"/>
  <c r="M1906" i="2"/>
  <c r="L1906" i="2"/>
  <c r="L1907" i="2"/>
  <c r="M1907" i="2"/>
  <c r="M1908" i="2"/>
  <c r="L1908" i="2"/>
  <c r="L1909" i="2"/>
  <c r="M1909" i="2"/>
  <c r="L1910" i="2"/>
  <c r="M1910" i="2"/>
  <c r="M1911" i="2"/>
  <c r="L1911" i="2"/>
  <c r="M1912" i="2"/>
  <c r="L1912" i="2"/>
  <c r="M1913" i="2"/>
  <c r="L1913" i="2"/>
  <c r="M1914" i="2"/>
  <c r="L1914" i="2"/>
  <c r="M1915" i="2"/>
  <c r="L1915" i="2"/>
  <c r="M1916" i="2"/>
  <c r="L1916" i="2"/>
  <c r="M1917" i="2"/>
  <c r="L1917" i="2"/>
  <c r="L1918" i="2"/>
  <c r="M1918" i="2"/>
  <c r="L1919" i="2"/>
  <c r="M1919" i="2"/>
  <c r="L1920" i="2"/>
  <c r="M1920" i="2"/>
  <c r="L1921" i="2"/>
  <c r="M1921" i="2"/>
  <c r="L1922" i="2"/>
  <c r="M1922" i="2"/>
  <c r="L1923" i="2"/>
  <c r="M1923" i="2"/>
  <c r="L1924" i="2"/>
  <c r="M1924" i="2"/>
  <c r="L1925" i="2"/>
  <c r="M1925" i="2"/>
  <c r="L1926" i="2"/>
  <c r="M1926" i="2"/>
  <c r="L1927" i="2"/>
  <c r="M1927" i="2"/>
  <c r="M1928" i="2"/>
  <c r="L1928" i="2"/>
  <c r="L1929" i="2"/>
  <c r="M1929" i="2"/>
  <c r="L1930" i="2"/>
  <c r="M1930" i="2"/>
  <c r="L1931" i="2"/>
  <c r="M1931" i="2"/>
  <c r="L1932" i="2"/>
  <c r="M1932" i="2"/>
  <c r="M1933" i="2"/>
  <c r="L1933" i="2"/>
  <c r="M1934" i="2"/>
  <c r="L1934" i="2"/>
  <c r="M1935" i="2"/>
  <c r="L1935" i="2"/>
  <c r="M1936" i="2"/>
  <c r="L1936" i="2"/>
  <c r="M1937" i="2"/>
  <c r="L1937" i="2"/>
  <c r="M1938" i="2"/>
  <c r="L1938" i="2"/>
  <c r="M1939" i="2"/>
  <c r="L1939" i="2"/>
  <c r="M1940" i="2"/>
  <c r="L1940" i="2"/>
  <c r="M1941" i="2"/>
  <c r="L1941" i="2"/>
  <c r="M1942" i="2"/>
  <c r="L1942" i="2"/>
  <c r="M1943" i="2"/>
  <c r="L1943" i="2"/>
  <c r="M1944" i="2"/>
  <c r="L1944" i="2"/>
  <c r="M1945" i="2"/>
  <c r="L1945" i="2"/>
  <c r="M1946" i="2"/>
  <c r="L1946" i="2"/>
  <c r="M1947" i="2"/>
  <c r="L1947" i="2"/>
  <c r="M1948" i="2"/>
  <c r="L1948" i="2"/>
  <c r="M1949" i="2"/>
  <c r="L1949" i="2"/>
  <c r="M1950" i="2"/>
  <c r="L1950" i="2"/>
  <c r="M1951" i="2"/>
  <c r="L1951" i="2"/>
  <c r="L1952" i="2"/>
  <c r="M1952" i="2"/>
  <c r="L1953" i="2"/>
  <c r="M1953" i="2"/>
  <c r="L1954" i="2"/>
  <c r="M1954" i="2"/>
  <c r="L1955" i="2"/>
  <c r="M1955" i="2"/>
  <c r="L1956" i="2"/>
  <c r="M1956" i="2"/>
  <c r="L1957" i="2"/>
  <c r="M1957" i="2"/>
  <c r="L1958" i="2"/>
  <c r="M1958" i="2"/>
  <c r="L1959" i="2"/>
  <c r="M1959" i="2"/>
  <c r="L1960" i="2"/>
  <c r="M1960" i="2"/>
  <c r="L1961" i="2"/>
  <c r="M1961" i="2"/>
  <c r="L1962" i="2"/>
  <c r="M1962" i="2"/>
  <c r="L1963" i="2"/>
  <c r="M1963" i="2"/>
  <c r="L1964" i="2"/>
  <c r="M1964" i="2"/>
  <c r="M1965" i="2"/>
  <c r="L1965" i="2"/>
  <c r="L1966" i="2"/>
  <c r="M1966" i="2"/>
  <c r="M1967" i="2"/>
  <c r="L1967" i="2"/>
  <c r="M1968" i="2"/>
  <c r="L1968" i="2"/>
  <c r="L1969" i="2"/>
  <c r="M1969" i="2"/>
  <c r="L1970" i="2"/>
  <c r="M1970" i="2"/>
  <c r="M1971" i="2"/>
  <c r="L1971" i="2"/>
  <c r="L1972" i="2"/>
  <c r="M1972" i="2"/>
  <c r="L1973" i="2"/>
  <c r="M1973" i="2"/>
  <c r="L1974" i="2"/>
  <c r="M1974" i="2"/>
  <c r="L1975" i="2"/>
  <c r="M1975" i="2"/>
  <c r="L1976" i="2"/>
  <c r="M1976" i="2"/>
  <c r="M1977" i="2"/>
  <c r="L1977" i="2"/>
  <c r="M1978" i="2"/>
  <c r="L1978" i="2"/>
  <c r="M1979" i="2"/>
  <c r="L1979" i="2"/>
  <c r="M1980" i="2"/>
  <c r="L1980" i="2"/>
  <c r="M1981" i="2"/>
  <c r="L1981" i="2"/>
  <c r="M1982" i="2"/>
  <c r="L1982" i="2"/>
  <c r="M1983" i="2"/>
  <c r="L1983" i="2"/>
  <c r="M1984" i="2"/>
  <c r="L1984" i="2"/>
  <c r="M1985" i="2"/>
  <c r="L1985" i="2"/>
  <c r="M1986" i="2"/>
  <c r="L1986" i="2"/>
  <c r="M1987" i="2"/>
  <c r="L1987" i="2"/>
  <c r="M1988" i="2"/>
  <c r="L1988" i="2"/>
  <c r="M1989" i="2"/>
  <c r="L1989" i="2"/>
  <c r="M1990" i="2"/>
  <c r="L1990" i="2"/>
  <c r="M1991" i="2"/>
  <c r="L1991" i="2"/>
  <c r="M1992" i="2"/>
  <c r="L1992" i="2"/>
  <c r="M1993" i="2"/>
  <c r="L1993" i="2"/>
  <c r="M1994" i="2"/>
  <c r="L1994" i="2"/>
  <c r="M1995" i="2"/>
  <c r="L1995" i="2"/>
  <c r="M1996" i="2"/>
  <c r="L1996" i="2"/>
  <c r="M1997" i="2"/>
  <c r="L1997" i="2"/>
  <c r="M1998" i="2"/>
  <c r="L1998" i="2"/>
  <c r="M1999" i="2"/>
  <c r="L1999" i="2"/>
  <c r="M2000" i="2"/>
  <c r="L2000" i="2"/>
  <c r="M2001" i="2"/>
  <c r="L2001" i="2"/>
  <c r="M2" i="2"/>
  <c r="L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<sst xmlns="http://schemas.openxmlformats.org/spreadsheetml/2006/main" count="21260" uniqueCount="5239">
  <si>
    <t>FiscalYear</t>
  </si>
  <si>
    <t>Dept</t>
  </si>
  <si>
    <t>Quarter</t>
  </si>
  <si>
    <t>BudgetUSD</t>
  </si>
  <si>
    <t>ForecastUSD</t>
  </si>
  <si>
    <t>ActualUSD</t>
  </si>
  <si>
    <t>VarianceUSD</t>
  </si>
  <si>
    <t>Notes</t>
  </si>
  <si>
    <t>Finance</t>
  </si>
  <si>
    <t>HR</t>
  </si>
  <si>
    <t>IT</t>
  </si>
  <si>
    <t>Sales</t>
  </si>
  <si>
    <t>Marketing</t>
  </si>
  <si>
    <t>Operations</t>
  </si>
  <si>
    <t>GLID</t>
  </si>
  <si>
    <t>TxnDate</t>
  </si>
  <si>
    <t>AccountNumber</t>
  </si>
  <si>
    <t>AccountName</t>
  </si>
  <si>
    <t>Debit</t>
  </si>
  <si>
    <t>Credit</t>
  </si>
  <si>
    <t>CostCenter</t>
  </si>
  <si>
    <t>Description</t>
  </si>
  <si>
    <t>Currency</t>
  </si>
  <si>
    <t>GL000000</t>
  </si>
  <si>
    <t>4000</t>
  </si>
  <si>
    <t>Sales Revenue</t>
  </si>
  <si>
    <t>CC500</t>
  </si>
  <si>
    <t>AutoPost 0</t>
  </si>
  <si>
    <t>GBP</t>
  </si>
  <si>
    <t>GL000001</t>
  </si>
  <si>
    <t>5000</t>
  </si>
  <si>
    <t>COGS</t>
  </si>
  <si>
    <t>AutoPost 1</t>
  </si>
  <si>
    <t>GL000002</t>
  </si>
  <si>
    <t>CC300</t>
  </si>
  <si>
    <t>AutoPost 2</t>
  </si>
  <si>
    <t>EUR</t>
  </si>
  <si>
    <t>GL000003</t>
  </si>
  <si>
    <t>6000</t>
  </si>
  <si>
    <t>Payroll Expense</t>
  </si>
  <si>
    <t>CC400</t>
  </si>
  <si>
    <t>AutoPost 3</t>
  </si>
  <si>
    <t>AUD</t>
  </si>
  <si>
    <t>GL000004</t>
  </si>
  <si>
    <t>AutoPost 4</t>
  </si>
  <si>
    <t>USD</t>
  </si>
  <si>
    <t>GL000005</t>
  </si>
  <si>
    <t>AutoPost 5</t>
  </si>
  <si>
    <t>GL000006</t>
  </si>
  <si>
    <t>5010</t>
  </si>
  <si>
    <t>Travel Expense</t>
  </si>
  <si>
    <t>CC200</t>
  </si>
  <si>
    <t>AutoPost 6</t>
  </si>
  <si>
    <t>GL000007</t>
  </si>
  <si>
    <t>AutoPost 7</t>
  </si>
  <si>
    <t>GL000008</t>
  </si>
  <si>
    <t>AutoPost 8</t>
  </si>
  <si>
    <t>GL000009</t>
  </si>
  <si>
    <t>AutoPost 9</t>
  </si>
  <si>
    <t>GL000010</t>
  </si>
  <si>
    <t>4010</t>
  </si>
  <si>
    <t>Online Sales</t>
  </si>
  <si>
    <t>CC100</t>
  </si>
  <si>
    <t>AutoPost 10</t>
  </si>
  <si>
    <t>CAD</t>
  </si>
  <si>
    <t>GL000011</t>
  </si>
  <si>
    <t>AutoPost 11</t>
  </si>
  <si>
    <t>GL000012</t>
  </si>
  <si>
    <t>AutoPost 12</t>
  </si>
  <si>
    <t>GL000013</t>
  </si>
  <si>
    <t>AutoPost 13</t>
  </si>
  <si>
    <t>GL000014</t>
  </si>
  <si>
    <t>AutoPost 14</t>
  </si>
  <si>
    <t>GL000015</t>
  </si>
  <si>
    <t>AutoPost 15</t>
  </si>
  <si>
    <t>GL000016</t>
  </si>
  <si>
    <t>AutoPost 16</t>
  </si>
  <si>
    <t>GL000017</t>
  </si>
  <si>
    <t>AutoPost 17</t>
  </si>
  <si>
    <t>GL000018</t>
  </si>
  <si>
    <t>AutoPost 18</t>
  </si>
  <si>
    <t>GL000019</t>
  </si>
  <si>
    <t>AutoPost 19</t>
  </si>
  <si>
    <t>GL000020</t>
  </si>
  <si>
    <t>AutoPost 20</t>
  </si>
  <si>
    <t>GL000021</t>
  </si>
  <si>
    <t>AutoPost 21</t>
  </si>
  <si>
    <t>GL000022</t>
  </si>
  <si>
    <t>AutoPost 22</t>
  </si>
  <si>
    <t>GL000023</t>
  </si>
  <si>
    <t>AutoPost 23</t>
  </si>
  <si>
    <t>GL000024</t>
  </si>
  <si>
    <t>AutoPost 24</t>
  </si>
  <si>
    <t>GL000025</t>
  </si>
  <si>
    <t>AutoPost 25</t>
  </si>
  <si>
    <t>GL000026</t>
  </si>
  <si>
    <t>AutoPost 26</t>
  </si>
  <si>
    <t>GL000027</t>
  </si>
  <si>
    <t>AutoPost 27</t>
  </si>
  <si>
    <t>GL000028</t>
  </si>
  <si>
    <t>AutoPost 28</t>
  </si>
  <si>
    <t>GL000029</t>
  </si>
  <si>
    <t>AutoPost 29</t>
  </si>
  <si>
    <t>GL000030</t>
  </si>
  <si>
    <t>AutoPost 30</t>
  </si>
  <si>
    <t>GL000031</t>
  </si>
  <si>
    <t>AutoPost 31</t>
  </si>
  <si>
    <t>GL000032</t>
  </si>
  <si>
    <t>AutoPost 32</t>
  </si>
  <si>
    <t>GL000033</t>
  </si>
  <si>
    <t>AutoPost 33</t>
  </si>
  <si>
    <t>GL000034</t>
  </si>
  <si>
    <t>AutoPost 34</t>
  </si>
  <si>
    <t>GL000035</t>
  </si>
  <si>
    <t>AutoPost 35</t>
  </si>
  <si>
    <t>GL000036</t>
  </si>
  <si>
    <t>AutoPost 36</t>
  </si>
  <si>
    <t>GL000037</t>
  </si>
  <si>
    <t>AutoPost 37</t>
  </si>
  <si>
    <t>GL000038</t>
  </si>
  <si>
    <t>AutoPost 38</t>
  </si>
  <si>
    <t>GL000039</t>
  </si>
  <si>
    <t>AutoPost 39</t>
  </si>
  <si>
    <t>GL000040</t>
  </si>
  <si>
    <t>AutoPost 40</t>
  </si>
  <si>
    <t>GL000041</t>
  </si>
  <si>
    <t>AutoPost 41</t>
  </si>
  <si>
    <t>GL000042</t>
  </si>
  <si>
    <t>AutoPost 42</t>
  </si>
  <si>
    <t>GL000043</t>
  </si>
  <si>
    <t>AutoPost 43</t>
  </si>
  <si>
    <t>GL000044</t>
  </si>
  <si>
    <t>AutoPost 44</t>
  </si>
  <si>
    <t>GL000045</t>
  </si>
  <si>
    <t>AutoPost 45</t>
  </si>
  <si>
    <t>GL000046</t>
  </si>
  <si>
    <t>AutoPost 46</t>
  </si>
  <si>
    <t>GL000047</t>
  </si>
  <si>
    <t>AutoPost 47</t>
  </si>
  <si>
    <t>GL000048</t>
  </si>
  <si>
    <t>AutoPost 48</t>
  </si>
  <si>
    <t>GL000049</t>
  </si>
  <si>
    <t>AutoPost 49</t>
  </si>
  <si>
    <t>GL000050</t>
  </si>
  <si>
    <t>AutoPost 50</t>
  </si>
  <si>
    <t>GL000051</t>
  </si>
  <si>
    <t>AutoPost 51</t>
  </si>
  <si>
    <t>GL000052</t>
  </si>
  <si>
    <t>AutoPost 52</t>
  </si>
  <si>
    <t>GL000053</t>
  </si>
  <si>
    <t>AutoPost 53</t>
  </si>
  <si>
    <t>GL000054</t>
  </si>
  <si>
    <t>AutoPost 54</t>
  </si>
  <si>
    <t>GL000055</t>
  </si>
  <si>
    <t>AutoPost 55</t>
  </si>
  <si>
    <t>GL000056</t>
  </si>
  <si>
    <t>AutoPost 56</t>
  </si>
  <si>
    <t>GL000057</t>
  </si>
  <si>
    <t>AutoPost 57</t>
  </si>
  <si>
    <t>GL000058</t>
  </si>
  <si>
    <t>AutoPost 58</t>
  </si>
  <si>
    <t>GL000059</t>
  </si>
  <si>
    <t>AutoPost 59</t>
  </si>
  <si>
    <t>GL000060</t>
  </si>
  <si>
    <t>AutoPost 60</t>
  </si>
  <si>
    <t>GL000061</t>
  </si>
  <si>
    <t>AutoPost 61</t>
  </si>
  <si>
    <t>GL000062</t>
  </si>
  <si>
    <t>AutoPost 62</t>
  </si>
  <si>
    <t>GL000063</t>
  </si>
  <si>
    <t>AutoPost 63</t>
  </si>
  <si>
    <t>GL000064</t>
  </si>
  <si>
    <t>AutoPost 64</t>
  </si>
  <si>
    <t>GL000065</t>
  </si>
  <si>
    <t>AutoPost 65</t>
  </si>
  <si>
    <t>GL000066</t>
  </si>
  <si>
    <t>AutoPost 66</t>
  </si>
  <si>
    <t>GL000067</t>
  </si>
  <si>
    <t>AutoPost 67</t>
  </si>
  <si>
    <t>GL000068</t>
  </si>
  <si>
    <t>AutoPost 68</t>
  </si>
  <si>
    <t>GL000069</t>
  </si>
  <si>
    <t>AutoPost 69</t>
  </si>
  <si>
    <t>GL000070</t>
  </si>
  <si>
    <t>AutoPost 70</t>
  </si>
  <si>
    <t>GL000071</t>
  </si>
  <si>
    <t>AutoPost 71</t>
  </si>
  <si>
    <t>GL000072</t>
  </si>
  <si>
    <t>AutoPost 72</t>
  </si>
  <si>
    <t>GL000073</t>
  </si>
  <si>
    <t>AutoPost 73</t>
  </si>
  <si>
    <t>GL000074</t>
  </si>
  <si>
    <t>AutoPost 74</t>
  </si>
  <si>
    <t>GL000075</t>
  </si>
  <si>
    <t>AutoPost 75</t>
  </si>
  <si>
    <t>GL000076</t>
  </si>
  <si>
    <t>AutoPost 76</t>
  </si>
  <si>
    <t>GL000077</t>
  </si>
  <si>
    <t>AutoPost 77</t>
  </si>
  <si>
    <t>GL000078</t>
  </si>
  <si>
    <t>AutoPost 78</t>
  </si>
  <si>
    <t>GL000079</t>
  </si>
  <si>
    <t>AutoPost 79</t>
  </si>
  <si>
    <t>GL000080</t>
  </si>
  <si>
    <t>AutoPost 80</t>
  </si>
  <si>
    <t>GL000081</t>
  </si>
  <si>
    <t>AutoPost 81</t>
  </si>
  <si>
    <t>GL000082</t>
  </si>
  <si>
    <t>AutoPost 82</t>
  </si>
  <si>
    <t>GL000083</t>
  </si>
  <si>
    <t>AutoPost 83</t>
  </si>
  <si>
    <t>GL000084</t>
  </si>
  <si>
    <t>AutoPost 84</t>
  </si>
  <si>
    <t>GL000085</t>
  </si>
  <si>
    <t>AutoPost 85</t>
  </si>
  <si>
    <t>GL000086</t>
  </si>
  <si>
    <t>AutoPost 86</t>
  </si>
  <si>
    <t>GL000087</t>
  </si>
  <si>
    <t>AutoPost 87</t>
  </si>
  <si>
    <t>GL000088</t>
  </si>
  <si>
    <t>AutoPost 88</t>
  </si>
  <si>
    <t>GL000089</t>
  </si>
  <si>
    <t>AutoPost 89</t>
  </si>
  <si>
    <t>GL000090</t>
  </si>
  <si>
    <t>AutoPost 90</t>
  </si>
  <si>
    <t>GL000091</t>
  </si>
  <si>
    <t>AutoPost 91</t>
  </si>
  <si>
    <t>GL000092</t>
  </si>
  <si>
    <t>AutoPost 92</t>
  </si>
  <si>
    <t>GL000093</t>
  </si>
  <si>
    <t>AutoPost 93</t>
  </si>
  <si>
    <t>GL000094</t>
  </si>
  <si>
    <t>AutoPost 94</t>
  </si>
  <si>
    <t>GL000095</t>
  </si>
  <si>
    <t>AutoPost 95</t>
  </si>
  <si>
    <t>GL000096</t>
  </si>
  <si>
    <t>AutoPost 96</t>
  </si>
  <si>
    <t>GL000097</t>
  </si>
  <si>
    <t>AutoPost 97</t>
  </si>
  <si>
    <t>GL000098</t>
  </si>
  <si>
    <t>AutoPost 98</t>
  </si>
  <si>
    <t>GL000099</t>
  </si>
  <si>
    <t>AutoPost 99</t>
  </si>
  <si>
    <t>GL000100</t>
  </si>
  <si>
    <t>AutoPost 100</t>
  </si>
  <si>
    <t>GL000101</t>
  </si>
  <si>
    <t>AutoPost 101</t>
  </si>
  <si>
    <t>GL000102</t>
  </si>
  <si>
    <t>AutoPost 102</t>
  </si>
  <si>
    <t>GL000103</t>
  </si>
  <si>
    <t>AutoPost 103</t>
  </si>
  <si>
    <t>GL000104</t>
  </si>
  <si>
    <t>AutoPost 104</t>
  </si>
  <si>
    <t>GL000105</t>
  </si>
  <si>
    <t>AutoPost 105</t>
  </si>
  <si>
    <t>GL000106</t>
  </si>
  <si>
    <t>AutoPost 106</t>
  </si>
  <si>
    <t>GL000107</t>
  </si>
  <si>
    <t>AutoPost 107</t>
  </si>
  <si>
    <t>GL000108</t>
  </si>
  <si>
    <t>AutoPost 108</t>
  </si>
  <si>
    <t>GL000109</t>
  </si>
  <si>
    <t>AutoPost 109</t>
  </si>
  <si>
    <t>GL000110</t>
  </si>
  <si>
    <t>AutoPost 110</t>
  </si>
  <si>
    <t>GL000111</t>
  </si>
  <si>
    <t>AutoPost 111</t>
  </si>
  <si>
    <t>GL000112</t>
  </si>
  <si>
    <t>AutoPost 112</t>
  </si>
  <si>
    <t>GL000113</t>
  </si>
  <si>
    <t>AutoPost 113</t>
  </si>
  <si>
    <t>GL000114</t>
  </si>
  <si>
    <t>AutoPost 114</t>
  </si>
  <si>
    <t>GL000115</t>
  </si>
  <si>
    <t>AutoPost 115</t>
  </si>
  <si>
    <t>GL000116</t>
  </si>
  <si>
    <t>AutoPost 116</t>
  </si>
  <si>
    <t>GL000117</t>
  </si>
  <si>
    <t>AutoPost 117</t>
  </si>
  <si>
    <t>GL000118</t>
  </si>
  <si>
    <t>AutoPost 118</t>
  </si>
  <si>
    <t>GL000119</t>
  </si>
  <si>
    <t>AutoPost 119</t>
  </si>
  <si>
    <t>GL000120</t>
  </si>
  <si>
    <t>AutoPost 120</t>
  </si>
  <si>
    <t>GL000121</t>
  </si>
  <si>
    <t>AutoPost 121</t>
  </si>
  <si>
    <t>GL000122</t>
  </si>
  <si>
    <t>AutoPost 122</t>
  </si>
  <si>
    <t>GL000123</t>
  </si>
  <si>
    <t>AutoPost 123</t>
  </si>
  <si>
    <t>GL000124</t>
  </si>
  <si>
    <t>AutoPost 124</t>
  </si>
  <si>
    <t>GL000125</t>
  </si>
  <si>
    <t>AutoPost 125</t>
  </si>
  <si>
    <t>GL000126</t>
  </si>
  <si>
    <t>AutoPost 126</t>
  </si>
  <si>
    <t>GL000127</t>
  </si>
  <si>
    <t>AutoPost 127</t>
  </si>
  <si>
    <t>GL000128</t>
  </si>
  <si>
    <t>AutoPost 128</t>
  </si>
  <si>
    <t>GL000129</t>
  </si>
  <si>
    <t>AutoPost 129</t>
  </si>
  <si>
    <t>GL000130</t>
  </si>
  <si>
    <t>AutoPost 130</t>
  </si>
  <si>
    <t>GL000131</t>
  </si>
  <si>
    <t>AutoPost 131</t>
  </si>
  <si>
    <t>GL000132</t>
  </si>
  <si>
    <t>AutoPost 132</t>
  </si>
  <si>
    <t>GL000133</t>
  </si>
  <si>
    <t>AutoPost 133</t>
  </si>
  <si>
    <t>GL000134</t>
  </si>
  <si>
    <t>AutoPost 134</t>
  </si>
  <si>
    <t>GL000135</t>
  </si>
  <si>
    <t>AutoPost 135</t>
  </si>
  <si>
    <t>GL000136</t>
  </si>
  <si>
    <t>AutoPost 136</t>
  </si>
  <si>
    <t>GL000137</t>
  </si>
  <si>
    <t>AutoPost 137</t>
  </si>
  <si>
    <t>GL000138</t>
  </si>
  <si>
    <t>AutoPost 138</t>
  </si>
  <si>
    <t>GL000139</t>
  </si>
  <si>
    <t>AutoPost 139</t>
  </si>
  <si>
    <t>GL000140</t>
  </si>
  <si>
    <t>AutoPost 140</t>
  </si>
  <si>
    <t>GL000141</t>
  </si>
  <si>
    <t>AutoPost 141</t>
  </si>
  <si>
    <t>GL000142</t>
  </si>
  <si>
    <t>AutoPost 142</t>
  </si>
  <si>
    <t>GL000143</t>
  </si>
  <si>
    <t>AutoPost 143</t>
  </si>
  <si>
    <t>GL000144</t>
  </si>
  <si>
    <t>AutoPost 144</t>
  </si>
  <si>
    <t>GL000145</t>
  </si>
  <si>
    <t>AutoPost 145</t>
  </si>
  <si>
    <t>GL000146</t>
  </si>
  <si>
    <t>AutoPost 146</t>
  </si>
  <si>
    <t>GL000147</t>
  </si>
  <si>
    <t>AutoPost 147</t>
  </si>
  <si>
    <t>GL000148</t>
  </si>
  <si>
    <t>AutoPost 148</t>
  </si>
  <si>
    <t>GL000149</t>
  </si>
  <si>
    <t>AutoPost 149</t>
  </si>
  <si>
    <t>GL000150</t>
  </si>
  <si>
    <t>AutoPost 150</t>
  </si>
  <si>
    <t>GL000151</t>
  </si>
  <si>
    <t>AutoPost 151</t>
  </si>
  <si>
    <t>GL000152</t>
  </si>
  <si>
    <t>AutoPost 152</t>
  </si>
  <si>
    <t>GL000153</t>
  </si>
  <si>
    <t>AutoPost 153</t>
  </si>
  <si>
    <t>GL000154</t>
  </si>
  <si>
    <t>AutoPost 154</t>
  </si>
  <si>
    <t>GL000155</t>
  </si>
  <si>
    <t>AutoPost 155</t>
  </si>
  <si>
    <t>GL000156</t>
  </si>
  <si>
    <t>AutoPost 156</t>
  </si>
  <si>
    <t>GL000157</t>
  </si>
  <si>
    <t>AutoPost 157</t>
  </si>
  <si>
    <t>GL000158</t>
  </si>
  <si>
    <t>AutoPost 158</t>
  </si>
  <si>
    <t>GL000159</t>
  </si>
  <si>
    <t>AutoPost 159</t>
  </si>
  <si>
    <t>GL000160</t>
  </si>
  <si>
    <t>AutoPost 160</t>
  </si>
  <si>
    <t>GL000161</t>
  </si>
  <si>
    <t>AutoPost 161</t>
  </si>
  <si>
    <t>GL000162</t>
  </si>
  <si>
    <t>AutoPost 162</t>
  </si>
  <si>
    <t>GL000163</t>
  </si>
  <si>
    <t>AutoPost 163</t>
  </si>
  <si>
    <t>GL000164</t>
  </si>
  <si>
    <t>AutoPost 164</t>
  </si>
  <si>
    <t>GL000165</t>
  </si>
  <si>
    <t>AutoPost 165</t>
  </si>
  <si>
    <t>GL000166</t>
  </si>
  <si>
    <t>AutoPost 166</t>
  </si>
  <si>
    <t>GL000167</t>
  </si>
  <si>
    <t>AutoPost 167</t>
  </si>
  <si>
    <t>GL000168</t>
  </si>
  <si>
    <t>AutoPost 168</t>
  </si>
  <si>
    <t>GL000169</t>
  </si>
  <si>
    <t>AutoPost 169</t>
  </si>
  <si>
    <t>GL000170</t>
  </si>
  <si>
    <t>AutoPost 170</t>
  </si>
  <si>
    <t>GL000171</t>
  </si>
  <si>
    <t>AutoPost 171</t>
  </si>
  <si>
    <t>GL000172</t>
  </si>
  <si>
    <t>AutoPost 172</t>
  </si>
  <si>
    <t>GL000173</t>
  </si>
  <si>
    <t>AutoPost 173</t>
  </si>
  <si>
    <t>GL000174</t>
  </si>
  <si>
    <t>AutoPost 174</t>
  </si>
  <si>
    <t>GL000175</t>
  </si>
  <si>
    <t>AutoPost 175</t>
  </si>
  <si>
    <t>GL000176</t>
  </si>
  <si>
    <t>AutoPost 176</t>
  </si>
  <si>
    <t>GL000177</t>
  </si>
  <si>
    <t>AutoPost 177</t>
  </si>
  <si>
    <t>GL000178</t>
  </si>
  <si>
    <t>AutoPost 178</t>
  </si>
  <si>
    <t>GL000179</t>
  </si>
  <si>
    <t>AutoPost 179</t>
  </si>
  <si>
    <t>GL000180</t>
  </si>
  <si>
    <t>AutoPost 180</t>
  </si>
  <si>
    <t>GL000181</t>
  </si>
  <si>
    <t>AutoPost 181</t>
  </si>
  <si>
    <t>GL000182</t>
  </si>
  <si>
    <t>AutoPost 182</t>
  </si>
  <si>
    <t>GL000183</t>
  </si>
  <si>
    <t>AutoPost 183</t>
  </si>
  <si>
    <t>GL000184</t>
  </si>
  <si>
    <t>AutoPost 184</t>
  </si>
  <si>
    <t>GL000185</t>
  </si>
  <si>
    <t>AutoPost 185</t>
  </si>
  <si>
    <t>GL000186</t>
  </si>
  <si>
    <t>AutoPost 186</t>
  </si>
  <si>
    <t>GL000187</t>
  </si>
  <si>
    <t>AutoPost 187</t>
  </si>
  <si>
    <t>GL000188</t>
  </si>
  <si>
    <t>AutoPost 188</t>
  </si>
  <si>
    <t>GL000189</t>
  </si>
  <si>
    <t>AutoPost 189</t>
  </si>
  <si>
    <t>GL000190</t>
  </si>
  <si>
    <t>AutoPost 190</t>
  </si>
  <si>
    <t>GL000191</t>
  </si>
  <si>
    <t>AutoPost 191</t>
  </si>
  <si>
    <t>GL000192</t>
  </si>
  <si>
    <t>AutoPost 192</t>
  </si>
  <si>
    <t>GL000193</t>
  </si>
  <si>
    <t>AutoPost 193</t>
  </si>
  <si>
    <t>GL000194</t>
  </si>
  <si>
    <t>AutoPost 194</t>
  </si>
  <si>
    <t>GL000195</t>
  </si>
  <si>
    <t>AutoPost 195</t>
  </si>
  <si>
    <t>GL000196</t>
  </si>
  <si>
    <t>AutoPost 196</t>
  </si>
  <si>
    <t>GL000197</t>
  </si>
  <si>
    <t>AutoPost 197</t>
  </si>
  <si>
    <t>GL000198</t>
  </si>
  <si>
    <t>AutoPost 198</t>
  </si>
  <si>
    <t>GL000199</t>
  </si>
  <si>
    <t>AutoPost 199</t>
  </si>
  <si>
    <t>GL000200</t>
  </si>
  <si>
    <t>AutoPost 200</t>
  </si>
  <si>
    <t>GL000201</t>
  </si>
  <si>
    <t>AutoPost 201</t>
  </si>
  <si>
    <t>GL000202</t>
  </si>
  <si>
    <t>AutoPost 202</t>
  </si>
  <si>
    <t>GL000203</t>
  </si>
  <si>
    <t>AutoPost 203</t>
  </si>
  <si>
    <t>GL000204</t>
  </si>
  <si>
    <t>AutoPost 204</t>
  </si>
  <si>
    <t>GL000205</t>
  </si>
  <si>
    <t>AutoPost 205</t>
  </si>
  <si>
    <t>GL000206</t>
  </si>
  <si>
    <t>AutoPost 206</t>
  </si>
  <si>
    <t>GL000207</t>
  </si>
  <si>
    <t>AutoPost 207</t>
  </si>
  <si>
    <t>GL000208</t>
  </si>
  <si>
    <t>AutoPost 208</t>
  </si>
  <si>
    <t>GL000209</t>
  </si>
  <si>
    <t>AutoPost 209</t>
  </si>
  <si>
    <t>GL000210</t>
  </si>
  <si>
    <t>AutoPost 210</t>
  </si>
  <si>
    <t>GL000211</t>
  </si>
  <si>
    <t>AutoPost 211</t>
  </si>
  <si>
    <t>GL000212</t>
  </si>
  <si>
    <t>AutoPost 212</t>
  </si>
  <si>
    <t>GL000213</t>
  </si>
  <si>
    <t>AutoPost 213</t>
  </si>
  <si>
    <t>GL000214</t>
  </si>
  <si>
    <t>AutoPost 214</t>
  </si>
  <si>
    <t>GL000215</t>
  </si>
  <si>
    <t>AutoPost 215</t>
  </si>
  <si>
    <t>GL000216</t>
  </si>
  <si>
    <t>AutoPost 216</t>
  </si>
  <si>
    <t>GL000217</t>
  </si>
  <si>
    <t>AutoPost 217</t>
  </si>
  <si>
    <t>GL000218</t>
  </si>
  <si>
    <t>AutoPost 218</t>
  </si>
  <si>
    <t>GL000219</t>
  </si>
  <si>
    <t>AutoPost 219</t>
  </si>
  <si>
    <t>GL000220</t>
  </si>
  <si>
    <t>AutoPost 220</t>
  </si>
  <si>
    <t>GL000221</t>
  </si>
  <si>
    <t>AutoPost 221</t>
  </si>
  <si>
    <t>GL000222</t>
  </si>
  <si>
    <t>AutoPost 222</t>
  </si>
  <si>
    <t>GL000223</t>
  </si>
  <si>
    <t>AutoPost 223</t>
  </si>
  <si>
    <t>GL000224</t>
  </si>
  <si>
    <t>AutoPost 224</t>
  </si>
  <si>
    <t>GL000225</t>
  </si>
  <si>
    <t>AutoPost 225</t>
  </si>
  <si>
    <t>GL000226</t>
  </si>
  <si>
    <t>AutoPost 226</t>
  </si>
  <si>
    <t>GL000227</t>
  </si>
  <si>
    <t>AutoPost 227</t>
  </si>
  <si>
    <t>GL000228</t>
  </si>
  <si>
    <t>AutoPost 228</t>
  </si>
  <si>
    <t>GL000229</t>
  </si>
  <si>
    <t>AutoPost 229</t>
  </si>
  <si>
    <t>GL000230</t>
  </si>
  <si>
    <t>AutoPost 230</t>
  </si>
  <si>
    <t>GL000231</t>
  </si>
  <si>
    <t>AutoPost 231</t>
  </si>
  <si>
    <t>GL000232</t>
  </si>
  <si>
    <t>AutoPost 232</t>
  </si>
  <si>
    <t>GL000233</t>
  </si>
  <si>
    <t>AutoPost 233</t>
  </si>
  <si>
    <t>GL000234</t>
  </si>
  <si>
    <t>AutoPost 234</t>
  </si>
  <si>
    <t>GL000235</t>
  </si>
  <si>
    <t>AutoPost 235</t>
  </si>
  <si>
    <t>GL000236</t>
  </si>
  <si>
    <t>AutoPost 236</t>
  </si>
  <si>
    <t>GL000237</t>
  </si>
  <si>
    <t>AutoPost 237</t>
  </si>
  <si>
    <t>GL000238</t>
  </si>
  <si>
    <t>AutoPost 238</t>
  </si>
  <si>
    <t>GL000239</t>
  </si>
  <si>
    <t>AutoPost 239</t>
  </si>
  <si>
    <t>GL000240</t>
  </si>
  <si>
    <t>AutoPost 240</t>
  </si>
  <si>
    <t>GL000241</t>
  </si>
  <si>
    <t>AutoPost 241</t>
  </si>
  <si>
    <t>GL000242</t>
  </si>
  <si>
    <t>AutoPost 242</t>
  </si>
  <si>
    <t>GL000243</t>
  </si>
  <si>
    <t>AutoPost 243</t>
  </si>
  <si>
    <t>GL000244</t>
  </si>
  <si>
    <t>AutoPost 244</t>
  </si>
  <si>
    <t>GL000245</t>
  </si>
  <si>
    <t>AutoPost 245</t>
  </si>
  <si>
    <t>GL000246</t>
  </si>
  <si>
    <t>AutoPost 246</t>
  </si>
  <si>
    <t>GL000247</t>
  </si>
  <si>
    <t>AutoPost 247</t>
  </si>
  <si>
    <t>GL000248</t>
  </si>
  <si>
    <t>AutoPost 248</t>
  </si>
  <si>
    <t>GL000249</t>
  </si>
  <si>
    <t>AutoPost 249</t>
  </si>
  <si>
    <t>GL000250</t>
  </si>
  <si>
    <t>AutoPost 250</t>
  </si>
  <si>
    <t>GL000251</t>
  </si>
  <si>
    <t>AutoPost 251</t>
  </si>
  <si>
    <t>GL000252</t>
  </si>
  <si>
    <t>AutoPost 252</t>
  </si>
  <si>
    <t>GL000253</t>
  </si>
  <si>
    <t>AutoPost 253</t>
  </si>
  <si>
    <t>GL000254</t>
  </si>
  <si>
    <t>AutoPost 254</t>
  </si>
  <si>
    <t>GL000255</t>
  </si>
  <si>
    <t>AutoPost 255</t>
  </si>
  <si>
    <t>GL000256</t>
  </si>
  <si>
    <t>AutoPost 256</t>
  </si>
  <si>
    <t>GL000257</t>
  </si>
  <si>
    <t>AutoPost 257</t>
  </si>
  <si>
    <t>GL000258</t>
  </si>
  <si>
    <t>AutoPost 258</t>
  </si>
  <si>
    <t>GL000259</t>
  </si>
  <si>
    <t>AutoPost 259</t>
  </si>
  <si>
    <t>GL000260</t>
  </si>
  <si>
    <t>AutoPost 260</t>
  </si>
  <si>
    <t>GL000261</t>
  </si>
  <si>
    <t>AutoPost 261</t>
  </si>
  <si>
    <t>GL000262</t>
  </si>
  <si>
    <t>AutoPost 262</t>
  </si>
  <si>
    <t>GL000263</t>
  </si>
  <si>
    <t>AutoPost 263</t>
  </si>
  <si>
    <t>GL000264</t>
  </si>
  <si>
    <t>AutoPost 264</t>
  </si>
  <si>
    <t>GL000265</t>
  </si>
  <si>
    <t>AutoPost 265</t>
  </si>
  <si>
    <t>GL000266</t>
  </si>
  <si>
    <t>AutoPost 266</t>
  </si>
  <si>
    <t>GL000267</t>
  </si>
  <si>
    <t>AutoPost 267</t>
  </si>
  <si>
    <t>GL000268</t>
  </si>
  <si>
    <t>AutoPost 268</t>
  </si>
  <si>
    <t>GL000269</t>
  </si>
  <si>
    <t>AutoPost 269</t>
  </si>
  <si>
    <t>GL000270</t>
  </si>
  <si>
    <t>AutoPost 270</t>
  </si>
  <si>
    <t>GL000271</t>
  </si>
  <si>
    <t>AutoPost 271</t>
  </si>
  <si>
    <t>GL000272</t>
  </si>
  <si>
    <t>AutoPost 272</t>
  </si>
  <si>
    <t>GL000273</t>
  </si>
  <si>
    <t>AutoPost 273</t>
  </si>
  <si>
    <t>GL000274</t>
  </si>
  <si>
    <t>AutoPost 274</t>
  </si>
  <si>
    <t>GL000275</t>
  </si>
  <si>
    <t>AutoPost 275</t>
  </si>
  <si>
    <t>GL000276</t>
  </si>
  <si>
    <t>AutoPost 276</t>
  </si>
  <si>
    <t>GL000277</t>
  </si>
  <si>
    <t>AutoPost 277</t>
  </si>
  <si>
    <t>GL000278</t>
  </si>
  <si>
    <t>AutoPost 278</t>
  </si>
  <si>
    <t>GL000279</t>
  </si>
  <si>
    <t>AutoPost 279</t>
  </si>
  <si>
    <t>GL000280</t>
  </si>
  <si>
    <t>AutoPost 280</t>
  </si>
  <si>
    <t>GL000281</t>
  </si>
  <si>
    <t>AutoPost 281</t>
  </si>
  <si>
    <t>GL000282</t>
  </si>
  <si>
    <t>AutoPost 282</t>
  </si>
  <si>
    <t>GL000283</t>
  </si>
  <si>
    <t>AutoPost 283</t>
  </si>
  <si>
    <t>GL000284</t>
  </si>
  <si>
    <t>AutoPost 284</t>
  </si>
  <si>
    <t>GL000285</t>
  </si>
  <si>
    <t>AutoPost 285</t>
  </si>
  <si>
    <t>GL000286</t>
  </si>
  <si>
    <t>AutoPost 286</t>
  </si>
  <si>
    <t>GL000287</t>
  </si>
  <si>
    <t>AutoPost 287</t>
  </si>
  <si>
    <t>GL000288</t>
  </si>
  <si>
    <t>AutoPost 288</t>
  </si>
  <si>
    <t>GL000289</t>
  </si>
  <si>
    <t>AutoPost 289</t>
  </si>
  <si>
    <t>GL000290</t>
  </si>
  <si>
    <t>AutoPost 290</t>
  </si>
  <si>
    <t>GL000291</t>
  </si>
  <si>
    <t>AutoPost 291</t>
  </si>
  <si>
    <t>GL000292</t>
  </si>
  <si>
    <t>AutoPost 292</t>
  </si>
  <si>
    <t>GL000293</t>
  </si>
  <si>
    <t>AutoPost 293</t>
  </si>
  <si>
    <t>GL000294</t>
  </si>
  <si>
    <t>AutoPost 294</t>
  </si>
  <si>
    <t>GL000295</t>
  </si>
  <si>
    <t>AutoPost 295</t>
  </si>
  <si>
    <t>GL000296</t>
  </si>
  <si>
    <t>AutoPost 296</t>
  </si>
  <si>
    <t>GL000297</t>
  </si>
  <si>
    <t>AutoPost 297</t>
  </si>
  <si>
    <t>GL000298</t>
  </si>
  <si>
    <t>AutoPost 298</t>
  </si>
  <si>
    <t>GL000299</t>
  </si>
  <si>
    <t>AutoPost 299</t>
  </si>
  <si>
    <t>GL000300</t>
  </si>
  <si>
    <t>AutoPost 300</t>
  </si>
  <si>
    <t>GL000301</t>
  </si>
  <si>
    <t>AutoPost 301</t>
  </si>
  <si>
    <t>GL000302</t>
  </si>
  <si>
    <t>AutoPost 302</t>
  </si>
  <si>
    <t>GL000303</t>
  </si>
  <si>
    <t>AutoPost 303</t>
  </si>
  <si>
    <t>GL000304</t>
  </si>
  <si>
    <t>AutoPost 304</t>
  </si>
  <si>
    <t>GL000305</t>
  </si>
  <si>
    <t>AutoPost 305</t>
  </si>
  <si>
    <t>GL000306</t>
  </si>
  <si>
    <t>AutoPost 306</t>
  </si>
  <si>
    <t>GL000307</t>
  </si>
  <si>
    <t>AutoPost 307</t>
  </si>
  <si>
    <t>GL000308</t>
  </si>
  <si>
    <t>AutoPost 308</t>
  </si>
  <si>
    <t>GL000309</t>
  </si>
  <si>
    <t>AutoPost 309</t>
  </si>
  <si>
    <t>GL000310</t>
  </si>
  <si>
    <t>AutoPost 310</t>
  </si>
  <si>
    <t>GL000311</t>
  </si>
  <si>
    <t>AutoPost 311</t>
  </si>
  <si>
    <t>GL000312</t>
  </si>
  <si>
    <t>AutoPost 312</t>
  </si>
  <si>
    <t>GL000313</t>
  </si>
  <si>
    <t>AutoPost 313</t>
  </si>
  <si>
    <t>GL000314</t>
  </si>
  <si>
    <t>AutoPost 314</t>
  </si>
  <si>
    <t>GL000315</t>
  </si>
  <si>
    <t>AutoPost 315</t>
  </si>
  <si>
    <t>GL000316</t>
  </si>
  <si>
    <t>AutoPost 316</t>
  </si>
  <si>
    <t>GL000317</t>
  </si>
  <si>
    <t>AutoPost 317</t>
  </si>
  <si>
    <t>GL000318</t>
  </si>
  <si>
    <t>AutoPost 318</t>
  </si>
  <si>
    <t>GL000319</t>
  </si>
  <si>
    <t>AutoPost 319</t>
  </si>
  <si>
    <t>GL000320</t>
  </si>
  <si>
    <t>AutoPost 320</t>
  </si>
  <si>
    <t>GL000321</t>
  </si>
  <si>
    <t>AutoPost 321</t>
  </si>
  <si>
    <t>GL000322</t>
  </si>
  <si>
    <t>AutoPost 322</t>
  </si>
  <si>
    <t>GL000323</t>
  </si>
  <si>
    <t>AutoPost 323</t>
  </si>
  <si>
    <t>GL000324</t>
  </si>
  <si>
    <t>AutoPost 324</t>
  </si>
  <si>
    <t>GL000325</t>
  </si>
  <si>
    <t>AutoPost 325</t>
  </si>
  <si>
    <t>GL000326</t>
  </si>
  <si>
    <t>AutoPost 326</t>
  </si>
  <si>
    <t>GL000327</t>
  </si>
  <si>
    <t>AutoPost 327</t>
  </si>
  <si>
    <t>GL000328</t>
  </si>
  <si>
    <t>AutoPost 328</t>
  </si>
  <si>
    <t>GL000329</t>
  </si>
  <si>
    <t>AutoPost 329</t>
  </si>
  <si>
    <t>GL000330</t>
  </si>
  <si>
    <t>AutoPost 330</t>
  </si>
  <si>
    <t>GL000331</t>
  </si>
  <si>
    <t>AutoPost 331</t>
  </si>
  <si>
    <t>GL000332</t>
  </si>
  <si>
    <t>AutoPost 332</t>
  </si>
  <si>
    <t>GL000333</t>
  </si>
  <si>
    <t>AutoPost 333</t>
  </si>
  <si>
    <t>GL000334</t>
  </si>
  <si>
    <t>AutoPost 334</t>
  </si>
  <si>
    <t>GL000335</t>
  </si>
  <si>
    <t>AutoPost 335</t>
  </si>
  <si>
    <t>GL000336</t>
  </si>
  <si>
    <t>AutoPost 336</t>
  </si>
  <si>
    <t>GL000337</t>
  </si>
  <si>
    <t>AutoPost 337</t>
  </si>
  <si>
    <t>GL000338</t>
  </si>
  <si>
    <t>AutoPost 338</t>
  </si>
  <si>
    <t>GL000339</t>
  </si>
  <si>
    <t>AutoPost 339</t>
  </si>
  <si>
    <t>GL000340</t>
  </si>
  <si>
    <t>AutoPost 340</t>
  </si>
  <si>
    <t>GL000341</t>
  </si>
  <si>
    <t>AutoPost 341</t>
  </si>
  <si>
    <t>GL000342</t>
  </si>
  <si>
    <t>AutoPost 342</t>
  </si>
  <si>
    <t>GL000343</t>
  </si>
  <si>
    <t>AutoPost 343</t>
  </si>
  <si>
    <t>GL000344</t>
  </si>
  <si>
    <t>AutoPost 344</t>
  </si>
  <si>
    <t>GL000345</t>
  </si>
  <si>
    <t>AutoPost 345</t>
  </si>
  <si>
    <t>GL000346</t>
  </si>
  <si>
    <t>AutoPost 346</t>
  </si>
  <si>
    <t>GL000347</t>
  </si>
  <si>
    <t>AutoPost 347</t>
  </si>
  <si>
    <t>GL000348</t>
  </si>
  <si>
    <t>AutoPost 348</t>
  </si>
  <si>
    <t>GL000349</t>
  </si>
  <si>
    <t>AutoPost 349</t>
  </si>
  <si>
    <t>GL000350</t>
  </si>
  <si>
    <t>AutoPost 350</t>
  </si>
  <si>
    <t>GL000351</t>
  </si>
  <si>
    <t>AutoPost 351</t>
  </si>
  <si>
    <t>GL000352</t>
  </si>
  <si>
    <t>AutoPost 352</t>
  </si>
  <si>
    <t>GL000353</t>
  </si>
  <si>
    <t>AutoPost 353</t>
  </si>
  <si>
    <t>GL000354</t>
  </si>
  <si>
    <t>AutoPost 354</t>
  </si>
  <si>
    <t>GL000355</t>
  </si>
  <si>
    <t>AutoPost 355</t>
  </si>
  <si>
    <t>GL000356</t>
  </si>
  <si>
    <t>AutoPost 356</t>
  </si>
  <si>
    <t>GL000357</t>
  </si>
  <si>
    <t>AutoPost 357</t>
  </si>
  <si>
    <t>GL000358</t>
  </si>
  <si>
    <t>AutoPost 358</t>
  </si>
  <si>
    <t>GL000359</t>
  </si>
  <si>
    <t>AutoPost 359</t>
  </si>
  <si>
    <t>GL000360</t>
  </si>
  <si>
    <t>AutoPost 360</t>
  </si>
  <si>
    <t>GL000361</t>
  </si>
  <si>
    <t>AutoPost 361</t>
  </si>
  <si>
    <t>GL000362</t>
  </si>
  <si>
    <t>AutoPost 362</t>
  </si>
  <si>
    <t>GL000363</t>
  </si>
  <si>
    <t>AutoPost 363</t>
  </si>
  <si>
    <t>GL000364</t>
  </si>
  <si>
    <t>AutoPost 364</t>
  </si>
  <si>
    <t>GL000365</t>
  </si>
  <si>
    <t>AutoPost 365</t>
  </si>
  <si>
    <t>GL000366</t>
  </si>
  <si>
    <t>AutoPost 366</t>
  </si>
  <si>
    <t>GL000367</t>
  </si>
  <si>
    <t>AutoPost 367</t>
  </si>
  <si>
    <t>GL000368</t>
  </si>
  <si>
    <t>AutoPost 368</t>
  </si>
  <si>
    <t>GL000369</t>
  </si>
  <si>
    <t>AutoPost 369</t>
  </si>
  <si>
    <t>GL000370</t>
  </si>
  <si>
    <t>AutoPost 370</t>
  </si>
  <si>
    <t>GL000371</t>
  </si>
  <si>
    <t>AutoPost 371</t>
  </si>
  <si>
    <t>GL000372</t>
  </si>
  <si>
    <t>AutoPost 372</t>
  </si>
  <si>
    <t>GL000373</t>
  </si>
  <si>
    <t>AutoPost 373</t>
  </si>
  <si>
    <t>GL000374</t>
  </si>
  <si>
    <t>AutoPost 374</t>
  </si>
  <si>
    <t>GL000375</t>
  </si>
  <si>
    <t>AutoPost 375</t>
  </si>
  <si>
    <t>GL000376</t>
  </si>
  <si>
    <t>AutoPost 376</t>
  </si>
  <si>
    <t>GL000377</t>
  </si>
  <si>
    <t>AutoPost 377</t>
  </si>
  <si>
    <t>GL000378</t>
  </si>
  <si>
    <t>AutoPost 378</t>
  </si>
  <si>
    <t>GL000379</t>
  </si>
  <si>
    <t>AutoPost 379</t>
  </si>
  <si>
    <t>GL000380</t>
  </si>
  <si>
    <t>AutoPost 380</t>
  </si>
  <si>
    <t>GL000381</t>
  </si>
  <si>
    <t>AutoPost 381</t>
  </si>
  <si>
    <t>GL000382</t>
  </si>
  <si>
    <t>AutoPost 382</t>
  </si>
  <si>
    <t>GL000383</t>
  </si>
  <si>
    <t>AutoPost 383</t>
  </si>
  <si>
    <t>GL000384</t>
  </si>
  <si>
    <t>AutoPost 384</t>
  </si>
  <si>
    <t>GL000385</t>
  </si>
  <si>
    <t>AutoPost 385</t>
  </si>
  <si>
    <t>GL000386</t>
  </si>
  <si>
    <t>AutoPost 386</t>
  </si>
  <si>
    <t>GL000387</t>
  </si>
  <si>
    <t>AutoPost 387</t>
  </si>
  <si>
    <t>GL000388</t>
  </si>
  <si>
    <t>AutoPost 388</t>
  </si>
  <si>
    <t>GL000389</t>
  </si>
  <si>
    <t>AutoPost 389</t>
  </si>
  <si>
    <t>GL000390</t>
  </si>
  <si>
    <t>AutoPost 390</t>
  </si>
  <si>
    <t>GL000391</t>
  </si>
  <si>
    <t>AutoPost 391</t>
  </si>
  <si>
    <t>GL000392</t>
  </si>
  <si>
    <t>AutoPost 392</t>
  </si>
  <si>
    <t>GL000393</t>
  </si>
  <si>
    <t>AutoPost 393</t>
  </si>
  <si>
    <t>GL000394</t>
  </si>
  <si>
    <t>AutoPost 394</t>
  </si>
  <si>
    <t>GL000395</t>
  </si>
  <si>
    <t>AutoPost 395</t>
  </si>
  <si>
    <t>GL000396</t>
  </si>
  <si>
    <t>AutoPost 396</t>
  </si>
  <si>
    <t>GL000397</t>
  </si>
  <si>
    <t>AutoPost 397</t>
  </si>
  <si>
    <t>GL000398</t>
  </si>
  <si>
    <t>AutoPost 398</t>
  </si>
  <si>
    <t>GL000399</t>
  </si>
  <si>
    <t>AutoPost 399</t>
  </si>
  <si>
    <t>GL000400</t>
  </si>
  <si>
    <t>AutoPost 400</t>
  </si>
  <si>
    <t>GL000401</t>
  </si>
  <si>
    <t>AutoPost 401</t>
  </si>
  <si>
    <t>GL000402</t>
  </si>
  <si>
    <t>AutoPost 402</t>
  </si>
  <si>
    <t>GL000403</t>
  </si>
  <si>
    <t>AutoPost 403</t>
  </si>
  <si>
    <t>GL000404</t>
  </si>
  <si>
    <t>AutoPost 404</t>
  </si>
  <si>
    <t>GL000405</t>
  </si>
  <si>
    <t>AutoPost 405</t>
  </si>
  <si>
    <t>GL000406</t>
  </si>
  <si>
    <t>AutoPost 406</t>
  </si>
  <si>
    <t>GL000407</t>
  </si>
  <si>
    <t>AutoPost 407</t>
  </si>
  <si>
    <t>GL000408</t>
  </si>
  <si>
    <t>AutoPost 408</t>
  </si>
  <si>
    <t>GL000409</t>
  </si>
  <si>
    <t>AutoPost 409</t>
  </si>
  <si>
    <t>GL000410</t>
  </si>
  <si>
    <t>AutoPost 410</t>
  </si>
  <si>
    <t>GL000411</t>
  </si>
  <si>
    <t>AutoPost 411</t>
  </si>
  <si>
    <t>GL000412</t>
  </si>
  <si>
    <t>AutoPost 412</t>
  </si>
  <si>
    <t>GL000413</t>
  </si>
  <si>
    <t>AutoPost 413</t>
  </si>
  <si>
    <t>GL000414</t>
  </si>
  <si>
    <t>AutoPost 414</t>
  </si>
  <si>
    <t>GL000415</t>
  </si>
  <si>
    <t>AutoPost 415</t>
  </si>
  <si>
    <t>GL000416</t>
  </si>
  <si>
    <t>AutoPost 416</t>
  </si>
  <si>
    <t>GL000417</t>
  </si>
  <si>
    <t>AutoPost 417</t>
  </si>
  <si>
    <t>GL000418</t>
  </si>
  <si>
    <t>AutoPost 418</t>
  </si>
  <si>
    <t>GL000419</t>
  </si>
  <si>
    <t>AutoPost 419</t>
  </si>
  <si>
    <t>GL000420</t>
  </si>
  <si>
    <t>AutoPost 420</t>
  </si>
  <si>
    <t>GL000421</t>
  </si>
  <si>
    <t>AutoPost 421</t>
  </si>
  <si>
    <t>GL000422</t>
  </si>
  <si>
    <t>AutoPost 422</t>
  </si>
  <si>
    <t>GL000423</t>
  </si>
  <si>
    <t>AutoPost 423</t>
  </si>
  <si>
    <t>GL000424</t>
  </si>
  <si>
    <t>AutoPost 424</t>
  </si>
  <si>
    <t>GL000425</t>
  </si>
  <si>
    <t>AutoPost 425</t>
  </si>
  <si>
    <t>GL000426</t>
  </si>
  <si>
    <t>AutoPost 426</t>
  </si>
  <si>
    <t>GL000427</t>
  </si>
  <si>
    <t>AutoPost 427</t>
  </si>
  <si>
    <t>GL000428</t>
  </si>
  <si>
    <t>AutoPost 428</t>
  </si>
  <si>
    <t>GL000429</t>
  </si>
  <si>
    <t>AutoPost 429</t>
  </si>
  <si>
    <t>GL000430</t>
  </si>
  <si>
    <t>AutoPost 430</t>
  </si>
  <si>
    <t>GL000431</t>
  </si>
  <si>
    <t>AutoPost 431</t>
  </si>
  <si>
    <t>GL000432</t>
  </si>
  <si>
    <t>AutoPost 432</t>
  </si>
  <si>
    <t>GL000433</t>
  </si>
  <si>
    <t>AutoPost 433</t>
  </si>
  <si>
    <t>GL000434</t>
  </si>
  <si>
    <t>AutoPost 434</t>
  </si>
  <si>
    <t>GL000435</t>
  </si>
  <si>
    <t>AutoPost 435</t>
  </si>
  <si>
    <t>GL000436</t>
  </si>
  <si>
    <t>AutoPost 436</t>
  </si>
  <si>
    <t>GL000437</t>
  </si>
  <si>
    <t>AutoPost 437</t>
  </si>
  <si>
    <t>GL000438</t>
  </si>
  <si>
    <t>AutoPost 438</t>
  </si>
  <si>
    <t>GL000439</t>
  </si>
  <si>
    <t>AutoPost 439</t>
  </si>
  <si>
    <t>GL000440</t>
  </si>
  <si>
    <t>AutoPost 440</t>
  </si>
  <si>
    <t>GL000441</t>
  </si>
  <si>
    <t>AutoPost 441</t>
  </si>
  <si>
    <t>GL000442</t>
  </si>
  <si>
    <t>AutoPost 442</t>
  </si>
  <si>
    <t>GL000443</t>
  </si>
  <si>
    <t>AutoPost 443</t>
  </si>
  <si>
    <t>GL000444</t>
  </si>
  <si>
    <t>AutoPost 444</t>
  </si>
  <si>
    <t>GL000445</t>
  </si>
  <si>
    <t>AutoPost 445</t>
  </si>
  <si>
    <t>GL000446</t>
  </si>
  <si>
    <t>AutoPost 446</t>
  </si>
  <si>
    <t>GL000447</t>
  </si>
  <si>
    <t>AutoPost 447</t>
  </si>
  <si>
    <t>GL000448</t>
  </si>
  <si>
    <t>AutoPost 448</t>
  </si>
  <si>
    <t>GL000449</t>
  </si>
  <si>
    <t>AutoPost 449</t>
  </si>
  <si>
    <t>GL000450</t>
  </si>
  <si>
    <t>AutoPost 450</t>
  </si>
  <si>
    <t>GL000451</t>
  </si>
  <si>
    <t>AutoPost 451</t>
  </si>
  <si>
    <t>GL000452</t>
  </si>
  <si>
    <t>AutoPost 452</t>
  </si>
  <si>
    <t>GL000453</t>
  </si>
  <si>
    <t>AutoPost 453</t>
  </si>
  <si>
    <t>GL000454</t>
  </si>
  <si>
    <t>AutoPost 454</t>
  </si>
  <si>
    <t>GL000455</t>
  </si>
  <si>
    <t>AutoPost 455</t>
  </si>
  <si>
    <t>GL000456</t>
  </si>
  <si>
    <t>AutoPost 456</t>
  </si>
  <si>
    <t>GL000457</t>
  </si>
  <si>
    <t>AutoPost 457</t>
  </si>
  <si>
    <t>GL000458</t>
  </si>
  <si>
    <t>AutoPost 458</t>
  </si>
  <si>
    <t>GL000459</t>
  </si>
  <si>
    <t>AutoPost 459</t>
  </si>
  <si>
    <t>GL000460</t>
  </si>
  <si>
    <t>AutoPost 460</t>
  </si>
  <si>
    <t>GL000461</t>
  </si>
  <si>
    <t>AutoPost 461</t>
  </si>
  <si>
    <t>GL000462</t>
  </si>
  <si>
    <t>AutoPost 462</t>
  </si>
  <si>
    <t>GL000463</t>
  </si>
  <si>
    <t>AutoPost 463</t>
  </si>
  <si>
    <t>GL000464</t>
  </si>
  <si>
    <t>AutoPost 464</t>
  </si>
  <si>
    <t>GL000465</t>
  </si>
  <si>
    <t>AutoPost 465</t>
  </si>
  <si>
    <t>GL000466</t>
  </si>
  <si>
    <t>AutoPost 466</t>
  </si>
  <si>
    <t>GL000467</t>
  </si>
  <si>
    <t>AutoPost 467</t>
  </si>
  <si>
    <t>GL000468</t>
  </si>
  <si>
    <t>AutoPost 468</t>
  </si>
  <si>
    <t>GL000469</t>
  </si>
  <si>
    <t>AutoPost 469</t>
  </si>
  <si>
    <t>GL000470</t>
  </si>
  <si>
    <t>AutoPost 470</t>
  </si>
  <si>
    <t>GL000471</t>
  </si>
  <si>
    <t>AutoPost 471</t>
  </si>
  <si>
    <t>GL000472</t>
  </si>
  <si>
    <t>AutoPost 472</t>
  </si>
  <si>
    <t>GL000473</t>
  </si>
  <si>
    <t>AutoPost 473</t>
  </si>
  <si>
    <t>GL000474</t>
  </si>
  <si>
    <t>AutoPost 474</t>
  </si>
  <si>
    <t>GL000475</t>
  </si>
  <si>
    <t>AutoPost 475</t>
  </si>
  <si>
    <t>GL000476</t>
  </si>
  <si>
    <t>AutoPost 476</t>
  </si>
  <si>
    <t>GL000477</t>
  </si>
  <si>
    <t>AutoPost 477</t>
  </si>
  <si>
    <t>GL000478</t>
  </si>
  <si>
    <t>AutoPost 478</t>
  </si>
  <si>
    <t>GL000479</t>
  </si>
  <si>
    <t>AutoPost 479</t>
  </si>
  <si>
    <t>GL000480</t>
  </si>
  <si>
    <t>AutoPost 480</t>
  </si>
  <si>
    <t>GL000481</t>
  </si>
  <si>
    <t>AutoPost 481</t>
  </si>
  <si>
    <t>GL000482</t>
  </si>
  <si>
    <t>AutoPost 482</t>
  </si>
  <si>
    <t>GL000483</t>
  </si>
  <si>
    <t>AutoPost 483</t>
  </si>
  <si>
    <t>GL000484</t>
  </si>
  <si>
    <t>AutoPost 484</t>
  </si>
  <si>
    <t>GL000485</t>
  </si>
  <si>
    <t>AutoPost 485</t>
  </si>
  <si>
    <t>GL000486</t>
  </si>
  <si>
    <t>AutoPost 486</t>
  </si>
  <si>
    <t>GL000487</t>
  </si>
  <si>
    <t>AutoPost 487</t>
  </si>
  <si>
    <t>GL000488</t>
  </si>
  <si>
    <t>AutoPost 488</t>
  </si>
  <si>
    <t>GL000489</t>
  </si>
  <si>
    <t>AutoPost 489</t>
  </si>
  <si>
    <t>GL000490</t>
  </si>
  <si>
    <t>AutoPost 490</t>
  </si>
  <si>
    <t>GL000491</t>
  </si>
  <si>
    <t>AutoPost 491</t>
  </si>
  <si>
    <t>GL000492</t>
  </si>
  <si>
    <t>AutoPost 492</t>
  </si>
  <si>
    <t>GL000493</t>
  </si>
  <si>
    <t>AutoPost 493</t>
  </si>
  <si>
    <t>GL000494</t>
  </si>
  <si>
    <t>AutoPost 494</t>
  </si>
  <si>
    <t>GL000495</t>
  </si>
  <si>
    <t>AutoPost 495</t>
  </si>
  <si>
    <t>GL000496</t>
  </si>
  <si>
    <t>AutoPost 496</t>
  </si>
  <si>
    <t>GL000497</t>
  </si>
  <si>
    <t>AutoPost 497</t>
  </si>
  <si>
    <t>GL000498</t>
  </si>
  <si>
    <t>AutoPost 498</t>
  </si>
  <si>
    <t>GL000499</t>
  </si>
  <si>
    <t>AutoPost 499</t>
  </si>
  <si>
    <t>GL000500</t>
  </si>
  <si>
    <t>AutoPost 500</t>
  </si>
  <si>
    <t>GL000501</t>
  </si>
  <si>
    <t>AutoPost 501</t>
  </si>
  <si>
    <t>GL000502</t>
  </si>
  <si>
    <t>AutoPost 502</t>
  </si>
  <si>
    <t>GL000503</t>
  </si>
  <si>
    <t>AutoPost 503</t>
  </si>
  <si>
    <t>GL000504</t>
  </si>
  <si>
    <t>AutoPost 504</t>
  </si>
  <si>
    <t>GL000505</t>
  </si>
  <si>
    <t>AutoPost 505</t>
  </si>
  <si>
    <t>GL000506</t>
  </si>
  <si>
    <t>AutoPost 506</t>
  </si>
  <si>
    <t>GL000507</t>
  </si>
  <si>
    <t>AutoPost 507</t>
  </si>
  <si>
    <t>GL000508</t>
  </si>
  <si>
    <t>AutoPost 508</t>
  </si>
  <si>
    <t>GL000509</t>
  </si>
  <si>
    <t>AutoPost 509</t>
  </si>
  <si>
    <t>GL000510</t>
  </si>
  <si>
    <t>AutoPost 510</t>
  </si>
  <si>
    <t>GL000511</t>
  </si>
  <si>
    <t>AutoPost 511</t>
  </si>
  <si>
    <t>GL000512</t>
  </si>
  <si>
    <t>AutoPost 512</t>
  </si>
  <si>
    <t>GL000513</t>
  </si>
  <si>
    <t>AutoPost 513</t>
  </si>
  <si>
    <t>GL000514</t>
  </si>
  <si>
    <t>AutoPost 514</t>
  </si>
  <si>
    <t>GL000515</t>
  </si>
  <si>
    <t>AutoPost 515</t>
  </si>
  <si>
    <t>GL000516</t>
  </si>
  <si>
    <t>AutoPost 516</t>
  </si>
  <si>
    <t>GL000517</t>
  </si>
  <si>
    <t>AutoPost 517</t>
  </si>
  <si>
    <t>GL000518</t>
  </si>
  <si>
    <t>AutoPost 518</t>
  </si>
  <si>
    <t>GL000519</t>
  </si>
  <si>
    <t>AutoPost 519</t>
  </si>
  <si>
    <t>GL000520</t>
  </si>
  <si>
    <t>AutoPost 520</t>
  </si>
  <si>
    <t>GL000521</t>
  </si>
  <si>
    <t>AutoPost 521</t>
  </si>
  <si>
    <t>GL000522</t>
  </si>
  <si>
    <t>AutoPost 522</t>
  </si>
  <si>
    <t>GL000523</t>
  </si>
  <si>
    <t>AutoPost 523</t>
  </si>
  <si>
    <t>GL000524</t>
  </si>
  <si>
    <t>AutoPost 524</t>
  </si>
  <si>
    <t>GL000525</t>
  </si>
  <si>
    <t>AutoPost 525</t>
  </si>
  <si>
    <t>GL000526</t>
  </si>
  <si>
    <t>AutoPost 526</t>
  </si>
  <si>
    <t>GL000527</t>
  </si>
  <si>
    <t>AutoPost 527</t>
  </si>
  <si>
    <t>GL000528</t>
  </si>
  <si>
    <t>AutoPost 528</t>
  </si>
  <si>
    <t>GL000529</t>
  </si>
  <si>
    <t>AutoPost 529</t>
  </si>
  <si>
    <t>GL000530</t>
  </si>
  <si>
    <t>AutoPost 530</t>
  </si>
  <si>
    <t>GL000531</t>
  </si>
  <si>
    <t>AutoPost 531</t>
  </si>
  <si>
    <t>GL000532</t>
  </si>
  <si>
    <t>AutoPost 532</t>
  </si>
  <si>
    <t>GL000533</t>
  </si>
  <si>
    <t>AutoPost 533</t>
  </si>
  <si>
    <t>GL000534</t>
  </si>
  <si>
    <t>AutoPost 534</t>
  </si>
  <si>
    <t>GL000535</t>
  </si>
  <si>
    <t>AutoPost 535</t>
  </si>
  <si>
    <t>GL000536</t>
  </si>
  <si>
    <t>AutoPost 536</t>
  </si>
  <si>
    <t>GL000537</t>
  </si>
  <si>
    <t>AutoPost 537</t>
  </si>
  <si>
    <t>GL000538</t>
  </si>
  <si>
    <t>AutoPost 538</t>
  </si>
  <si>
    <t>GL000539</t>
  </si>
  <si>
    <t>AutoPost 539</t>
  </si>
  <si>
    <t>GL000540</t>
  </si>
  <si>
    <t>AutoPost 540</t>
  </si>
  <si>
    <t>GL000541</t>
  </si>
  <si>
    <t>AutoPost 541</t>
  </si>
  <si>
    <t>GL000542</t>
  </si>
  <si>
    <t>AutoPost 542</t>
  </si>
  <si>
    <t>GL000543</t>
  </si>
  <si>
    <t>AutoPost 543</t>
  </si>
  <si>
    <t>GL000544</t>
  </si>
  <si>
    <t>AutoPost 544</t>
  </si>
  <si>
    <t>GL000545</t>
  </si>
  <si>
    <t>AutoPost 545</t>
  </si>
  <si>
    <t>GL000546</t>
  </si>
  <si>
    <t>AutoPost 546</t>
  </si>
  <si>
    <t>GL000547</t>
  </si>
  <si>
    <t>AutoPost 547</t>
  </si>
  <si>
    <t>GL000548</t>
  </si>
  <si>
    <t>AutoPost 548</t>
  </si>
  <si>
    <t>GL000549</t>
  </si>
  <si>
    <t>AutoPost 549</t>
  </si>
  <si>
    <t>GL000550</t>
  </si>
  <si>
    <t>AutoPost 550</t>
  </si>
  <si>
    <t>GL000551</t>
  </si>
  <si>
    <t>AutoPost 551</t>
  </si>
  <si>
    <t>GL000552</t>
  </si>
  <si>
    <t>AutoPost 552</t>
  </si>
  <si>
    <t>GL000553</t>
  </si>
  <si>
    <t>AutoPost 553</t>
  </si>
  <si>
    <t>GL000554</t>
  </si>
  <si>
    <t>AutoPost 554</t>
  </si>
  <si>
    <t>GL000555</t>
  </si>
  <si>
    <t>AutoPost 555</t>
  </si>
  <si>
    <t>GL000556</t>
  </si>
  <si>
    <t>AutoPost 556</t>
  </si>
  <si>
    <t>GL000557</t>
  </si>
  <si>
    <t>AutoPost 557</t>
  </si>
  <si>
    <t>GL000558</t>
  </si>
  <si>
    <t>AutoPost 558</t>
  </si>
  <si>
    <t>GL000559</t>
  </si>
  <si>
    <t>AutoPost 559</t>
  </si>
  <si>
    <t>GL000560</t>
  </si>
  <si>
    <t>AutoPost 560</t>
  </si>
  <si>
    <t>GL000561</t>
  </si>
  <si>
    <t>AutoPost 561</t>
  </si>
  <si>
    <t>GL000562</t>
  </si>
  <si>
    <t>AutoPost 562</t>
  </si>
  <si>
    <t>GL000563</t>
  </si>
  <si>
    <t>AutoPost 563</t>
  </si>
  <si>
    <t>GL000564</t>
  </si>
  <si>
    <t>AutoPost 564</t>
  </si>
  <si>
    <t>GL000565</t>
  </si>
  <si>
    <t>AutoPost 565</t>
  </si>
  <si>
    <t>GL000566</t>
  </si>
  <si>
    <t>AutoPost 566</t>
  </si>
  <si>
    <t>GL000567</t>
  </si>
  <si>
    <t>AutoPost 567</t>
  </si>
  <si>
    <t>GL000568</t>
  </si>
  <si>
    <t>AutoPost 568</t>
  </si>
  <si>
    <t>GL000569</t>
  </si>
  <si>
    <t>AutoPost 569</t>
  </si>
  <si>
    <t>GL000570</t>
  </si>
  <si>
    <t>AutoPost 570</t>
  </si>
  <si>
    <t>GL000571</t>
  </si>
  <si>
    <t>AutoPost 571</t>
  </si>
  <si>
    <t>GL000572</t>
  </si>
  <si>
    <t>AutoPost 572</t>
  </si>
  <si>
    <t>GL000573</t>
  </si>
  <si>
    <t>AutoPost 573</t>
  </si>
  <si>
    <t>GL000574</t>
  </si>
  <si>
    <t>AutoPost 574</t>
  </si>
  <si>
    <t>GL000575</t>
  </si>
  <si>
    <t>AutoPost 575</t>
  </si>
  <si>
    <t>GL000576</t>
  </si>
  <si>
    <t>AutoPost 576</t>
  </si>
  <si>
    <t>GL000577</t>
  </si>
  <si>
    <t>AutoPost 577</t>
  </si>
  <si>
    <t>GL000578</t>
  </si>
  <si>
    <t>AutoPost 578</t>
  </si>
  <si>
    <t>GL000579</t>
  </si>
  <si>
    <t>AutoPost 579</t>
  </si>
  <si>
    <t>GL000580</t>
  </si>
  <si>
    <t>AutoPost 580</t>
  </si>
  <si>
    <t>GL000581</t>
  </si>
  <si>
    <t>AutoPost 581</t>
  </si>
  <si>
    <t>GL000582</t>
  </si>
  <si>
    <t>AutoPost 582</t>
  </si>
  <si>
    <t>GL000583</t>
  </si>
  <si>
    <t>AutoPost 583</t>
  </si>
  <si>
    <t>GL000584</t>
  </si>
  <si>
    <t>AutoPost 584</t>
  </si>
  <si>
    <t>GL000585</t>
  </si>
  <si>
    <t>AutoPost 585</t>
  </si>
  <si>
    <t>GL000586</t>
  </si>
  <si>
    <t>AutoPost 586</t>
  </si>
  <si>
    <t>GL000587</t>
  </si>
  <si>
    <t>AutoPost 587</t>
  </si>
  <si>
    <t>GL000588</t>
  </si>
  <si>
    <t>AutoPost 588</t>
  </si>
  <si>
    <t>GL000589</t>
  </si>
  <si>
    <t>AutoPost 589</t>
  </si>
  <si>
    <t>GL000590</t>
  </si>
  <si>
    <t>AutoPost 590</t>
  </si>
  <si>
    <t>GL000591</t>
  </si>
  <si>
    <t>AutoPost 591</t>
  </si>
  <si>
    <t>GL000592</t>
  </si>
  <si>
    <t>AutoPost 592</t>
  </si>
  <si>
    <t>GL000593</t>
  </si>
  <si>
    <t>AutoPost 593</t>
  </si>
  <si>
    <t>GL000594</t>
  </si>
  <si>
    <t>AutoPost 594</t>
  </si>
  <si>
    <t>GL000595</t>
  </si>
  <si>
    <t>AutoPost 595</t>
  </si>
  <si>
    <t>GL000596</t>
  </si>
  <si>
    <t>AutoPost 596</t>
  </si>
  <si>
    <t>GL000597</t>
  </si>
  <si>
    <t>AutoPost 597</t>
  </si>
  <si>
    <t>GL000598</t>
  </si>
  <si>
    <t>AutoPost 598</t>
  </si>
  <si>
    <t>GL000599</t>
  </si>
  <si>
    <t>AutoPost 599</t>
  </si>
  <si>
    <t>GL000600</t>
  </si>
  <si>
    <t>AutoPost 600</t>
  </si>
  <si>
    <t>GL000601</t>
  </si>
  <si>
    <t>AutoPost 601</t>
  </si>
  <si>
    <t>GL000602</t>
  </si>
  <si>
    <t>AutoPost 602</t>
  </si>
  <si>
    <t>GL000603</t>
  </si>
  <si>
    <t>AutoPost 603</t>
  </si>
  <si>
    <t>GL000604</t>
  </si>
  <si>
    <t>AutoPost 604</t>
  </si>
  <si>
    <t>GL000605</t>
  </si>
  <si>
    <t>AutoPost 605</t>
  </si>
  <si>
    <t>GL000606</t>
  </si>
  <si>
    <t>AutoPost 606</t>
  </si>
  <si>
    <t>GL000607</t>
  </si>
  <si>
    <t>AutoPost 607</t>
  </si>
  <si>
    <t>GL000608</t>
  </si>
  <si>
    <t>AutoPost 608</t>
  </si>
  <si>
    <t>GL000609</t>
  </si>
  <si>
    <t>AutoPost 609</t>
  </si>
  <si>
    <t>GL000610</t>
  </si>
  <si>
    <t>AutoPost 610</t>
  </si>
  <si>
    <t>GL000611</t>
  </si>
  <si>
    <t>AutoPost 611</t>
  </si>
  <si>
    <t>GL000612</t>
  </si>
  <si>
    <t>AutoPost 612</t>
  </si>
  <si>
    <t>GL000613</t>
  </si>
  <si>
    <t>AutoPost 613</t>
  </si>
  <si>
    <t>GL000614</t>
  </si>
  <si>
    <t>AutoPost 614</t>
  </si>
  <si>
    <t>GL000615</t>
  </si>
  <si>
    <t>AutoPost 615</t>
  </si>
  <si>
    <t>GL000616</t>
  </si>
  <si>
    <t>AutoPost 616</t>
  </si>
  <si>
    <t>GL000617</t>
  </si>
  <si>
    <t>AutoPost 617</t>
  </si>
  <si>
    <t>GL000618</t>
  </si>
  <si>
    <t>AutoPost 618</t>
  </si>
  <si>
    <t>GL000619</t>
  </si>
  <si>
    <t>AutoPost 619</t>
  </si>
  <si>
    <t>GL000620</t>
  </si>
  <si>
    <t>AutoPost 620</t>
  </si>
  <si>
    <t>GL000621</t>
  </si>
  <si>
    <t>AutoPost 621</t>
  </si>
  <si>
    <t>GL000622</t>
  </si>
  <si>
    <t>AutoPost 622</t>
  </si>
  <si>
    <t>GL000623</t>
  </si>
  <si>
    <t>AutoPost 623</t>
  </si>
  <si>
    <t>GL000624</t>
  </si>
  <si>
    <t>AutoPost 624</t>
  </si>
  <si>
    <t>GL000625</t>
  </si>
  <si>
    <t>AutoPost 625</t>
  </si>
  <si>
    <t>GL000626</t>
  </si>
  <si>
    <t>AutoPost 626</t>
  </si>
  <si>
    <t>GL000627</t>
  </si>
  <si>
    <t>AutoPost 627</t>
  </si>
  <si>
    <t>GL000628</t>
  </si>
  <si>
    <t>AutoPost 628</t>
  </si>
  <si>
    <t>GL000629</t>
  </si>
  <si>
    <t>AutoPost 629</t>
  </si>
  <si>
    <t>GL000630</t>
  </si>
  <si>
    <t>AutoPost 630</t>
  </si>
  <si>
    <t>GL000631</t>
  </si>
  <si>
    <t>AutoPost 631</t>
  </si>
  <si>
    <t>GL000632</t>
  </si>
  <si>
    <t>AutoPost 632</t>
  </si>
  <si>
    <t>GL000633</t>
  </si>
  <si>
    <t>AutoPost 633</t>
  </si>
  <si>
    <t>GL000634</t>
  </si>
  <si>
    <t>AutoPost 634</t>
  </si>
  <si>
    <t>GL000635</t>
  </si>
  <si>
    <t>AutoPost 635</t>
  </si>
  <si>
    <t>GL000636</t>
  </si>
  <si>
    <t>AutoPost 636</t>
  </si>
  <si>
    <t>GL000637</t>
  </si>
  <si>
    <t>AutoPost 637</t>
  </si>
  <si>
    <t>GL000638</t>
  </si>
  <si>
    <t>AutoPost 638</t>
  </si>
  <si>
    <t>GL000639</t>
  </si>
  <si>
    <t>AutoPost 639</t>
  </si>
  <si>
    <t>GL000640</t>
  </si>
  <si>
    <t>AutoPost 640</t>
  </si>
  <si>
    <t>GL000641</t>
  </si>
  <si>
    <t>AutoPost 641</t>
  </si>
  <si>
    <t>GL000642</t>
  </si>
  <si>
    <t>AutoPost 642</t>
  </si>
  <si>
    <t>GL000643</t>
  </si>
  <si>
    <t>AutoPost 643</t>
  </si>
  <si>
    <t>GL000644</t>
  </si>
  <si>
    <t>AutoPost 644</t>
  </si>
  <si>
    <t>GL000645</t>
  </si>
  <si>
    <t>AutoPost 645</t>
  </si>
  <si>
    <t>GL000646</t>
  </si>
  <si>
    <t>AutoPost 646</t>
  </si>
  <si>
    <t>GL000647</t>
  </si>
  <si>
    <t>AutoPost 647</t>
  </si>
  <si>
    <t>GL000648</t>
  </si>
  <si>
    <t>AutoPost 648</t>
  </si>
  <si>
    <t>GL000649</t>
  </si>
  <si>
    <t>AutoPost 649</t>
  </si>
  <si>
    <t>GL000650</t>
  </si>
  <si>
    <t>AutoPost 650</t>
  </si>
  <si>
    <t>GL000651</t>
  </si>
  <si>
    <t>AutoPost 651</t>
  </si>
  <si>
    <t>GL000652</t>
  </si>
  <si>
    <t>AutoPost 652</t>
  </si>
  <si>
    <t>GL000653</t>
  </si>
  <si>
    <t>AutoPost 653</t>
  </si>
  <si>
    <t>GL000654</t>
  </si>
  <si>
    <t>AutoPost 654</t>
  </si>
  <si>
    <t>GL000655</t>
  </si>
  <si>
    <t>AutoPost 655</t>
  </si>
  <si>
    <t>GL000656</t>
  </si>
  <si>
    <t>AutoPost 656</t>
  </si>
  <si>
    <t>GL000657</t>
  </si>
  <si>
    <t>AutoPost 657</t>
  </si>
  <si>
    <t>GL000658</t>
  </si>
  <si>
    <t>AutoPost 658</t>
  </si>
  <si>
    <t>GL000659</t>
  </si>
  <si>
    <t>AutoPost 659</t>
  </si>
  <si>
    <t>GL000660</t>
  </si>
  <si>
    <t>AutoPost 660</t>
  </si>
  <si>
    <t>GL000661</t>
  </si>
  <si>
    <t>AutoPost 661</t>
  </si>
  <si>
    <t>GL000662</t>
  </si>
  <si>
    <t>AutoPost 662</t>
  </si>
  <si>
    <t>GL000663</t>
  </si>
  <si>
    <t>AutoPost 663</t>
  </si>
  <si>
    <t>GL000664</t>
  </si>
  <si>
    <t>AutoPost 664</t>
  </si>
  <si>
    <t>GL000665</t>
  </si>
  <si>
    <t>AutoPost 665</t>
  </si>
  <si>
    <t>GL000666</t>
  </si>
  <si>
    <t>AutoPost 666</t>
  </si>
  <si>
    <t>GL000667</t>
  </si>
  <si>
    <t>AutoPost 667</t>
  </si>
  <si>
    <t>GL000668</t>
  </si>
  <si>
    <t>AutoPost 668</t>
  </si>
  <si>
    <t>GL000669</t>
  </si>
  <si>
    <t>AutoPost 669</t>
  </si>
  <si>
    <t>GL000670</t>
  </si>
  <si>
    <t>AutoPost 670</t>
  </si>
  <si>
    <t>GL000671</t>
  </si>
  <si>
    <t>AutoPost 671</t>
  </si>
  <si>
    <t>GL000672</t>
  </si>
  <si>
    <t>AutoPost 672</t>
  </si>
  <si>
    <t>GL000673</t>
  </si>
  <si>
    <t>AutoPost 673</t>
  </si>
  <si>
    <t>GL000674</t>
  </si>
  <si>
    <t>AutoPost 674</t>
  </si>
  <si>
    <t>GL000675</t>
  </si>
  <si>
    <t>AutoPost 675</t>
  </si>
  <si>
    <t>GL000676</t>
  </si>
  <si>
    <t>AutoPost 676</t>
  </si>
  <si>
    <t>GL000677</t>
  </si>
  <si>
    <t>AutoPost 677</t>
  </si>
  <si>
    <t>GL000678</t>
  </si>
  <si>
    <t>AutoPost 678</t>
  </si>
  <si>
    <t>GL000679</t>
  </si>
  <si>
    <t>AutoPost 679</t>
  </si>
  <si>
    <t>GL000680</t>
  </si>
  <si>
    <t>AutoPost 680</t>
  </si>
  <si>
    <t>GL000681</t>
  </si>
  <si>
    <t>AutoPost 681</t>
  </si>
  <si>
    <t>GL000682</t>
  </si>
  <si>
    <t>AutoPost 682</t>
  </si>
  <si>
    <t>GL000683</t>
  </si>
  <si>
    <t>AutoPost 683</t>
  </si>
  <si>
    <t>GL000684</t>
  </si>
  <si>
    <t>AutoPost 684</t>
  </si>
  <si>
    <t>GL000685</t>
  </si>
  <si>
    <t>AutoPost 685</t>
  </si>
  <si>
    <t>GL000686</t>
  </si>
  <si>
    <t>AutoPost 686</t>
  </si>
  <si>
    <t>GL000687</t>
  </si>
  <si>
    <t>AutoPost 687</t>
  </si>
  <si>
    <t>GL000688</t>
  </si>
  <si>
    <t>AutoPost 688</t>
  </si>
  <si>
    <t>GL000689</t>
  </si>
  <si>
    <t>AutoPost 689</t>
  </si>
  <si>
    <t>GL000690</t>
  </si>
  <si>
    <t>AutoPost 690</t>
  </si>
  <si>
    <t>GL000691</t>
  </si>
  <si>
    <t>AutoPost 691</t>
  </si>
  <si>
    <t>GL000692</t>
  </si>
  <si>
    <t>AutoPost 692</t>
  </si>
  <si>
    <t>GL000693</t>
  </si>
  <si>
    <t>AutoPost 693</t>
  </si>
  <si>
    <t>GL000694</t>
  </si>
  <si>
    <t>AutoPost 694</t>
  </si>
  <si>
    <t>GL000695</t>
  </si>
  <si>
    <t>AutoPost 695</t>
  </si>
  <si>
    <t>GL000696</t>
  </si>
  <si>
    <t>AutoPost 696</t>
  </si>
  <si>
    <t>GL000697</t>
  </si>
  <si>
    <t>AutoPost 697</t>
  </si>
  <si>
    <t>GL000698</t>
  </si>
  <si>
    <t>AutoPost 698</t>
  </si>
  <si>
    <t>GL000699</t>
  </si>
  <si>
    <t>AutoPost 699</t>
  </si>
  <si>
    <t>GL000700</t>
  </si>
  <si>
    <t>AutoPost 700</t>
  </si>
  <si>
    <t>GL000701</t>
  </si>
  <si>
    <t>AutoPost 701</t>
  </si>
  <si>
    <t>GL000702</t>
  </si>
  <si>
    <t>AutoPost 702</t>
  </si>
  <si>
    <t>GL000703</t>
  </si>
  <si>
    <t>AutoPost 703</t>
  </si>
  <si>
    <t>GL000704</t>
  </si>
  <si>
    <t>AutoPost 704</t>
  </si>
  <si>
    <t>GL000705</t>
  </si>
  <si>
    <t>AutoPost 705</t>
  </si>
  <si>
    <t>GL000706</t>
  </si>
  <si>
    <t>AutoPost 706</t>
  </si>
  <si>
    <t>GL000707</t>
  </si>
  <si>
    <t>AutoPost 707</t>
  </si>
  <si>
    <t>GL000708</t>
  </si>
  <si>
    <t>AutoPost 708</t>
  </si>
  <si>
    <t>GL000709</t>
  </si>
  <si>
    <t>AutoPost 709</t>
  </si>
  <si>
    <t>GL000710</t>
  </si>
  <si>
    <t>AutoPost 710</t>
  </si>
  <si>
    <t>GL000711</t>
  </si>
  <si>
    <t>AutoPost 711</t>
  </si>
  <si>
    <t>GL000712</t>
  </si>
  <si>
    <t>AutoPost 712</t>
  </si>
  <si>
    <t>GL000713</t>
  </si>
  <si>
    <t>AutoPost 713</t>
  </si>
  <si>
    <t>GL000714</t>
  </si>
  <si>
    <t>AutoPost 714</t>
  </si>
  <si>
    <t>GL000715</t>
  </si>
  <si>
    <t>AutoPost 715</t>
  </si>
  <si>
    <t>GL000716</t>
  </si>
  <si>
    <t>AutoPost 716</t>
  </si>
  <si>
    <t>GL000717</t>
  </si>
  <si>
    <t>AutoPost 717</t>
  </si>
  <si>
    <t>GL000718</t>
  </si>
  <si>
    <t>AutoPost 718</t>
  </si>
  <si>
    <t>GL000719</t>
  </si>
  <si>
    <t>AutoPost 719</t>
  </si>
  <si>
    <t>GL000720</t>
  </si>
  <si>
    <t>AutoPost 720</t>
  </si>
  <si>
    <t>GL000721</t>
  </si>
  <si>
    <t>AutoPost 721</t>
  </si>
  <si>
    <t>GL000722</t>
  </si>
  <si>
    <t>AutoPost 722</t>
  </si>
  <si>
    <t>GL000723</t>
  </si>
  <si>
    <t>AutoPost 723</t>
  </si>
  <si>
    <t>GL000724</t>
  </si>
  <si>
    <t>AutoPost 724</t>
  </si>
  <si>
    <t>GL000725</t>
  </si>
  <si>
    <t>AutoPost 725</t>
  </si>
  <si>
    <t>GL000726</t>
  </si>
  <si>
    <t>AutoPost 726</t>
  </si>
  <si>
    <t>GL000727</t>
  </si>
  <si>
    <t>AutoPost 727</t>
  </si>
  <si>
    <t>GL000728</t>
  </si>
  <si>
    <t>AutoPost 728</t>
  </si>
  <si>
    <t>GL000729</t>
  </si>
  <si>
    <t>AutoPost 729</t>
  </si>
  <si>
    <t>GL000730</t>
  </si>
  <si>
    <t>AutoPost 730</t>
  </si>
  <si>
    <t>GL000731</t>
  </si>
  <si>
    <t>AutoPost 731</t>
  </si>
  <si>
    <t>GL000732</t>
  </si>
  <si>
    <t>AutoPost 732</t>
  </si>
  <si>
    <t>GL000733</t>
  </si>
  <si>
    <t>AutoPost 733</t>
  </si>
  <si>
    <t>GL000734</t>
  </si>
  <si>
    <t>AutoPost 734</t>
  </si>
  <si>
    <t>GL000735</t>
  </si>
  <si>
    <t>AutoPost 735</t>
  </si>
  <si>
    <t>GL000736</t>
  </si>
  <si>
    <t>AutoPost 736</t>
  </si>
  <si>
    <t>GL000737</t>
  </si>
  <si>
    <t>AutoPost 737</t>
  </si>
  <si>
    <t>GL000738</t>
  </si>
  <si>
    <t>AutoPost 738</t>
  </si>
  <si>
    <t>GL000739</t>
  </si>
  <si>
    <t>AutoPost 739</t>
  </si>
  <si>
    <t>GL000740</t>
  </si>
  <si>
    <t>AutoPost 740</t>
  </si>
  <si>
    <t>GL000741</t>
  </si>
  <si>
    <t>AutoPost 741</t>
  </si>
  <si>
    <t>GL000742</t>
  </si>
  <si>
    <t>AutoPost 742</t>
  </si>
  <si>
    <t>GL000743</t>
  </si>
  <si>
    <t>AutoPost 743</t>
  </si>
  <si>
    <t>GL000744</t>
  </si>
  <si>
    <t>AutoPost 744</t>
  </si>
  <si>
    <t>GL000745</t>
  </si>
  <si>
    <t>AutoPost 745</t>
  </si>
  <si>
    <t>GL000746</t>
  </si>
  <si>
    <t>AutoPost 746</t>
  </si>
  <si>
    <t>GL000747</t>
  </si>
  <si>
    <t>AutoPost 747</t>
  </si>
  <si>
    <t>GL000748</t>
  </si>
  <si>
    <t>AutoPost 748</t>
  </si>
  <si>
    <t>GL000749</t>
  </si>
  <si>
    <t>AutoPost 749</t>
  </si>
  <si>
    <t>GL000750</t>
  </si>
  <si>
    <t>AutoPost 750</t>
  </si>
  <si>
    <t>GL000751</t>
  </si>
  <si>
    <t>AutoPost 751</t>
  </si>
  <si>
    <t>GL000752</t>
  </si>
  <si>
    <t>AutoPost 752</t>
  </si>
  <si>
    <t>GL000753</t>
  </si>
  <si>
    <t>AutoPost 753</t>
  </si>
  <si>
    <t>GL000754</t>
  </si>
  <si>
    <t>AutoPost 754</t>
  </si>
  <si>
    <t>GL000755</t>
  </si>
  <si>
    <t>AutoPost 755</t>
  </si>
  <si>
    <t>GL000756</t>
  </si>
  <si>
    <t>AutoPost 756</t>
  </si>
  <si>
    <t>GL000757</t>
  </si>
  <si>
    <t>AutoPost 757</t>
  </si>
  <si>
    <t>GL000758</t>
  </si>
  <si>
    <t>AutoPost 758</t>
  </si>
  <si>
    <t>GL000759</t>
  </si>
  <si>
    <t>AutoPost 759</t>
  </si>
  <si>
    <t>GL000760</t>
  </si>
  <si>
    <t>AutoPost 760</t>
  </si>
  <si>
    <t>GL000761</t>
  </si>
  <si>
    <t>AutoPost 761</t>
  </si>
  <si>
    <t>GL000762</t>
  </si>
  <si>
    <t>AutoPost 762</t>
  </si>
  <si>
    <t>GL000763</t>
  </si>
  <si>
    <t>AutoPost 763</t>
  </si>
  <si>
    <t>GL000764</t>
  </si>
  <si>
    <t>AutoPost 764</t>
  </si>
  <si>
    <t>GL000765</t>
  </si>
  <si>
    <t>AutoPost 765</t>
  </si>
  <si>
    <t>GL000766</t>
  </si>
  <si>
    <t>AutoPost 766</t>
  </si>
  <si>
    <t>GL000767</t>
  </si>
  <si>
    <t>AutoPost 767</t>
  </si>
  <si>
    <t>GL000768</t>
  </si>
  <si>
    <t>AutoPost 768</t>
  </si>
  <si>
    <t>GL000769</t>
  </si>
  <si>
    <t>AutoPost 769</t>
  </si>
  <si>
    <t>GL000770</t>
  </si>
  <si>
    <t>AutoPost 770</t>
  </si>
  <si>
    <t>GL000771</t>
  </si>
  <si>
    <t>AutoPost 771</t>
  </si>
  <si>
    <t>GL000772</t>
  </si>
  <si>
    <t>AutoPost 772</t>
  </si>
  <si>
    <t>GL000773</t>
  </si>
  <si>
    <t>AutoPost 773</t>
  </si>
  <si>
    <t>GL000774</t>
  </si>
  <si>
    <t>AutoPost 774</t>
  </si>
  <si>
    <t>GL000775</t>
  </si>
  <si>
    <t>AutoPost 775</t>
  </si>
  <si>
    <t>GL000776</t>
  </si>
  <si>
    <t>AutoPost 776</t>
  </si>
  <si>
    <t>GL000777</t>
  </si>
  <si>
    <t>AutoPost 777</t>
  </si>
  <si>
    <t>GL000778</t>
  </si>
  <si>
    <t>AutoPost 778</t>
  </si>
  <si>
    <t>GL000779</t>
  </si>
  <si>
    <t>AutoPost 779</t>
  </si>
  <si>
    <t>GL000780</t>
  </si>
  <si>
    <t>AutoPost 780</t>
  </si>
  <si>
    <t>GL000781</t>
  </si>
  <si>
    <t>AutoPost 781</t>
  </si>
  <si>
    <t>GL000782</t>
  </si>
  <si>
    <t>AutoPost 782</t>
  </si>
  <si>
    <t>GL000783</t>
  </si>
  <si>
    <t>AutoPost 783</t>
  </si>
  <si>
    <t>GL000784</t>
  </si>
  <si>
    <t>AutoPost 784</t>
  </si>
  <si>
    <t>GL000785</t>
  </si>
  <si>
    <t>AutoPost 785</t>
  </si>
  <si>
    <t>GL000786</t>
  </si>
  <si>
    <t>AutoPost 786</t>
  </si>
  <si>
    <t>GL000787</t>
  </si>
  <si>
    <t>AutoPost 787</t>
  </si>
  <si>
    <t>GL000788</t>
  </si>
  <si>
    <t>AutoPost 788</t>
  </si>
  <si>
    <t>GL000789</t>
  </si>
  <si>
    <t>AutoPost 789</t>
  </si>
  <si>
    <t>GL000790</t>
  </si>
  <si>
    <t>AutoPost 790</t>
  </si>
  <si>
    <t>GL000791</t>
  </si>
  <si>
    <t>AutoPost 791</t>
  </si>
  <si>
    <t>GL000792</t>
  </si>
  <si>
    <t>AutoPost 792</t>
  </si>
  <si>
    <t>GL000793</t>
  </si>
  <si>
    <t>AutoPost 793</t>
  </si>
  <si>
    <t>GL000794</t>
  </si>
  <si>
    <t>AutoPost 794</t>
  </si>
  <si>
    <t>GL000795</t>
  </si>
  <si>
    <t>AutoPost 795</t>
  </si>
  <si>
    <t>GL000796</t>
  </si>
  <si>
    <t>AutoPost 796</t>
  </si>
  <si>
    <t>GL000797</t>
  </si>
  <si>
    <t>AutoPost 797</t>
  </si>
  <si>
    <t>GL000798</t>
  </si>
  <si>
    <t>AutoPost 798</t>
  </si>
  <si>
    <t>GL000799</t>
  </si>
  <si>
    <t>AutoPost 799</t>
  </si>
  <si>
    <t>GL000800</t>
  </si>
  <si>
    <t>AutoPost 800</t>
  </si>
  <si>
    <t>GL000801</t>
  </si>
  <si>
    <t>AutoPost 801</t>
  </si>
  <si>
    <t>GL000802</t>
  </si>
  <si>
    <t>AutoPost 802</t>
  </si>
  <si>
    <t>GL000803</t>
  </si>
  <si>
    <t>AutoPost 803</t>
  </si>
  <si>
    <t>GL000804</t>
  </si>
  <si>
    <t>AutoPost 804</t>
  </si>
  <si>
    <t>GL000805</t>
  </si>
  <si>
    <t>AutoPost 805</t>
  </si>
  <si>
    <t>GL000806</t>
  </si>
  <si>
    <t>AutoPost 806</t>
  </si>
  <si>
    <t>GL000807</t>
  </si>
  <si>
    <t>AutoPost 807</t>
  </si>
  <si>
    <t>GL000808</t>
  </si>
  <si>
    <t>AutoPost 808</t>
  </si>
  <si>
    <t>GL000809</t>
  </si>
  <si>
    <t>AutoPost 809</t>
  </si>
  <si>
    <t>GL000810</t>
  </si>
  <si>
    <t>AutoPost 810</t>
  </si>
  <si>
    <t>GL000811</t>
  </si>
  <si>
    <t>AutoPost 811</t>
  </si>
  <si>
    <t>GL000812</t>
  </si>
  <si>
    <t>AutoPost 812</t>
  </si>
  <si>
    <t>GL000813</t>
  </si>
  <si>
    <t>AutoPost 813</t>
  </si>
  <si>
    <t>GL000814</t>
  </si>
  <si>
    <t>AutoPost 814</t>
  </si>
  <si>
    <t>GL000815</t>
  </si>
  <si>
    <t>AutoPost 815</t>
  </si>
  <si>
    <t>GL000816</t>
  </si>
  <si>
    <t>AutoPost 816</t>
  </si>
  <si>
    <t>GL000817</t>
  </si>
  <si>
    <t>AutoPost 817</t>
  </si>
  <si>
    <t>GL000818</t>
  </si>
  <si>
    <t>AutoPost 818</t>
  </si>
  <si>
    <t>GL000819</t>
  </si>
  <si>
    <t>AutoPost 819</t>
  </si>
  <si>
    <t>GL000820</t>
  </si>
  <si>
    <t>AutoPost 820</t>
  </si>
  <si>
    <t>GL000821</t>
  </si>
  <si>
    <t>AutoPost 821</t>
  </si>
  <si>
    <t>GL000822</t>
  </si>
  <si>
    <t>AutoPost 822</t>
  </si>
  <si>
    <t>GL000823</t>
  </si>
  <si>
    <t>AutoPost 823</t>
  </si>
  <si>
    <t>GL000824</t>
  </si>
  <si>
    <t>AutoPost 824</t>
  </si>
  <si>
    <t>GL000825</t>
  </si>
  <si>
    <t>AutoPost 825</t>
  </si>
  <si>
    <t>GL000826</t>
  </si>
  <si>
    <t>AutoPost 826</t>
  </si>
  <si>
    <t>GL000827</t>
  </si>
  <si>
    <t>AutoPost 827</t>
  </si>
  <si>
    <t>GL000828</t>
  </si>
  <si>
    <t>AutoPost 828</t>
  </si>
  <si>
    <t>GL000829</t>
  </si>
  <si>
    <t>AutoPost 829</t>
  </si>
  <si>
    <t>GL000830</t>
  </si>
  <si>
    <t>AutoPost 830</t>
  </si>
  <si>
    <t>GL000831</t>
  </si>
  <si>
    <t>AutoPost 831</t>
  </si>
  <si>
    <t>GL000832</t>
  </si>
  <si>
    <t>AutoPost 832</t>
  </si>
  <si>
    <t>GL000833</t>
  </si>
  <si>
    <t>AutoPost 833</t>
  </si>
  <si>
    <t>GL000834</t>
  </si>
  <si>
    <t>AutoPost 834</t>
  </si>
  <si>
    <t>GL000835</t>
  </si>
  <si>
    <t>AutoPost 835</t>
  </si>
  <si>
    <t>GL000836</t>
  </si>
  <si>
    <t>AutoPost 836</t>
  </si>
  <si>
    <t>GL000837</t>
  </si>
  <si>
    <t>AutoPost 837</t>
  </si>
  <si>
    <t>GL000838</t>
  </si>
  <si>
    <t>AutoPost 838</t>
  </si>
  <si>
    <t>GL000839</t>
  </si>
  <si>
    <t>AutoPost 839</t>
  </si>
  <si>
    <t>GL000840</t>
  </si>
  <si>
    <t>AutoPost 840</t>
  </si>
  <si>
    <t>GL000841</t>
  </si>
  <si>
    <t>AutoPost 841</t>
  </si>
  <si>
    <t>GL000842</t>
  </si>
  <si>
    <t>AutoPost 842</t>
  </si>
  <si>
    <t>GL000843</t>
  </si>
  <si>
    <t>AutoPost 843</t>
  </si>
  <si>
    <t>GL000844</t>
  </si>
  <si>
    <t>AutoPost 844</t>
  </si>
  <si>
    <t>GL000845</t>
  </si>
  <si>
    <t>AutoPost 845</t>
  </si>
  <si>
    <t>GL000846</t>
  </si>
  <si>
    <t>AutoPost 846</t>
  </si>
  <si>
    <t>GL000847</t>
  </si>
  <si>
    <t>AutoPost 847</t>
  </si>
  <si>
    <t>GL000848</t>
  </si>
  <si>
    <t>AutoPost 848</t>
  </si>
  <si>
    <t>GL000849</t>
  </si>
  <si>
    <t>AutoPost 849</t>
  </si>
  <si>
    <t>GL000850</t>
  </si>
  <si>
    <t>AutoPost 850</t>
  </si>
  <si>
    <t>GL000851</t>
  </si>
  <si>
    <t>AutoPost 851</t>
  </si>
  <si>
    <t>GL000852</t>
  </si>
  <si>
    <t>AutoPost 852</t>
  </si>
  <si>
    <t>GL000853</t>
  </si>
  <si>
    <t>AutoPost 853</t>
  </si>
  <si>
    <t>GL000854</t>
  </si>
  <si>
    <t>AutoPost 854</t>
  </si>
  <si>
    <t>GL000855</t>
  </si>
  <si>
    <t>AutoPost 855</t>
  </si>
  <si>
    <t>GL000856</t>
  </si>
  <si>
    <t>AutoPost 856</t>
  </si>
  <si>
    <t>GL000857</t>
  </si>
  <si>
    <t>AutoPost 857</t>
  </si>
  <si>
    <t>GL000858</t>
  </si>
  <si>
    <t>AutoPost 858</t>
  </si>
  <si>
    <t>GL000859</t>
  </si>
  <si>
    <t>AutoPost 859</t>
  </si>
  <si>
    <t>GL000860</t>
  </si>
  <si>
    <t>AutoPost 860</t>
  </si>
  <si>
    <t>GL000861</t>
  </si>
  <si>
    <t>AutoPost 861</t>
  </si>
  <si>
    <t>GL000862</t>
  </si>
  <si>
    <t>AutoPost 862</t>
  </si>
  <si>
    <t>GL000863</t>
  </si>
  <si>
    <t>AutoPost 863</t>
  </si>
  <si>
    <t>GL000864</t>
  </si>
  <si>
    <t>AutoPost 864</t>
  </si>
  <si>
    <t>GL000865</t>
  </si>
  <si>
    <t>AutoPost 865</t>
  </si>
  <si>
    <t>GL000866</t>
  </si>
  <si>
    <t>AutoPost 866</t>
  </si>
  <si>
    <t>GL000867</t>
  </si>
  <si>
    <t>AutoPost 867</t>
  </si>
  <si>
    <t>GL000868</t>
  </si>
  <si>
    <t>AutoPost 868</t>
  </si>
  <si>
    <t>GL000869</t>
  </si>
  <si>
    <t>AutoPost 869</t>
  </si>
  <si>
    <t>GL000870</t>
  </si>
  <si>
    <t>AutoPost 870</t>
  </si>
  <si>
    <t>GL000871</t>
  </si>
  <si>
    <t>AutoPost 871</t>
  </si>
  <si>
    <t>GL000872</t>
  </si>
  <si>
    <t>AutoPost 872</t>
  </si>
  <si>
    <t>GL000873</t>
  </si>
  <si>
    <t>AutoPost 873</t>
  </si>
  <si>
    <t>GL000874</t>
  </si>
  <si>
    <t>AutoPost 874</t>
  </si>
  <si>
    <t>GL000875</t>
  </si>
  <si>
    <t>AutoPost 875</t>
  </si>
  <si>
    <t>GL000876</t>
  </si>
  <si>
    <t>AutoPost 876</t>
  </si>
  <si>
    <t>GL000877</t>
  </si>
  <si>
    <t>AutoPost 877</t>
  </si>
  <si>
    <t>GL000878</t>
  </si>
  <si>
    <t>AutoPost 878</t>
  </si>
  <si>
    <t>GL000879</t>
  </si>
  <si>
    <t>AutoPost 879</t>
  </si>
  <si>
    <t>GL000880</t>
  </si>
  <si>
    <t>AutoPost 880</t>
  </si>
  <si>
    <t>GL000881</t>
  </si>
  <si>
    <t>AutoPost 881</t>
  </si>
  <si>
    <t>GL000882</t>
  </si>
  <si>
    <t>AutoPost 882</t>
  </si>
  <si>
    <t>GL000883</t>
  </si>
  <si>
    <t>AutoPost 883</t>
  </si>
  <si>
    <t>GL000884</t>
  </si>
  <si>
    <t>AutoPost 884</t>
  </si>
  <si>
    <t>GL000885</t>
  </si>
  <si>
    <t>AutoPost 885</t>
  </si>
  <si>
    <t>GL000886</t>
  </si>
  <si>
    <t>AutoPost 886</t>
  </si>
  <si>
    <t>GL000887</t>
  </si>
  <si>
    <t>AutoPost 887</t>
  </si>
  <si>
    <t>GL000888</t>
  </si>
  <si>
    <t>AutoPost 888</t>
  </si>
  <si>
    <t>GL000889</t>
  </si>
  <si>
    <t>AutoPost 889</t>
  </si>
  <si>
    <t>GL000890</t>
  </si>
  <si>
    <t>AutoPost 890</t>
  </si>
  <si>
    <t>GL000891</t>
  </si>
  <si>
    <t>AutoPost 891</t>
  </si>
  <si>
    <t>GL000892</t>
  </si>
  <si>
    <t>AutoPost 892</t>
  </si>
  <si>
    <t>GL000893</t>
  </si>
  <si>
    <t>AutoPost 893</t>
  </si>
  <si>
    <t>GL000894</t>
  </si>
  <si>
    <t>AutoPost 894</t>
  </si>
  <si>
    <t>GL000895</t>
  </si>
  <si>
    <t>AutoPost 895</t>
  </si>
  <si>
    <t>GL000896</t>
  </si>
  <si>
    <t>AutoPost 896</t>
  </si>
  <si>
    <t>GL000897</t>
  </si>
  <si>
    <t>AutoPost 897</t>
  </si>
  <si>
    <t>GL000898</t>
  </si>
  <si>
    <t>AutoPost 898</t>
  </si>
  <si>
    <t>GL000899</t>
  </si>
  <si>
    <t>AutoPost 899</t>
  </si>
  <si>
    <t>GL000900</t>
  </si>
  <si>
    <t>AutoPost 900</t>
  </si>
  <si>
    <t>GL000901</t>
  </si>
  <si>
    <t>AutoPost 901</t>
  </si>
  <si>
    <t>GL000902</t>
  </si>
  <si>
    <t>AutoPost 902</t>
  </si>
  <si>
    <t>GL000903</t>
  </si>
  <si>
    <t>AutoPost 903</t>
  </si>
  <si>
    <t>GL000904</t>
  </si>
  <si>
    <t>AutoPost 904</t>
  </si>
  <si>
    <t>GL000905</t>
  </si>
  <si>
    <t>AutoPost 905</t>
  </si>
  <si>
    <t>GL000906</t>
  </si>
  <si>
    <t>AutoPost 906</t>
  </si>
  <si>
    <t>GL000907</t>
  </si>
  <si>
    <t>AutoPost 907</t>
  </si>
  <si>
    <t>GL000908</t>
  </si>
  <si>
    <t>AutoPost 908</t>
  </si>
  <si>
    <t>GL000909</t>
  </si>
  <si>
    <t>AutoPost 909</t>
  </si>
  <si>
    <t>GL000910</t>
  </si>
  <si>
    <t>AutoPost 910</t>
  </si>
  <si>
    <t>GL000911</t>
  </si>
  <si>
    <t>AutoPost 911</t>
  </si>
  <si>
    <t>GL000912</t>
  </si>
  <si>
    <t>AutoPost 912</t>
  </si>
  <si>
    <t>GL000913</t>
  </si>
  <si>
    <t>AutoPost 913</t>
  </si>
  <si>
    <t>GL000914</t>
  </si>
  <si>
    <t>AutoPost 914</t>
  </si>
  <si>
    <t>GL000915</t>
  </si>
  <si>
    <t>AutoPost 915</t>
  </si>
  <si>
    <t>GL000916</t>
  </si>
  <si>
    <t>AutoPost 916</t>
  </si>
  <si>
    <t>GL000917</t>
  </si>
  <si>
    <t>AutoPost 917</t>
  </si>
  <si>
    <t>GL000918</t>
  </si>
  <si>
    <t>AutoPost 918</t>
  </si>
  <si>
    <t>GL000919</t>
  </si>
  <si>
    <t>AutoPost 919</t>
  </si>
  <si>
    <t>GL000920</t>
  </si>
  <si>
    <t>AutoPost 920</t>
  </si>
  <si>
    <t>GL000921</t>
  </si>
  <si>
    <t>AutoPost 921</t>
  </si>
  <si>
    <t>GL000922</t>
  </si>
  <si>
    <t>AutoPost 922</t>
  </si>
  <si>
    <t>GL000923</t>
  </si>
  <si>
    <t>AutoPost 923</t>
  </si>
  <si>
    <t>GL000924</t>
  </si>
  <si>
    <t>AutoPost 924</t>
  </si>
  <si>
    <t>GL000925</t>
  </si>
  <si>
    <t>AutoPost 925</t>
  </si>
  <si>
    <t>GL000926</t>
  </si>
  <si>
    <t>AutoPost 926</t>
  </si>
  <si>
    <t>GL000927</t>
  </si>
  <si>
    <t>AutoPost 927</t>
  </si>
  <si>
    <t>GL000928</t>
  </si>
  <si>
    <t>AutoPost 928</t>
  </si>
  <si>
    <t>GL000929</t>
  </si>
  <si>
    <t>AutoPost 929</t>
  </si>
  <si>
    <t>GL000930</t>
  </si>
  <si>
    <t>AutoPost 930</t>
  </si>
  <si>
    <t>GL000931</t>
  </si>
  <si>
    <t>AutoPost 931</t>
  </si>
  <si>
    <t>GL000932</t>
  </si>
  <si>
    <t>AutoPost 932</t>
  </si>
  <si>
    <t>GL000933</t>
  </si>
  <si>
    <t>AutoPost 933</t>
  </si>
  <si>
    <t>GL000934</t>
  </si>
  <si>
    <t>AutoPost 934</t>
  </si>
  <si>
    <t>GL000935</t>
  </si>
  <si>
    <t>AutoPost 935</t>
  </si>
  <si>
    <t>GL000936</t>
  </si>
  <si>
    <t>AutoPost 936</t>
  </si>
  <si>
    <t>GL000937</t>
  </si>
  <si>
    <t>AutoPost 937</t>
  </si>
  <si>
    <t>GL000938</t>
  </si>
  <si>
    <t>AutoPost 938</t>
  </si>
  <si>
    <t>GL000939</t>
  </si>
  <si>
    <t>AutoPost 939</t>
  </si>
  <si>
    <t>GL000940</t>
  </si>
  <si>
    <t>AutoPost 940</t>
  </si>
  <si>
    <t>GL000941</t>
  </si>
  <si>
    <t>AutoPost 941</t>
  </si>
  <si>
    <t>GL000942</t>
  </si>
  <si>
    <t>AutoPost 942</t>
  </si>
  <si>
    <t>GL000943</t>
  </si>
  <si>
    <t>AutoPost 943</t>
  </si>
  <si>
    <t>GL000944</t>
  </si>
  <si>
    <t>AutoPost 944</t>
  </si>
  <si>
    <t>GL000945</t>
  </si>
  <si>
    <t>AutoPost 945</t>
  </si>
  <si>
    <t>GL000946</t>
  </si>
  <si>
    <t>AutoPost 946</t>
  </si>
  <si>
    <t>GL000947</t>
  </si>
  <si>
    <t>AutoPost 947</t>
  </si>
  <si>
    <t>GL000948</t>
  </si>
  <si>
    <t>AutoPost 948</t>
  </si>
  <si>
    <t>GL000949</t>
  </si>
  <si>
    <t>AutoPost 949</t>
  </si>
  <si>
    <t>GL000950</t>
  </si>
  <si>
    <t>AutoPost 950</t>
  </si>
  <si>
    <t>GL000951</t>
  </si>
  <si>
    <t>AutoPost 951</t>
  </si>
  <si>
    <t>GL000952</t>
  </si>
  <si>
    <t>AutoPost 952</t>
  </si>
  <si>
    <t>GL000953</t>
  </si>
  <si>
    <t>AutoPost 953</t>
  </si>
  <si>
    <t>GL000954</t>
  </si>
  <si>
    <t>AutoPost 954</t>
  </si>
  <si>
    <t>GL000955</t>
  </si>
  <si>
    <t>AutoPost 955</t>
  </si>
  <si>
    <t>GL000956</t>
  </si>
  <si>
    <t>AutoPost 956</t>
  </si>
  <si>
    <t>GL000957</t>
  </si>
  <si>
    <t>AutoPost 957</t>
  </si>
  <si>
    <t>GL000958</t>
  </si>
  <si>
    <t>AutoPost 958</t>
  </si>
  <si>
    <t>GL000959</t>
  </si>
  <si>
    <t>AutoPost 959</t>
  </si>
  <si>
    <t>GL000960</t>
  </si>
  <si>
    <t>AutoPost 960</t>
  </si>
  <si>
    <t>GL000961</t>
  </si>
  <si>
    <t>AutoPost 961</t>
  </si>
  <si>
    <t>GL000962</t>
  </si>
  <si>
    <t>AutoPost 962</t>
  </si>
  <si>
    <t>GL000963</t>
  </si>
  <si>
    <t>AutoPost 963</t>
  </si>
  <si>
    <t>GL000964</t>
  </si>
  <si>
    <t>AutoPost 964</t>
  </si>
  <si>
    <t>GL000965</t>
  </si>
  <si>
    <t>AutoPost 965</t>
  </si>
  <si>
    <t>GL000966</t>
  </si>
  <si>
    <t>AutoPost 966</t>
  </si>
  <si>
    <t>GL000967</t>
  </si>
  <si>
    <t>AutoPost 967</t>
  </si>
  <si>
    <t>GL000968</t>
  </si>
  <si>
    <t>AutoPost 968</t>
  </si>
  <si>
    <t>GL000969</t>
  </si>
  <si>
    <t>AutoPost 969</t>
  </si>
  <si>
    <t>GL000970</t>
  </si>
  <si>
    <t>AutoPost 970</t>
  </si>
  <si>
    <t>GL000971</t>
  </si>
  <si>
    <t>AutoPost 971</t>
  </si>
  <si>
    <t>GL000972</t>
  </si>
  <si>
    <t>AutoPost 972</t>
  </si>
  <si>
    <t>GL000973</t>
  </si>
  <si>
    <t>AutoPost 973</t>
  </si>
  <si>
    <t>GL000974</t>
  </si>
  <si>
    <t>AutoPost 974</t>
  </si>
  <si>
    <t>GL000975</t>
  </si>
  <si>
    <t>AutoPost 975</t>
  </si>
  <si>
    <t>GL000976</t>
  </si>
  <si>
    <t>AutoPost 976</t>
  </si>
  <si>
    <t>GL000977</t>
  </si>
  <si>
    <t>AutoPost 977</t>
  </si>
  <si>
    <t>GL000978</t>
  </si>
  <si>
    <t>AutoPost 978</t>
  </si>
  <si>
    <t>GL000979</t>
  </si>
  <si>
    <t>AutoPost 979</t>
  </si>
  <si>
    <t>GL000980</t>
  </si>
  <si>
    <t>AutoPost 980</t>
  </si>
  <si>
    <t>GL000981</t>
  </si>
  <si>
    <t>AutoPost 981</t>
  </si>
  <si>
    <t>GL000982</t>
  </si>
  <si>
    <t>AutoPost 982</t>
  </si>
  <si>
    <t>GL000983</t>
  </si>
  <si>
    <t>AutoPost 983</t>
  </si>
  <si>
    <t>GL000984</t>
  </si>
  <si>
    <t>AutoPost 984</t>
  </si>
  <si>
    <t>GL000985</t>
  </si>
  <si>
    <t>AutoPost 985</t>
  </si>
  <si>
    <t>GL000986</t>
  </si>
  <si>
    <t>AutoPost 986</t>
  </si>
  <si>
    <t>GL000987</t>
  </si>
  <si>
    <t>AutoPost 987</t>
  </si>
  <si>
    <t>GL000988</t>
  </si>
  <si>
    <t>AutoPost 988</t>
  </si>
  <si>
    <t>GL000989</t>
  </si>
  <si>
    <t>AutoPost 989</t>
  </si>
  <si>
    <t>GL000990</t>
  </si>
  <si>
    <t>AutoPost 990</t>
  </si>
  <si>
    <t>GL000991</t>
  </si>
  <si>
    <t>AutoPost 991</t>
  </si>
  <si>
    <t>GL000992</t>
  </si>
  <si>
    <t>AutoPost 992</t>
  </si>
  <si>
    <t>GL000993</t>
  </si>
  <si>
    <t>AutoPost 993</t>
  </si>
  <si>
    <t>GL000994</t>
  </si>
  <si>
    <t>AutoPost 994</t>
  </si>
  <si>
    <t>GL000995</t>
  </si>
  <si>
    <t>AutoPost 995</t>
  </si>
  <si>
    <t>GL000996</t>
  </si>
  <si>
    <t>AutoPost 996</t>
  </si>
  <si>
    <t>GL000997</t>
  </si>
  <si>
    <t>AutoPost 997</t>
  </si>
  <si>
    <t>GL000998</t>
  </si>
  <si>
    <t>AutoPost 998</t>
  </si>
  <si>
    <t>GL000999</t>
  </si>
  <si>
    <t>AutoPost 999</t>
  </si>
  <si>
    <t>GL001000</t>
  </si>
  <si>
    <t>AutoPost 1000</t>
  </si>
  <si>
    <t>GL001001</t>
  </si>
  <si>
    <t>AutoPost 1001</t>
  </si>
  <si>
    <t>GL001002</t>
  </si>
  <si>
    <t>AutoPost 1002</t>
  </si>
  <si>
    <t>GL001003</t>
  </si>
  <si>
    <t>AutoPost 1003</t>
  </si>
  <si>
    <t>GL001004</t>
  </si>
  <si>
    <t>AutoPost 1004</t>
  </si>
  <si>
    <t>GL001005</t>
  </si>
  <si>
    <t>AutoPost 1005</t>
  </si>
  <si>
    <t>GL001006</t>
  </si>
  <si>
    <t>AutoPost 1006</t>
  </si>
  <si>
    <t>GL001007</t>
  </si>
  <si>
    <t>AutoPost 1007</t>
  </si>
  <si>
    <t>GL001008</t>
  </si>
  <si>
    <t>AutoPost 1008</t>
  </si>
  <si>
    <t>GL001009</t>
  </si>
  <si>
    <t>AutoPost 1009</t>
  </si>
  <si>
    <t>GL001010</t>
  </si>
  <si>
    <t>AutoPost 1010</t>
  </si>
  <si>
    <t>GL001011</t>
  </si>
  <si>
    <t>AutoPost 1011</t>
  </si>
  <si>
    <t>GL001012</t>
  </si>
  <si>
    <t>AutoPost 1012</t>
  </si>
  <si>
    <t>GL001013</t>
  </si>
  <si>
    <t>AutoPost 1013</t>
  </si>
  <si>
    <t>GL001014</t>
  </si>
  <si>
    <t>AutoPost 1014</t>
  </si>
  <si>
    <t>GL001015</t>
  </si>
  <si>
    <t>AutoPost 1015</t>
  </si>
  <si>
    <t>GL001016</t>
  </si>
  <si>
    <t>AutoPost 1016</t>
  </si>
  <si>
    <t>GL001017</t>
  </si>
  <si>
    <t>AutoPost 1017</t>
  </si>
  <si>
    <t>GL001018</t>
  </si>
  <si>
    <t>AutoPost 1018</t>
  </si>
  <si>
    <t>GL001019</t>
  </si>
  <si>
    <t>AutoPost 1019</t>
  </si>
  <si>
    <t>GL001020</t>
  </si>
  <si>
    <t>AutoPost 1020</t>
  </si>
  <si>
    <t>GL001021</t>
  </si>
  <si>
    <t>AutoPost 1021</t>
  </si>
  <si>
    <t>GL001022</t>
  </si>
  <si>
    <t>AutoPost 1022</t>
  </si>
  <si>
    <t>GL001023</t>
  </si>
  <si>
    <t>AutoPost 1023</t>
  </si>
  <si>
    <t>GL001024</t>
  </si>
  <si>
    <t>AutoPost 1024</t>
  </si>
  <si>
    <t>GL001025</t>
  </si>
  <si>
    <t>AutoPost 1025</t>
  </si>
  <si>
    <t>GL001026</t>
  </si>
  <si>
    <t>AutoPost 1026</t>
  </si>
  <si>
    <t>GL001027</t>
  </si>
  <si>
    <t>AutoPost 1027</t>
  </si>
  <si>
    <t>GL001028</t>
  </si>
  <si>
    <t>AutoPost 1028</t>
  </si>
  <si>
    <t>GL001029</t>
  </si>
  <si>
    <t>AutoPost 1029</t>
  </si>
  <si>
    <t>GL001030</t>
  </si>
  <si>
    <t>AutoPost 1030</t>
  </si>
  <si>
    <t>GL001031</t>
  </si>
  <si>
    <t>AutoPost 1031</t>
  </si>
  <si>
    <t>GL001032</t>
  </si>
  <si>
    <t>AutoPost 1032</t>
  </si>
  <si>
    <t>GL001033</t>
  </si>
  <si>
    <t>AutoPost 1033</t>
  </si>
  <si>
    <t>GL001034</t>
  </si>
  <si>
    <t>AutoPost 1034</t>
  </si>
  <si>
    <t>GL001035</t>
  </si>
  <si>
    <t>AutoPost 1035</t>
  </si>
  <si>
    <t>GL001036</t>
  </si>
  <si>
    <t>AutoPost 1036</t>
  </si>
  <si>
    <t>GL001037</t>
  </si>
  <si>
    <t>AutoPost 1037</t>
  </si>
  <si>
    <t>GL001038</t>
  </si>
  <si>
    <t>AutoPost 1038</t>
  </si>
  <si>
    <t>GL001039</t>
  </si>
  <si>
    <t>AutoPost 1039</t>
  </si>
  <si>
    <t>GL001040</t>
  </si>
  <si>
    <t>AutoPost 1040</t>
  </si>
  <si>
    <t>GL001041</t>
  </si>
  <si>
    <t>AutoPost 1041</t>
  </si>
  <si>
    <t>GL001042</t>
  </si>
  <si>
    <t>AutoPost 1042</t>
  </si>
  <si>
    <t>GL001043</t>
  </si>
  <si>
    <t>AutoPost 1043</t>
  </si>
  <si>
    <t>GL001044</t>
  </si>
  <si>
    <t>AutoPost 1044</t>
  </si>
  <si>
    <t>GL001045</t>
  </si>
  <si>
    <t>AutoPost 1045</t>
  </si>
  <si>
    <t>GL001046</t>
  </si>
  <si>
    <t>AutoPost 1046</t>
  </si>
  <si>
    <t>GL001047</t>
  </si>
  <si>
    <t>AutoPost 1047</t>
  </si>
  <si>
    <t>GL001048</t>
  </si>
  <si>
    <t>AutoPost 1048</t>
  </si>
  <si>
    <t>GL001049</t>
  </si>
  <si>
    <t>AutoPost 1049</t>
  </si>
  <si>
    <t>GL001050</t>
  </si>
  <si>
    <t>AutoPost 1050</t>
  </si>
  <si>
    <t>GL001051</t>
  </si>
  <si>
    <t>AutoPost 1051</t>
  </si>
  <si>
    <t>GL001052</t>
  </si>
  <si>
    <t>AutoPost 1052</t>
  </si>
  <si>
    <t>GL001053</t>
  </si>
  <si>
    <t>AutoPost 1053</t>
  </si>
  <si>
    <t>GL001054</t>
  </si>
  <si>
    <t>AutoPost 1054</t>
  </si>
  <si>
    <t>GL001055</t>
  </si>
  <si>
    <t>AutoPost 1055</t>
  </si>
  <si>
    <t>GL001056</t>
  </si>
  <si>
    <t>AutoPost 1056</t>
  </si>
  <si>
    <t>GL001057</t>
  </si>
  <si>
    <t>AutoPost 1057</t>
  </si>
  <si>
    <t>GL001058</t>
  </si>
  <si>
    <t>AutoPost 1058</t>
  </si>
  <si>
    <t>GL001059</t>
  </si>
  <si>
    <t>AutoPost 1059</t>
  </si>
  <si>
    <t>GL001060</t>
  </si>
  <si>
    <t>AutoPost 1060</t>
  </si>
  <si>
    <t>GL001061</t>
  </si>
  <si>
    <t>AutoPost 1061</t>
  </si>
  <si>
    <t>GL001062</t>
  </si>
  <si>
    <t>AutoPost 1062</t>
  </si>
  <si>
    <t>GL001063</t>
  </si>
  <si>
    <t>AutoPost 1063</t>
  </si>
  <si>
    <t>GL001064</t>
  </si>
  <si>
    <t>AutoPost 1064</t>
  </si>
  <si>
    <t>GL001065</t>
  </si>
  <si>
    <t>AutoPost 1065</t>
  </si>
  <si>
    <t>GL001066</t>
  </si>
  <si>
    <t>AutoPost 1066</t>
  </si>
  <si>
    <t>GL001067</t>
  </si>
  <si>
    <t>AutoPost 1067</t>
  </si>
  <si>
    <t>GL001068</t>
  </si>
  <si>
    <t>AutoPost 1068</t>
  </si>
  <si>
    <t>GL001069</t>
  </si>
  <si>
    <t>AutoPost 1069</t>
  </si>
  <si>
    <t>GL001070</t>
  </si>
  <si>
    <t>AutoPost 1070</t>
  </si>
  <si>
    <t>GL001071</t>
  </si>
  <si>
    <t>AutoPost 1071</t>
  </si>
  <si>
    <t>GL001072</t>
  </si>
  <si>
    <t>AutoPost 1072</t>
  </si>
  <si>
    <t>GL001073</t>
  </si>
  <si>
    <t>AutoPost 1073</t>
  </si>
  <si>
    <t>GL001074</t>
  </si>
  <si>
    <t>AutoPost 1074</t>
  </si>
  <si>
    <t>GL001075</t>
  </si>
  <si>
    <t>AutoPost 1075</t>
  </si>
  <si>
    <t>GL001076</t>
  </si>
  <si>
    <t>AutoPost 1076</t>
  </si>
  <si>
    <t>GL001077</t>
  </si>
  <si>
    <t>AutoPost 1077</t>
  </si>
  <si>
    <t>GL001078</t>
  </si>
  <si>
    <t>AutoPost 1078</t>
  </si>
  <si>
    <t>GL001079</t>
  </si>
  <si>
    <t>AutoPost 1079</t>
  </si>
  <si>
    <t>GL001080</t>
  </si>
  <si>
    <t>AutoPost 1080</t>
  </si>
  <si>
    <t>GL001081</t>
  </si>
  <si>
    <t>AutoPost 1081</t>
  </si>
  <si>
    <t>GL001082</t>
  </si>
  <si>
    <t>AutoPost 1082</t>
  </si>
  <si>
    <t>GL001083</t>
  </si>
  <si>
    <t>AutoPost 1083</t>
  </si>
  <si>
    <t>GL001084</t>
  </si>
  <si>
    <t>AutoPost 1084</t>
  </si>
  <si>
    <t>GL001085</t>
  </si>
  <si>
    <t>AutoPost 1085</t>
  </si>
  <si>
    <t>GL001086</t>
  </si>
  <si>
    <t>AutoPost 1086</t>
  </si>
  <si>
    <t>GL001087</t>
  </si>
  <si>
    <t>AutoPost 1087</t>
  </si>
  <si>
    <t>GL001088</t>
  </si>
  <si>
    <t>AutoPost 1088</t>
  </si>
  <si>
    <t>GL001089</t>
  </si>
  <si>
    <t>AutoPost 1089</t>
  </si>
  <si>
    <t>GL001090</t>
  </si>
  <si>
    <t>AutoPost 1090</t>
  </si>
  <si>
    <t>GL001091</t>
  </si>
  <si>
    <t>AutoPost 1091</t>
  </si>
  <si>
    <t>GL001092</t>
  </si>
  <si>
    <t>AutoPost 1092</t>
  </si>
  <si>
    <t>GL001093</t>
  </si>
  <si>
    <t>AutoPost 1093</t>
  </si>
  <si>
    <t>GL001094</t>
  </si>
  <si>
    <t>AutoPost 1094</t>
  </si>
  <si>
    <t>GL001095</t>
  </si>
  <si>
    <t>AutoPost 1095</t>
  </si>
  <si>
    <t>GL001096</t>
  </si>
  <si>
    <t>AutoPost 1096</t>
  </si>
  <si>
    <t>GL001097</t>
  </si>
  <si>
    <t>AutoPost 1097</t>
  </si>
  <si>
    <t>GL001098</t>
  </si>
  <si>
    <t>AutoPost 1098</t>
  </si>
  <si>
    <t>GL001099</t>
  </si>
  <si>
    <t>AutoPost 1099</t>
  </si>
  <si>
    <t>GL001100</t>
  </si>
  <si>
    <t>AutoPost 1100</t>
  </si>
  <si>
    <t>GL001101</t>
  </si>
  <si>
    <t>AutoPost 1101</t>
  </si>
  <si>
    <t>GL001102</t>
  </si>
  <si>
    <t>AutoPost 1102</t>
  </si>
  <si>
    <t>GL001103</t>
  </si>
  <si>
    <t>AutoPost 1103</t>
  </si>
  <si>
    <t>GL001104</t>
  </si>
  <si>
    <t>AutoPost 1104</t>
  </si>
  <si>
    <t>GL001105</t>
  </si>
  <si>
    <t>AutoPost 1105</t>
  </si>
  <si>
    <t>GL001106</t>
  </si>
  <si>
    <t>AutoPost 1106</t>
  </si>
  <si>
    <t>GL001107</t>
  </si>
  <si>
    <t>AutoPost 1107</t>
  </si>
  <si>
    <t>GL001108</t>
  </si>
  <si>
    <t>AutoPost 1108</t>
  </si>
  <si>
    <t>GL001109</t>
  </si>
  <si>
    <t>AutoPost 1109</t>
  </si>
  <si>
    <t>GL001110</t>
  </si>
  <si>
    <t>AutoPost 1110</t>
  </si>
  <si>
    <t>GL001111</t>
  </si>
  <si>
    <t>AutoPost 1111</t>
  </si>
  <si>
    <t>GL001112</t>
  </si>
  <si>
    <t>AutoPost 1112</t>
  </si>
  <si>
    <t>GL001113</t>
  </si>
  <si>
    <t>AutoPost 1113</t>
  </si>
  <si>
    <t>GL001114</t>
  </si>
  <si>
    <t>AutoPost 1114</t>
  </si>
  <si>
    <t>GL001115</t>
  </si>
  <si>
    <t>AutoPost 1115</t>
  </si>
  <si>
    <t>GL001116</t>
  </si>
  <si>
    <t>AutoPost 1116</t>
  </si>
  <si>
    <t>GL001117</t>
  </si>
  <si>
    <t>AutoPost 1117</t>
  </si>
  <si>
    <t>GL001118</t>
  </si>
  <si>
    <t>AutoPost 1118</t>
  </si>
  <si>
    <t>GL001119</t>
  </si>
  <si>
    <t>AutoPost 1119</t>
  </si>
  <si>
    <t>GL001120</t>
  </si>
  <si>
    <t>AutoPost 1120</t>
  </si>
  <si>
    <t>GL001121</t>
  </si>
  <si>
    <t>AutoPost 1121</t>
  </si>
  <si>
    <t>GL001122</t>
  </si>
  <si>
    <t>AutoPost 1122</t>
  </si>
  <si>
    <t>GL001123</t>
  </si>
  <si>
    <t>AutoPost 1123</t>
  </si>
  <si>
    <t>GL001124</t>
  </si>
  <si>
    <t>AutoPost 1124</t>
  </si>
  <si>
    <t>GL001125</t>
  </si>
  <si>
    <t>AutoPost 1125</t>
  </si>
  <si>
    <t>GL001126</t>
  </si>
  <si>
    <t>AutoPost 1126</t>
  </si>
  <si>
    <t>GL001127</t>
  </si>
  <si>
    <t>AutoPost 1127</t>
  </si>
  <si>
    <t>GL001128</t>
  </si>
  <si>
    <t>AutoPost 1128</t>
  </si>
  <si>
    <t>GL001129</t>
  </si>
  <si>
    <t>AutoPost 1129</t>
  </si>
  <si>
    <t>GL001130</t>
  </si>
  <si>
    <t>AutoPost 1130</t>
  </si>
  <si>
    <t>GL001131</t>
  </si>
  <si>
    <t>AutoPost 1131</t>
  </si>
  <si>
    <t>GL001132</t>
  </si>
  <si>
    <t>AutoPost 1132</t>
  </si>
  <si>
    <t>GL001133</t>
  </si>
  <si>
    <t>AutoPost 1133</t>
  </si>
  <si>
    <t>GL001134</t>
  </si>
  <si>
    <t>AutoPost 1134</t>
  </si>
  <si>
    <t>GL001135</t>
  </si>
  <si>
    <t>AutoPost 1135</t>
  </si>
  <si>
    <t>GL001136</t>
  </si>
  <si>
    <t>AutoPost 1136</t>
  </si>
  <si>
    <t>GL001137</t>
  </si>
  <si>
    <t>AutoPost 1137</t>
  </si>
  <si>
    <t>GL001138</t>
  </si>
  <si>
    <t>AutoPost 1138</t>
  </si>
  <si>
    <t>GL001139</t>
  </si>
  <si>
    <t>AutoPost 1139</t>
  </si>
  <si>
    <t>GL001140</t>
  </si>
  <si>
    <t>AutoPost 1140</t>
  </si>
  <si>
    <t>GL001141</t>
  </si>
  <si>
    <t>AutoPost 1141</t>
  </si>
  <si>
    <t>GL001142</t>
  </si>
  <si>
    <t>AutoPost 1142</t>
  </si>
  <si>
    <t>GL001143</t>
  </si>
  <si>
    <t>AutoPost 1143</t>
  </si>
  <si>
    <t>GL001144</t>
  </si>
  <si>
    <t>AutoPost 1144</t>
  </si>
  <si>
    <t>GL001145</t>
  </si>
  <si>
    <t>AutoPost 1145</t>
  </si>
  <si>
    <t>GL001146</t>
  </si>
  <si>
    <t>AutoPost 1146</t>
  </si>
  <si>
    <t>GL001147</t>
  </si>
  <si>
    <t>AutoPost 1147</t>
  </si>
  <si>
    <t>GL001148</t>
  </si>
  <si>
    <t>AutoPost 1148</t>
  </si>
  <si>
    <t>GL001149</t>
  </si>
  <si>
    <t>AutoPost 1149</t>
  </si>
  <si>
    <t>GL001150</t>
  </si>
  <si>
    <t>AutoPost 1150</t>
  </si>
  <si>
    <t>GL001151</t>
  </si>
  <si>
    <t>AutoPost 1151</t>
  </si>
  <si>
    <t>GL001152</t>
  </si>
  <si>
    <t>AutoPost 1152</t>
  </si>
  <si>
    <t>GL001153</t>
  </si>
  <si>
    <t>AutoPost 1153</t>
  </si>
  <si>
    <t>GL001154</t>
  </si>
  <si>
    <t>AutoPost 1154</t>
  </si>
  <si>
    <t>GL001155</t>
  </si>
  <si>
    <t>AutoPost 1155</t>
  </si>
  <si>
    <t>GL001156</t>
  </si>
  <si>
    <t>AutoPost 1156</t>
  </si>
  <si>
    <t>GL001157</t>
  </si>
  <si>
    <t>AutoPost 1157</t>
  </si>
  <si>
    <t>GL001158</t>
  </si>
  <si>
    <t>AutoPost 1158</t>
  </si>
  <si>
    <t>GL001159</t>
  </si>
  <si>
    <t>AutoPost 1159</t>
  </si>
  <si>
    <t>GL001160</t>
  </si>
  <si>
    <t>AutoPost 1160</t>
  </si>
  <si>
    <t>GL001161</t>
  </si>
  <si>
    <t>AutoPost 1161</t>
  </si>
  <si>
    <t>GL001162</t>
  </si>
  <si>
    <t>AutoPost 1162</t>
  </si>
  <si>
    <t>GL001163</t>
  </si>
  <si>
    <t>AutoPost 1163</t>
  </si>
  <si>
    <t>GL001164</t>
  </si>
  <si>
    <t>AutoPost 1164</t>
  </si>
  <si>
    <t>GL001165</t>
  </si>
  <si>
    <t>AutoPost 1165</t>
  </si>
  <si>
    <t>GL001166</t>
  </si>
  <si>
    <t>AutoPost 1166</t>
  </si>
  <si>
    <t>GL001167</t>
  </si>
  <si>
    <t>AutoPost 1167</t>
  </si>
  <si>
    <t>GL001168</t>
  </si>
  <si>
    <t>AutoPost 1168</t>
  </si>
  <si>
    <t>GL001169</t>
  </si>
  <si>
    <t>AutoPost 1169</t>
  </si>
  <si>
    <t>GL001170</t>
  </si>
  <si>
    <t>AutoPost 1170</t>
  </si>
  <si>
    <t>GL001171</t>
  </si>
  <si>
    <t>AutoPost 1171</t>
  </si>
  <si>
    <t>GL001172</t>
  </si>
  <si>
    <t>AutoPost 1172</t>
  </si>
  <si>
    <t>GL001173</t>
  </si>
  <si>
    <t>AutoPost 1173</t>
  </si>
  <si>
    <t>GL001174</t>
  </si>
  <si>
    <t>AutoPost 1174</t>
  </si>
  <si>
    <t>GL001175</t>
  </si>
  <si>
    <t>AutoPost 1175</t>
  </si>
  <si>
    <t>GL001176</t>
  </si>
  <si>
    <t>AutoPost 1176</t>
  </si>
  <si>
    <t>GL001177</t>
  </si>
  <si>
    <t>AutoPost 1177</t>
  </si>
  <si>
    <t>GL001178</t>
  </si>
  <si>
    <t>AutoPost 1178</t>
  </si>
  <si>
    <t>GL001179</t>
  </si>
  <si>
    <t>AutoPost 1179</t>
  </si>
  <si>
    <t>GL001180</t>
  </si>
  <si>
    <t>AutoPost 1180</t>
  </si>
  <si>
    <t>GL001181</t>
  </si>
  <si>
    <t>AutoPost 1181</t>
  </si>
  <si>
    <t>GL001182</t>
  </si>
  <si>
    <t>AutoPost 1182</t>
  </si>
  <si>
    <t>GL001183</t>
  </si>
  <si>
    <t>AutoPost 1183</t>
  </si>
  <si>
    <t>GL001184</t>
  </si>
  <si>
    <t>AutoPost 1184</t>
  </si>
  <si>
    <t>GL001185</t>
  </si>
  <si>
    <t>AutoPost 1185</t>
  </si>
  <si>
    <t>GL001186</t>
  </si>
  <si>
    <t>AutoPost 1186</t>
  </si>
  <si>
    <t>GL001187</t>
  </si>
  <si>
    <t>AutoPost 1187</t>
  </si>
  <si>
    <t>GL001188</t>
  </si>
  <si>
    <t>AutoPost 1188</t>
  </si>
  <si>
    <t>GL001189</t>
  </si>
  <si>
    <t>AutoPost 1189</t>
  </si>
  <si>
    <t>GL001190</t>
  </si>
  <si>
    <t>AutoPost 1190</t>
  </si>
  <si>
    <t>GL001191</t>
  </si>
  <si>
    <t>AutoPost 1191</t>
  </si>
  <si>
    <t>GL001192</t>
  </si>
  <si>
    <t>AutoPost 1192</t>
  </si>
  <si>
    <t>GL001193</t>
  </si>
  <si>
    <t>AutoPost 1193</t>
  </si>
  <si>
    <t>GL001194</t>
  </si>
  <si>
    <t>AutoPost 1194</t>
  </si>
  <si>
    <t>GL001195</t>
  </si>
  <si>
    <t>AutoPost 1195</t>
  </si>
  <si>
    <t>GL001196</t>
  </si>
  <si>
    <t>AutoPost 1196</t>
  </si>
  <si>
    <t>GL001197</t>
  </si>
  <si>
    <t>AutoPost 1197</t>
  </si>
  <si>
    <t>GL001198</t>
  </si>
  <si>
    <t>AutoPost 1198</t>
  </si>
  <si>
    <t>GL001199</t>
  </si>
  <si>
    <t>AutoPost 1199</t>
  </si>
  <si>
    <t>GL001200</t>
  </si>
  <si>
    <t>AutoPost 1200</t>
  </si>
  <si>
    <t>GL001201</t>
  </si>
  <si>
    <t>AutoPost 1201</t>
  </si>
  <si>
    <t>GL001202</t>
  </si>
  <si>
    <t>AutoPost 1202</t>
  </si>
  <si>
    <t>GL001203</t>
  </si>
  <si>
    <t>AutoPost 1203</t>
  </si>
  <si>
    <t>GL001204</t>
  </si>
  <si>
    <t>AutoPost 1204</t>
  </si>
  <si>
    <t>GL001205</t>
  </si>
  <si>
    <t>AutoPost 1205</t>
  </si>
  <si>
    <t>GL001206</t>
  </si>
  <si>
    <t>AutoPost 1206</t>
  </si>
  <si>
    <t>GL001207</t>
  </si>
  <si>
    <t>AutoPost 1207</t>
  </si>
  <si>
    <t>GL001208</t>
  </si>
  <si>
    <t>AutoPost 1208</t>
  </si>
  <si>
    <t>GL001209</t>
  </si>
  <si>
    <t>AutoPost 1209</t>
  </si>
  <si>
    <t>GL001210</t>
  </si>
  <si>
    <t>AutoPost 1210</t>
  </si>
  <si>
    <t>GL001211</t>
  </si>
  <si>
    <t>AutoPost 1211</t>
  </si>
  <si>
    <t>GL001212</t>
  </si>
  <si>
    <t>AutoPost 1212</t>
  </si>
  <si>
    <t>GL001213</t>
  </si>
  <si>
    <t>AutoPost 1213</t>
  </si>
  <si>
    <t>GL001214</t>
  </si>
  <si>
    <t>AutoPost 1214</t>
  </si>
  <si>
    <t>GL001215</t>
  </si>
  <si>
    <t>AutoPost 1215</t>
  </si>
  <si>
    <t>GL001216</t>
  </si>
  <si>
    <t>AutoPost 1216</t>
  </si>
  <si>
    <t>GL001217</t>
  </si>
  <si>
    <t>AutoPost 1217</t>
  </si>
  <si>
    <t>GL001218</t>
  </si>
  <si>
    <t>AutoPost 1218</t>
  </si>
  <si>
    <t>GL001219</t>
  </si>
  <si>
    <t>AutoPost 1219</t>
  </si>
  <si>
    <t>GL001220</t>
  </si>
  <si>
    <t>AutoPost 1220</t>
  </si>
  <si>
    <t>GL001221</t>
  </si>
  <si>
    <t>AutoPost 1221</t>
  </si>
  <si>
    <t>GL001222</t>
  </si>
  <si>
    <t>AutoPost 1222</t>
  </si>
  <si>
    <t>GL001223</t>
  </si>
  <si>
    <t>AutoPost 1223</t>
  </si>
  <si>
    <t>GL001224</t>
  </si>
  <si>
    <t>AutoPost 1224</t>
  </si>
  <si>
    <t>GL001225</t>
  </si>
  <si>
    <t>AutoPost 1225</t>
  </si>
  <si>
    <t>GL001226</t>
  </si>
  <si>
    <t>AutoPost 1226</t>
  </si>
  <si>
    <t>GL001227</t>
  </si>
  <si>
    <t>AutoPost 1227</t>
  </si>
  <si>
    <t>GL001228</t>
  </si>
  <si>
    <t>AutoPost 1228</t>
  </si>
  <si>
    <t>GL001229</t>
  </si>
  <si>
    <t>AutoPost 1229</t>
  </si>
  <si>
    <t>GL001230</t>
  </si>
  <si>
    <t>AutoPost 1230</t>
  </si>
  <si>
    <t>GL001231</t>
  </si>
  <si>
    <t>AutoPost 1231</t>
  </si>
  <si>
    <t>GL001232</t>
  </si>
  <si>
    <t>AutoPost 1232</t>
  </si>
  <si>
    <t>GL001233</t>
  </si>
  <si>
    <t>AutoPost 1233</t>
  </si>
  <si>
    <t>GL001234</t>
  </si>
  <si>
    <t>AutoPost 1234</t>
  </si>
  <si>
    <t>GL001235</t>
  </si>
  <si>
    <t>AutoPost 1235</t>
  </si>
  <si>
    <t>GL001236</t>
  </si>
  <si>
    <t>AutoPost 1236</t>
  </si>
  <si>
    <t>GL001237</t>
  </si>
  <si>
    <t>AutoPost 1237</t>
  </si>
  <si>
    <t>GL001238</t>
  </si>
  <si>
    <t>AutoPost 1238</t>
  </si>
  <si>
    <t>GL001239</t>
  </si>
  <si>
    <t>AutoPost 1239</t>
  </si>
  <si>
    <t>GL001240</t>
  </si>
  <si>
    <t>AutoPost 1240</t>
  </si>
  <si>
    <t>GL001241</t>
  </si>
  <si>
    <t>AutoPost 1241</t>
  </si>
  <si>
    <t>GL001242</t>
  </si>
  <si>
    <t>AutoPost 1242</t>
  </si>
  <si>
    <t>GL001243</t>
  </si>
  <si>
    <t>AutoPost 1243</t>
  </si>
  <si>
    <t>GL001244</t>
  </si>
  <si>
    <t>AutoPost 1244</t>
  </si>
  <si>
    <t>GL001245</t>
  </si>
  <si>
    <t>AutoPost 1245</t>
  </si>
  <si>
    <t>GL001246</t>
  </si>
  <si>
    <t>AutoPost 1246</t>
  </si>
  <si>
    <t>GL001247</t>
  </si>
  <si>
    <t>AutoPost 1247</t>
  </si>
  <si>
    <t>GL001248</t>
  </si>
  <si>
    <t>AutoPost 1248</t>
  </si>
  <si>
    <t>GL001249</t>
  </si>
  <si>
    <t>AutoPost 1249</t>
  </si>
  <si>
    <t>GL001250</t>
  </si>
  <si>
    <t>AutoPost 1250</t>
  </si>
  <si>
    <t>GL001251</t>
  </si>
  <si>
    <t>AutoPost 1251</t>
  </si>
  <si>
    <t>GL001252</t>
  </si>
  <si>
    <t>AutoPost 1252</t>
  </si>
  <si>
    <t>GL001253</t>
  </si>
  <si>
    <t>AutoPost 1253</t>
  </si>
  <si>
    <t>GL001254</t>
  </si>
  <si>
    <t>AutoPost 1254</t>
  </si>
  <si>
    <t>GL001255</t>
  </si>
  <si>
    <t>AutoPost 1255</t>
  </si>
  <si>
    <t>GL001256</t>
  </si>
  <si>
    <t>AutoPost 1256</t>
  </si>
  <si>
    <t>GL001257</t>
  </si>
  <si>
    <t>AutoPost 1257</t>
  </si>
  <si>
    <t>GL001258</t>
  </si>
  <si>
    <t>AutoPost 1258</t>
  </si>
  <si>
    <t>GL001259</t>
  </si>
  <si>
    <t>AutoPost 1259</t>
  </si>
  <si>
    <t>GL001260</t>
  </si>
  <si>
    <t>AutoPost 1260</t>
  </si>
  <si>
    <t>GL001261</t>
  </si>
  <si>
    <t>AutoPost 1261</t>
  </si>
  <si>
    <t>GL001262</t>
  </si>
  <si>
    <t>AutoPost 1262</t>
  </si>
  <si>
    <t>GL001263</t>
  </si>
  <si>
    <t>AutoPost 1263</t>
  </si>
  <si>
    <t>GL001264</t>
  </si>
  <si>
    <t>AutoPost 1264</t>
  </si>
  <si>
    <t>GL001265</t>
  </si>
  <si>
    <t>AutoPost 1265</t>
  </si>
  <si>
    <t>GL001266</t>
  </si>
  <si>
    <t>AutoPost 1266</t>
  </si>
  <si>
    <t>GL001267</t>
  </si>
  <si>
    <t>AutoPost 1267</t>
  </si>
  <si>
    <t>GL001268</t>
  </si>
  <si>
    <t>AutoPost 1268</t>
  </si>
  <si>
    <t>GL001269</t>
  </si>
  <si>
    <t>AutoPost 1269</t>
  </si>
  <si>
    <t>GL001270</t>
  </si>
  <si>
    <t>AutoPost 1270</t>
  </si>
  <si>
    <t>GL001271</t>
  </si>
  <si>
    <t>AutoPost 1271</t>
  </si>
  <si>
    <t>GL001272</t>
  </si>
  <si>
    <t>AutoPost 1272</t>
  </si>
  <si>
    <t>GL001273</t>
  </si>
  <si>
    <t>AutoPost 1273</t>
  </si>
  <si>
    <t>GL001274</t>
  </si>
  <si>
    <t>AutoPost 1274</t>
  </si>
  <si>
    <t>GL001275</t>
  </si>
  <si>
    <t>AutoPost 1275</t>
  </si>
  <si>
    <t>GL001276</t>
  </si>
  <si>
    <t>AutoPost 1276</t>
  </si>
  <si>
    <t>GL001277</t>
  </si>
  <si>
    <t>AutoPost 1277</t>
  </si>
  <si>
    <t>GL001278</t>
  </si>
  <si>
    <t>AutoPost 1278</t>
  </si>
  <si>
    <t>GL001279</t>
  </si>
  <si>
    <t>AutoPost 1279</t>
  </si>
  <si>
    <t>GL001280</t>
  </si>
  <si>
    <t>AutoPost 1280</t>
  </si>
  <si>
    <t>GL001281</t>
  </si>
  <si>
    <t>AutoPost 1281</t>
  </si>
  <si>
    <t>GL001282</t>
  </si>
  <si>
    <t>AutoPost 1282</t>
  </si>
  <si>
    <t>GL001283</t>
  </si>
  <si>
    <t>AutoPost 1283</t>
  </si>
  <si>
    <t>GL001284</t>
  </si>
  <si>
    <t>AutoPost 1284</t>
  </si>
  <si>
    <t>GL001285</t>
  </si>
  <si>
    <t>AutoPost 1285</t>
  </si>
  <si>
    <t>GL001286</t>
  </si>
  <si>
    <t>AutoPost 1286</t>
  </si>
  <si>
    <t>GL001287</t>
  </si>
  <si>
    <t>AutoPost 1287</t>
  </si>
  <si>
    <t>GL001288</t>
  </si>
  <si>
    <t>AutoPost 1288</t>
  </si>
  <si>
    <t>GL001289</t>
  </si>
  <si>
    <t>AutoPost 1289</t>
  </si>
  <si>
    <t>GL001290</t>
  </si>
  <si>
    <t>AutoPost 1290</t>
  </si>
  <si>
    <t>GL001291</t>
  </si>
  <si>
    <t>AutoPost 1291</t>
  </si>
  <si>
    <t>GL001292</t>
  </si>
  <si>
    <t>AutoPost 1292</t>
  </si>
  <si>
    <t>GL001293</t>
  </si>
  <si>
    <t>AutoPost 1293</t>
  </si>
  <si>
    <t>GL001294</t>
  </si>
  <si>
    <t>AutoPost 1294</t>
  </si>
  <si>
    <t>GL001295</t>
  </si>
  <si>
    <t>AutoPost 1295</t>
  </si>
  <si>
    <t>GL001296</t>
  </si>
  <si>
    <t>AutoPost 1296</t>
  </si>
  <si>
    <t>GL001297</t>
  </si>
  <si>
    <t>AutoPost 1297</t>
  </si>
  <si>
    <t>GL001298</t>
  </si>
  <si>
    <t>AutoPost 1298</t>
  </si>
  <si>
    <t>GL001299</t>
  </si>
  <si>
    <t>AutoPost 1299</t>
  </si>
  <si>
    <t>GL001300</t>
  </si>
  <si>
    <t>AutoPost 1300</t>
  </si>
  <si>
    <t>GL001301</t>
  </si>
  <si>
    <t>AutoPost 1301</t>
  </si>
  <si>
    <t>GL001302</t>
  </si>
  <si>
    <t>AutoPost 1302</t>
  </si>
  <si>
    <t>GL001303</t>
  </si>
  <si>
    <t>AutoPost 1303</t>
  </si>
  <si>
    <t>GL001304</t>
  </si>
  <si>
    <t>AutoPost 1304</t>
  </si>
  <si>
    <t>GL001305</t>
  </si>
  <si>
    <t>AutoPost 1305</t>
  </si>
  <si>
    <t>GL001306</t>
  </si>
  <si>
    <t>AutoPost 1306</t>
  </si>
  <si>
    <t>GL001307</t>
  </si>
  <si>
    <t>AutoPost 1307</t>
  </si>
  <si>
    <t>GL001308</t>
  </si>
  <si>
    <t>AutoPost 1308</t>
  </si>
  <si>
    <t>GL001309</t>
  </si>
  <si>
    <t>AutoPost 1309</t>
  </si>
  <si>
    <t>GL001310</t>
  </si>
  <si>
    <t>AutoPost 1310</t>
  </si>
  <si>
    <t>GL001311</t>
  </si>
  <si>
    <t>AutoPost 1311</t>
  </si>
  <si>
    <t>GL001312</t>
  </si>
  <si>
    <t>AutoPost 1312</t>
  </si>
  <si>
    <t>GL001313</t>
  </si>
  <si>
    <t>AutoPost 1313</t>
  </si>
  <si>
    <t>GL001314</t>
  </si>
  <si>
    <t>AutoPost 1314</t>
  </si>
  <si>
    <t>GL001315</t>
  </si>
  <si>
    <t>AutoPost 1315</t>
  </si>
  <si>
    <t>GL001316</t>
  </si>
  <si>
    <t>AutoPost 1316</t>
  </si>
  <si>
    <t>GL001317</t>
  </si>
  <si>
    <t>AutoPost 1317</t>
  </si>
  <si>
    <t>GL001318</t>
  </si>
  <si>
    <t>AutoPost 1318</t>
  </si>
  <si>
    <t>GL001319</t>
  </si>
  <si>
    <t>AutoPost 1319</t>
  </si>
  <si>
    <t>GL001320</t>
  </si>
  <si>
    <t>AutoPost 1320</t>
  </si>
  <si>
    <t>GL001321</t>
  </si>
  <si>
    <t>AutoPost 1321</t>
  </si>
  <si>
    <t>GL001322</t>
  </si>
  <si>
    <t>AutoPost 1322</t>
  </si>
  <si>
    <t>GL001323</t>
  </si>
  <si>
    <t>AutoPost 1323</t>
  </si>
  <si>
    <t>GL001324</t>
  </si>
  <si>
    <t>AutoPost 1324</t>
  </si>
  <si>
    <t>GL001325</t>
  </si>
  <si>
    <t>AutoPost 1325</t>
  </si>
  <si>
    <t>GL001326</t>
  </si>
  <si>
    <t>AutoPost 1326</t>
  </si>
  <si>
    <t>GL001327</t>
  </si>
  <si>
    <t>AutoPost 1327</t>
  </si>
  <si>
    <t>GL001328</t>
  </si>
  <si>
    <t>AutoPost 1328</t>
  </si>
  <si>
    <t>GL001329</t>
  </si>
  <si>
    <t>AutoPost 1329</t>
  </si>
  <si>
    <t>GL001330</t>
  </si>
  <si>
    <t>AutoPost 1330</t>
  </si>
  <si>
    <t>GL001331</t>
  </si>
  <si>
    <t>AutoPost 1331</t>
  </si>
  <si>
    <t>GL001332</t>
  </si>
  <si>
    <t>AutoPost 1332</t>
  </si>
  <si>
    <t>GL001333</t>
  </si>
  <si>
    <t>AutoPost 1333</t>
  </si>
  <si>
    <t>GL001334</t>
  </si>
  <si>
    <t>AutoPost 1334</t>
  </si>
  <si>
    <t>GL001335</t>
  </si>
  <si>
    <t>AutoPost 1335</t>
  </si>
  <si>
    <t>GL001336</t>
  </si>
  <si>
    <t>AutoPost 1336</t>
  </si>
  <si>
    <t>GL001337</t>
  </si>
  <si>
    <t>AutoPost 1337</t>
  </si>
  <si>
    <t>GL001338</t>
  </si>
  <si>
    <t>AutoPost 1338</t>
  </si>
  <si>
    <t>GL001339</t>
  </si>
  <si>
    <t>AutoPost 1339</t>
  </si>
  <si>
    <t>GL001340</t>
  </si>
  <si>
    <t>AutoPost 1340</t>
  </si>
  <si>
    <t>GL001341</t>
  </si>
  <si>
    <t>AutoPost 1341</t>
  </si>
  <si>
    <t>GL001342</t>
  </si>
  <si>
    <t>AutoPost 1342</t>
  </si>
  <si>
    <t>GL001343</t>
  </si>
  <si>
    <t>AutoPost 1343</t>
  </si>
  <si>
    <t>GL001344</t>
  </si>
  <si>
    <t>AutoPost 1344</t>
  </si>
  <si>
    <t>GL001345</t>
  </si>
  <si>
    <t>AutoPost 1345</t>
  </si>
  <si>
    <t>GL001346</t>
  </si>
  <si>
    <t>AutoPost 1346</t>
  </si>
  <si>
    <t>GL001347</t>
  </si>
  <si>
    <t>AutoPost 1347</t>
  </si>
  <si>
    <t>GL001348</t>
  </si>
  <si>
    <t>AutoPost 1348</t>
  </si>
  <si>
    <t>GL001349</t>
  </si>
  <si>
    <t>AutoPost 1349</t>
  </si>
  <si>
    <t>GL001350</t>
  </si>
  <si>
    <t>AutoPost 1350</t>
  </si>
  <si>
    <t>GL001351</t>
  </si>
  <si>
    <t>AutoPost 1351</t>
  </si>
  <si>
    <t>GL001352</t>
  </si>
  <si>
    <t>AutoPost 1352</t>
  </si>
  <si>
    <t>GL001353</t>
  </si>
  <si>
    <t>AutoPost 1353</t>
  </si>
  <si>
    <t>GL001354</t>
  </si>
  <si>
    <t>AutoPost 1354</t>
  </si>
  <si>
    <t>GL001355</t>
  </si>
  <si>
    <t>AutoPost 1355</t>
  </si>
  <si>
    <t>GL001356</t>
  </si>
  <si>
    <t>AutoPost 1356</t>
  </si>
  <si>
    <t>GL001357</t>
  </si>
  <si>
    <t>AutoPost 1357</t>
  </si>
  <si>
    <t>GL001358</t>
  </si>
  <si>
    <t>AutoPost 1358</t>
  </si>
  <si>
    <t>GL001359</t>
  </si>
  <si>
    <t>AutoPost 1359</t>
  </si>
  <si>
    <t>GL001360</t>
  </si>
  <si>
    <t>AutoPost 1360</t>
  </si>
  <si>
    <t>GL001361</t>
  </si>
  <si>
    <t>AutoPost 1361</t>
  </si>
  <si>
    <t>GL001362</t>
  </si>
  <si>
    <t>AutoPost 1362</t>
  </si>
  <si>
    <t>GL001363</t>
  </si>
  <si>
    <t>AutoPost 1363</t>
  </si>
  <si>
    <t>GL001364</t>
  </si>
  <si>
    <t>AutoPost 1364</t>
  </si>
  <si>
    <t>GL001365</t>
  </si>
  <si>
    <t>AutoPost 1365</t>
  </si>
  <si>
    <t>GL001366</t>
  </si>
  <si>
    <t>AutoPost 1366</t>
  </si>
  <si>
    <t>GL001367</t>
  </si>
  <si>
    <t>AutoPost 1367</t>
  </si>
  <si>
    <t>GL001368</t>
  </si>
  <si>
    <t>AutoPost 1368</t>
  </si>
  <si>
    <t>GL001369</t>
  </si>
  <si>
    <t>AutoPost 1369</t>
  </si>
  <si>
    <t>GL001370</t>
  </si>
  <si>
    <t>AutoPost 1370</t>
  </si>
  <si>
    <t>GL001371</t>
  </si>
  <si>
    <t>AutoPost 1371</t>
  </si>
  <si>
    <t>GL001372</t>
  </si>
  <si>
    <t>AutoPost 1372</t>
  </si>
  <si>
    <t>GL001373</t>
  </si>
  <si>
    <t>AutoPost 1373</t>
  </si>
  <si>
    <t>GL001374</t>
  </si>
  <si>
    <t>AutoPost 1374</t>
  </si>
  <si>
    <t>GL001375</t>
  </si>
  <si>
    <t>AutoPost 1375</t>
  </si>
  <si>
    <t>GL001376</t>
  </si>
  <si>
    <t>AutoPost 1376</t>
  </si>
  <si>
    <t>GL001377</t>
  </si>
  <si>
    <t>AutoPost 1377</t>
  </si>
  <si>
    <t>GL001378</t>
  </si>
  <si>
    <t>AutoPost 1378</t>
  </si>
  <si>
    <t>GL001379</t>
  </si>
  <si>
    <t>AutoPost 1379</t>
  </si>
  <si>
    <t>GL001380</t>
  </si>
  <si>
    <t>AutoPost 1380</t>
  </si>
  <si>
    <t>GL001381</t>
  </si>
  <si>
    <t>AutoPost 1381</t>
  </si>
  <si>
    <t>GL001382</t>
  </si>
  <si>
    <t>AutoPost 1382</t>
  </si>
  <si>
    <t>GL001383</t>
  </si>
  <si>
    <t>AutoPost 1383</t>
  </si>
  <si>
    <t>GL001384</t>
  </si>
  <si>
    <t>AutoPost 1384</t>
  </si>
  <si>
    <t>GL001385</t>
  </si>
  <si>
    <t>AutoPost 1385</t>
  </si>
  <si>
    <t>GL001386</t>
  </si>
  <si>
    <t>AutoPost 1386</t>
  </si>
  <si>
    <t>GL001387</t>
  </si>
  <si>
    <t>AutoPost 1387</t>
  </si>
  <si>
    <t>GL001388</t>
  </si>
  <si>
    <t>AutoPost 1388</t>
  </si>
  <si>
    <t>GL001389</t>
  </si>
  <si>
    <t>AutoPost 1389</t>
  </si>
  <si>
    <t>GL001390</t>
  </si>
  <si>
    <t>AutoPost 1390</t>
  </si>
  <si>
    <t>GL001391</t>
  </si>
  <si>
    <t>AutoPost 1391</t>
  </si>
  <si>
    <t>GL001392</t>
  </si>
  <si>
    <t>AutoPost 1392</t>
  </si>
  <si>
    <t>GL001393</t>
  </si>
  <si>
    <t>AutoPost 1393</t>
  </si>
  <si>
    <t>GL001394</t>
  </si>
  <si>
    <t>AutoPost 1394</t>
  </si>
  <si>
    <t>GL001395</t>
  </si>
  <si>
    <t>AutoPost 1395</t>
  </si>
  <si>
    <t>GL001396</t>
  </si>
  <si>
    <t>AutoPost 1396</t>
  </si>
  <si>
    <t>GL001397</t>
  </si>
  <si>
    <t>AutoPost 1397</t>
  </si>
  <si>
    <t>GL001398</t>
  </si>
  <si>
    <t>AutoPost 1398</t>
  </si>
  <si>
    <t>GL001399</t>
  </si>
  <si>
    <t>AutoPost 1399</t>
  </si>
  <si>
    <t>GL001400</t>
  </si>
  <si>
    <t>AutoPost 1400</t>
  </si>
  <si>
    <t>GL001401</t>
  </si>
  <si>
    <t>AutoPost 1401</t>
  </si>
  <si>
    <t>GL001402</t>
  </si>
  <si>
    <t>AutoPost 1402</t>
  </si>
  <si>
    <t>GL001403</t>
  </si>
  <si>
    <t>AutoPost 1403</t>
  </si>
  <si>
    <t>GL001404</t>
  </si>
  <si>
    <t>AutoPost 1404</t>
  </si>
  <si>
    <t>GL001405</t>
  </si>
  <si>
    <t>AutoPost 1405</t>
  </si>
  <si>
    <t>GL001406</t>
  </si>
  <si>
    <t>AutoPost 1406</t>
  </si>
  <si>
    <t>GL001407</t>
  </si>
  <si>
    <t>AutoPost 1407</t>
  </si>
  <si>
    <t>GL001408</t>
  </si>
  <si>
    <t>AutoPost 1408</t>
  </si>
  <si>
    <t>GL001409</t>
  </si>
  <si>
    <t>AutoPost 1409</t>
  </si>
  <si>
    <t>GL001410</t>
  </si>
  <si>
    <t>AutoPost 1410</t>
  </si>
  <si>
    <t>GL001411</t>
  </si>
  <si>
    <t>AutoPost 1411</t>
  </si>
  <si>
    <t>GL001412</t>
  </si>
  <si>
    <t>AutoPost 1412</t>
  </si>
  <si>
    <t>GL001413</t>
  </si>
  <si>
    <t>AutoPost 1413</t>
  </si>
  <si>
    <t>GL001414</t>
  </si>
  <si>
    <t>AutoPost 1414</t>
  </si>
  <si>
    <t>GL001415</t>
  </si>
  <si>
    <t>AutoPost 1415</t>
  </si>
  <si>
    <t>GL001416</t>
  </si>
  <si>
    <t>AutoPost 1416</t>
  </si>
  <si>
    <t>GL001417</t>
  </si>
  <si>
    <t>AutoPost 1417</t>
  </si>
  <si>
    <t>GL001418</t>
  </si>
  <si>
    <t>AutoPost 1418</t>
  </si>
  <si>
    <t>GL001419</t>
  </si>
  <si>
    <t>AutoPost 1419</t>
  </si>
  <si>
    <t>GL001420</t>
  </si>
  <si>
    <t>AutoPost 1420</t>
  </si>
  <si>
    <t>GL001421</t>
  </si>
  <si>
    <t>AutoPost 1421</t>
  </si>
  <si>
    <t>GL001422</t>
  </si>
  <si>
    <t>AutoPost 1422</t>
  </si>
  <si>
    <t>GL001423</t>
  </si>
  <si>
    <t>AutoPost 1423</t>
  </si>
  <si>
    <t>GL001424</t>
  </si>
  <si>
    <t>AutoPost 1424</t>
  </si>
  <si>
    <t>GL001425</t>
  </si>
  <si>
    <t>AutoPost 1425</t>
  </si>
  <si>
    <t>GL001426</t>
  </si>
  <si>
    <t>AutoPost 1426</t>
  </si>
  <si>
    <t>GL001427</t>
  </si>
  <si>
    <t>AutoPost 1427</t>
  </si>
  <si>
    <t>GL001428</t>
  </si>
  <si>
    <t>AutoPost 1428</t>
  </si>
  <si>
    <t>GL001429</t>
  </si>
  <si>
    <t>AutoPost 1429</t>
  </si>
  <si>
    <t>GL001430</t>
  </si>
  <si>
    <t>AutoPost 1430</t>
  </si>
  <si>
    <t>GL001431</t>
  </si>
  <si>
    <t>AutoPost 1431</t>
  </si>
  <si>
    <t>GL001432</t>
  </si>
  <si>
    <t>AutoPost 1432</t>
  </si>
  <si>
    <t>GL001433</t>
  </si>
  <si>
    <t>AutoPost 1433</t>
  </si>
  <si>
    <t>GL001434</t>
  </si>
  <si>
    <t>AutoPost 1434</t>
  </si>
  <si>
    <t>GL001435</t>
  </si>
  <si>
    <t>AutoPost 1435</t>
  </si>
  <si>
    <t>GL001436</t>
  </si>
  <si>
    <t>AutoPost 1436</t>
  </si>
  <si>
    <t>GL001437</t>
  </si>
  <si>
    <t>AutoPost 1437</t>
  </si>
  <si>
    <t>GL001438</t>
  </si>
  <si>
    <t>AutoPost 1438</t>
  </si>
  <si>
    <t>GL001439</t>
  </si>
  <si>
    <t>AutoPost 1439</t>
  </si>
  <si>
    <t>GL001440</t>
  </si>
  <si>
    <t>AutoPost 1440</t>
  </si>
  <si>
    <t>GL001441</t>
  </si>
  <si>
    <t>AutoPost 1441</t>
  </si>
  <si>
    <t>GL001442</t>
  </si>
  <si>
    <t>AutoPost 1442</t>
  </si>
  <si>
    <t>GL001443</t>
  </si>
  <si>
    <t>AutoPost 1443</t>
  </si>
  <si>
    <t>GL001444</t>
  </si>
  <si>
    <t>AutoPost 1444</t>
  </si>
  <si>
    <t>GL001445</t>
  </si>
  <si>
    <t>AutoPost 1445</t>
  </si>
  <si>
    <t>GL001446</t>
  </si>
  <si>
    <t>AutoPost 1446</t>
  </si>
  <si>
    <t>GL001447</t>
  </si>
  <si>
    <t>AutoPost 1447</t>
  </si>
  <si>
    <t>GL001448</t>
  </si>
  <si>
    <t>AutoPost 1448</t>
  </si>
  <si>
    <t>GL001449</t>
  </si>
  <si>
    <t>AutoPost 1449</t>
  </si>
  <si>
    <t>GL001450</t>
  </si>
  <si>
    <t>AutoPost 1450</t>
  </si>
  <si>
    <t>GL001451</t>
  </si>
  <si>
    <t>AutoPost 1451</t>
  </si>
  <si>
    <t>GL001452</t>
  </si>
  <si>
    <t>AutoPost 1452</t>
  </si>
  <si>
    <t>GL001453</t>
  </si>
  <si>
    <t>AutoPost 1453</t>
  </si>
  <si>
    <t>GL001454</t>
  </si>
  <si>
    <t>AutoPost 1454</t>
  </si>
  <si>
    <t>GL001455</t>
  </si>
  <si>
    <t>AutoPost 1455</t>
  </si>
  <si>
    <t>GL001456</t>
  </si>
  <si>
    <t>AutoPost 1456</t>
  </si>
  <si>
    <t>GL001457</t>
  </si>
  <si>
    <t>AutoPost 1457</t>
  </si>
  <si>
    <t>GL001458</t>
  </si>
  <si>
    <t>AutoPost 1458</t>
  </si>
  <si>
    <t>GL001459</t>
  </si>
  <si>
    <t>AutoPost 1459</t>
  </si>
  <si>
    <t>GL001460</t>
  </si>
  <si>
    <t>AutoPost 1460</t>
  </si>
  <si>
    <t>GL001461</t>
  </si>
  <si>
    <t>AutoPost 1461</t>
  </si>
  <si>
    <t>GL001462</t>
  </si>
  <si>
    <t>AutoPost 1462</t>
  </si>
  <si>
    <t>GL001463</t>
  </si>
  <si>
    <t>AutoPost 1463</t>
  </si>
  <si>
    <t>GL001464</t>
  </si>
  <si>
    <t>AutoPost 1464</t>
  </si>
  <si>
    <t>GL001465</t>
  </si>
  <si>
    <t>AutoPost 1465</t>
  </si>
  <si>
    <t>GL001466</t>
  </si>
  <si>
    <t>AutoPost 1466</t>
  </si>
  <si>
    <t>GL001467</t>
  </si>
  <si>
    <t>AutoPost 1467</t>
  </si>
  <si>
    <t>GL001468</t>
  </si>
  <si>
    <t>AutoPost 1468</t>
  </si>
  <si>
    <t>GL001469</t>
  </si>
  <si>
    <t>AutoPost 1469</t>
  </si>
  <si>
    <t>GL001470</t>
  </si>
  <si>
    <t>AutoPost 1470</t>
  </si>
  <si>
    <t>GL001471</t>
  </si>
  <si>
    <t>AutoPost 1471</t>
  </si>
  <si>
    <t>GL001472</t>
  </si>
  <si>
    <t>AutoPost 1472</t>
  </si>
  <si>
    <t>GL001473</t>
  </si>
  <si>
    <t>AutoPost 1473</t>
  </si>
  <si>
    <t>GL001474</t>
  </si>
  <si>
    <t>AutoPost 1474</t>
  </si>
  <si>
    <t>GL001475</t>
  </si>
  <si>
    <t>AutoPost 1475</t>
  </si>
  <si>
    <t>GL001476</t>
  </si>
  <si>
    <t>AutoPost 1476</t>
  </si>
  <si>
    <t>GL001477</t>
  </si>
  <si>
    <t>AutoPost 1477</t>
  </si>
  <si>
    <t>GL001478</t>
  </si>
  <si>
    <t>AutoPost 1478</t>
  </si>
  <si>
    <t>GL001479</t>
  </si>
  <si>
    <t>AutoPost 1479</t>
  </si>
  <si>
    <t>GL001480</t>
  </si>
  <si>
    <t>AutoPost 1480</t>
  </si>
  <si>
    <t>GL001481</t>
  </si>
  <si>
    <t>AutoPost 1481</t>
  </si>
  <si>
    <t>GL001482</t>
  </si>
  <si>
    <t>AutoPost 1482</t>
  </si>
  <si>
    <t>GL001483</t>
  </si>
  <si>
    <t>AutoPost 1483</t>
  </si>
  <si>
    <t>GL001484</t>
  </si>
  <si>
    <t>AutoPost 1484</t>
  </si>
  <si>
    <t>GL001485</t>
  </si>
  <si>
    <t>AutoPost 1485</t>
  </si>
  <si>
    <t>GL001486</t>
  </si>
  <si>
    <t>AutoPost 1486</t>
  </si>
  <si>
    <t>GL001487</t>
  </si>
  <si>
    <t>AutoPost 1487</t>
  </si>
  <si>
    <t>GL001488</t>
  </si>
  <si>
    <t>AutoPost 1488</t>
  </si>
  <si>
    <t>GL001489</t>
  </si>
  <si>
    <t>AutoPost 1489</t>
  </si>
  <si>
    <t>GL001490</t>
  </si>
  <si>
    <t>AutoPost 1490</t>
  </si>
  <si>
    <t>GL001491</t>
  </si>
  <si>
    <t>AutoPost 1491</t>
  </si>
  <si>
    <t>GL001492</t>
  </si>
  <si>
    <t>AutoPost 1492</t>
  </si>
  <si>
    <t>GL001493</t>
  </si>
  <si>
    <t>AutoPost 1493</t>
  </si>
  <si>
    <t>GL001494</t>
  </si>
  <si>
    <t>AutoPost 1494</t>
  </si>
  <si>
    <t>GL001495</t>
  </si>
  <si>
    <t>AutoPost 1495</t>
  </si>
  <si>
    <t>GL001496</t>
  </si>
  <si>
    <t>AutoPost 1496</t>
  </si>
  <si>
    <t>GL001497</t>
  </si>
  <si>
    <t>AutoPost 1497</t>
  </si>
  <si>
    <t>GL001498</t>
  </si>
  <si>
    <t>AutoPost 1498</t>
  </si>
  <si>
    <t>GL001499</t>
  </si>
  <si>
    <t>AutoPost 1499</t>
  </si>
  <si>
    <t>GL001500</t>
  </si>
  <si>
    <t>AutoPost 1500</t>
  </si>
  <si>
    <t>GL001501</t>
  </si>
  <si>
    <t>AutoPost 1501</t>
  </si>
  <si>
    <t>GL001502</t>
  </si>
  <si>
    <t>AutoPost 1502</t>
  </si>
  <si>
    <t>GL001503</t>
  </si>
  <si>
    <t>AutoPost 1503</t>
  </si>
  <si>
    <t>GL001504</t>
  </si>
  <si>
    <t>AutoPost 1504</t>
  </si>
  <si>
    <t>GL001505</t>
  </si>
  <si>
    <t>AutoPost 1505</t>
  </si>
  <si>
    <t>GL001506</t>
  </si>
  <si>
    <t>AutoPost 1506</t>
  </si>
  <si>
    <t>GL001507</t>
  </si>
  <si>
    <t>AutoPost 1507</t>
  </si>
  <si>
    <t>GL001508</t>
  </si>
  <si>
    <t>AutoPost 1508</t>
  </si>
  <si>
    <t>GL001509</t>
  </si>
  <si>
    <t>AutoPost 1509</t>
  </si>
  <si>
    <t>GL001510</t>
  </si>
  <si>
    <t>AutoPost 1510</t>
  </si>
  <si>
    <t>GL001511</t>
  </si>
  <si>
    <t>AutoPost 1511</t>
  </si>
  <si>
    <t>GL001512</t>
  </si>
  <si>
    <t>AutoPost 1512</t>
  </si>
  <si>
    <t>GL001513</t>
  </si>
  <si>
    <t>AutoPost 1513</t>
  </si>
  <si>
    <t>GL001514</t>
  </si>
  <si>
    <t>AutoPost 1514</t>
  </si>
  <si>
    <t>GL001515</t>
  </si>
  <si>
    <t>AutoPost 1515</t>
  </si>
  <si>
    <t>GL001516</t>
  </si>
  <si>
    <t>AutoPost 1516</t>
  </si>
  <si>
    <t>GL001517</t>
  </si>
  <si>
    <t>AutoPost 1517</t>
  </si>
  <si>
    <t>GL001518</t>
  </si>
  <si>
    <t>AutoPost 1518</t>
  </si>
  <si>
    <t>GL001519</t>
  </si>
  <si>
    <t>AutoPost 1519</t>
  </si>
  <si>
    <t>GL001520</t>
  </si>
  <si>
    <t>AutoPost 1520</t>
  </si>
  <si>
    <t>GL001521</t>
  </si>
  <si>
    <t>AutoPost 1521</t>
  </si>
  <si>
    <t>GL001522</t>
  </si>
  <si>
    <t>AutoPost 1522</t>
  </si>
  <si>
    <t>GL001523</t>
  </si>
  <si>
    <t>AutoPost 1523</t>
  </si>
  <si>
    <t>GL001524</t>
  </si>
  <si>
    <t>AutoPost 1524</t>
  </si>
  <si>
    <t>GL001525</t>
  </si>
  <si>
    <t>AutoPost 1525</t>
  </si>
  <si>
    <t>GL001526</t>
  </si>
  <si>
    <t>AutoPost 1526</t>
  </si>
  <si>
    <t>GL001527</t>
  </si>
  <si>
    <t>AutoPost 1527</t>
  </si>
  <si>
    <t>GL001528</t>
  </si>
  <si>
    <t>AutoPost 1528</t>
  </si>
  <si>
    <t>GL001529</t>
  </si>
  <si>
    <t>AutoPost 1529</t>
  </si>
  <si>
    <t>GL001530</t>
  </si>
  <si>
    <t>AutoPost 1530</t>
  </si>
  <si>
    <t>GL001531</t>
  </si>
  <si>
    <t>AutoPost 1531</t>
  </si>
  <si>
    <t>GL001532</t>
  </si>
  <si>
    <t>AutoPost 1532</t>
  </si>
  <si>
    <t>GL001533</t>
  </si>
  <si>
    <t>AutoPost 1533</t>
  </si>
  <si>
    <t>GL001534</t>
  </si>
  <si>
    <t>AutoPost 1534</t>
  </si>
  <si>
    <t>GL001535</t>
  </si>
  <si>
    <t>AutoPost 1535</t>
  </si>
  <si>
    <t>GL001536</t>
  </si>
  <si>
    <t>AutoPost 1536</t>
  </si>
  <si>
    <t>GL001537</t>
  </si>
  <si>
    <t>AutoPost 1537</t>
  </si>
  <si>
    <t>GL001538</t>
  </si>
  <si>
    <t>AutoPost 1538</t>
  </si>
  <si>
    <t>GL001539</t>
  </si>
  <si>
    <t>AutoPost 1539</t>
  </si>
  <si>
    <t>GL001540</t>
  </si>
  <si>
    <t>AutoPost 1540</t>
  </si>
  <si>
    <t>GL001541</t>
  </si>
  <si>
    <t>AutoPost 1541</t>
  </si>
  <si>
    <t>GL001542</t>
  </si>
  <si>
    <t>AutoPost 1542</t>
  </si>
  <si>
    <t>GL001543</t>
  </si>
  <si>
    <t>AutoPost 1543</t>
  </si>
  <si>
    <t>GL001544</t>
  </si>
  <si>
    <t>AutoPost 1544</t>
  </si>
  <si>
    <t>GL001545</t>
  </si>
  <si>
    <t>AutoPost 1545</t>
  </si>
  <si>
    <t>GL001546</t>
  </si>
  <si>
    <t>AutoPost 1546</t>
  </si>
  <si>
    <t>GL001547</t>
  </si>
  <si>
    <t>AutoPost 1547</t>
  </si>
  <si>
    <t>GL001548</t>
  </si>
  <si>
    <t>AutoPost 1548</t>
  </si>
  <si>
    <t>GL001549</t>
  </si>
  <si>
    <t>AutoPost 1549</t>
  </si>
  <si>
    <t>GL001550</t>
  </si>
  <si>
    <t>AutoPost 1550</t>
  </si>
  <si>
    <t>GL001551</t>
  </si>
  <si>
    <t>AutoPost 1551</t>
  </si>
  <si>
    <t>GL001552</t>
  </si>
  <si>
    <t>AutoPost 1552</t>
  </si>
  <si>
    <t>GL001553</t>
  </si>
  <si>
    <t>AutoPost 1553</t>
  </si>
  <si>
    <t>GL001554</t>
  </si>
  <si>
    <t>AutoPost 1554</t>
  </si>
  <si>
    <t>GL001555</t>
  </si>
  <si>
    <t>AutoPost 1555</t>
  </si>
  <si>
    <t>GL001556</t>
  </si>
  <si>
    <t>AutoPost 1556</t>
  </si>
  <si>
    <t>GL001557</t>
  </si>
  <si>
    <t>AutoPost 1557</t>
  </si>
  <si>
    <t>GL001558</t>
  </si>
  <si>
    <t>AutoPost 1558</t>
  </si>
  <si>
    <t>GL001559</t>
  </si>
  <si>
    <t>AutoPost 1559</t>
  </si>
  <si>
    <t>GL001560</t>
  </si>
  <si>
    <t>AutoPost 1560</t>
  </si>
  <si>
    <t>GL001561</t>
  </si>
  <si>
    <t>AutoPost 1561</t>
  </si>
  <si>
    <t>GL001562</t>
  </si>
  <si>
    <t>AutoPost 1562</t>
  </si>
  <si>
    <t>GL001563</t>
  </si>
  <si>
    <t>AutoPost 1563</t>
  </si>
  <si>
    <t>GL001564</t>
  </si>
  <si>
    <t>AutoPost 1564</t>
  </si>
  <si>
    <t>GL001565</t>
  </si>
  <si>
    <t>AutoPost 1565</t>
  </si>
  <si>
    <t>GL001566</t>
  </si>
  <si>
    <t>AutoPost 1566</t>
  </si>
  <si>
    <t>GL001567</t>
  </si>
  <si>
    <t>AutoPost 1567</t>
  </si>
  <si>
    <t>GL001568</t>
  </si>
  <si>
    <t>AutoPost 1568</t>
  </si>
  <si>
    <t>GL001569</t>
  </si>
  <si>
    <t>AutoPost 1569</t>
  </si>
  <si>
    <t>GL001570</t>
  </si>
  <si>
    <t>AutoPost 1570</t>
  </si>
  <si>
    <t>GL001571</t>
  </si>
  <si>
    <t>AutoPost 1571</t>
  </si>
  <si>
    <t>GL001572</t>
  </si>
  <si>
    <t>AutoPost 1572</t>
  </si>
  <si>
    <t>GL001573</t>
  </si>
  <si>
    <t>AutoPost 1573</t>
  </si>
  <si>
    <t>GL001574</t>
  </si>
  <si>
    <t>AutoPost 1574</t>
  </si>
  <si>
    <t>GL001575</t>
  </si>
  <si>
    <t>AutoPost 1575</t>
  </si>
  <si>
    <t>GL001576</t>
  </si>
  <si>
    <t>AutoPost 1576</t>
  </si>
  <si>
    <t>GL001577</t>
  </si>
  <si>
    <t>AutoPost 1577</t>
  </si>
  <si>
    <t>GL001578</t>
  </si>
  <si>
    <t>AutoPost 1578</t>
  </si>
  <si>
    <t>GL001579</t>
  </si>
  <si>
    <t>AutoPost 1579</t>
  </si>
  <si>
    <t>GL001580</t>
  </si>
  <si>
    <t>AutoPost 1580</t>
  </si>
  <si>
    <t>GL001581</t>
  </si>
  <si>
    <t>AutoPost 1581</t>
  </si>
  <si>
    <t>GL001582</t>
  </si>
  <si>
    <t>AutoPost 1582</t>
  </si>
  <si>
    <t>GL001583</t>
  </si>
  <si>
    <t>AutoPost 1583</t>
  </si>
  <si>
    <t>GL001584</t>
  </si>
  <si>
    <t>AutoPost 1584</t>
  </si>
  <si>
    <t>GL001585</t>
  </si>
  <si>
    <t>AutoPost 1585</t>
  </si>
  <si>
    <t>GL001586</t>
  </si>
  <si>
    <t>AutoPost 1586</t>
  </si>
  <si>
    <t>GL001587</t>
  </si>
  <si>
    <t>AutoPost 1587</t>
  </si>
  <si>
    <t>GL001588</t>
  </si>
  <si>
    <t>AutoPost 1588</t>
  </si>
  <si>
    <t>GL001589</t>
  </si>
  <si>
    <t>AutoPost 1589</t>
  </si>
  <si>
    <t>GL001590</t>
  </si>
  <si>
    <t>AutoPost 1590</t>
  </si>
  <si>
    <t>GL001591</t>
  </si>
  <si>
    <t>AutoPost 1591</t>
  </si>
  <si>
    <t>GL001592</t>
  </si>
  <si>
    <t>AutoPost 1592</t>
  </si>
  <si>
    <t>GL001593</t>
  </si>
  <si>
    <t>AutoPost 1593</t>
  </si>
  <si>
    <t>GL001594</t>
  </si>
  <si>
    <t>AutoPost 1594</t>
  </si>
  <si>
    <t>GL001595</t>
  </si>
  <si>
    <t>AutoPost 1595</t>
  </si>
  <si>
    <t>GL001596</t>
  </si>
  <si>
    <t>AutoPost 1596</t>
  </si>
  <si>
    <t>GL001597</t>
  </si>
  <si>
    <t>AutoPost 1597</t>
  </si>
  <si>
    <t>GL001598</t>
  </si>
  <si>
    <t>AutoPost 1598</t>
  </si>
  <si>
    <t>GL001599</t>
  </si>
  <si>
    <t>AutoPost 1599</t>
  </si>
  <si>
    <t>GL001600</t>
  </si>
  <si>
    <t>AutoPost 1600</t>
  </si>
  <si>
    <t>GL001601</t>
  </si>
  <si>
    <t>AutoPost 1601</t>
  </si>
  <si>
    <t>GL001602</t>
  </si>
  <si>
    <t>AutoPost 1602</t>
  </si>
  <si>
    <t>GL001603</t>
  </si>
  <si>
    <t>AutoPost 1603</t>
  </si>
  <si>
    <t>GL001604</t>
  </si>
  <si>
    <t>AutoPost 1604</t>
  </si>
  <si>
    <t>GL001605</t>
  </si>
  <si>
    <t>AutoPost 1605</t>
  </si>
  <si>
    <t>GL001606</t>
  </si>
  <si>
    <t>AutoPost 1606</t>
  </si>
  <si>
    <t>GL001607</t>
  </si>
  <si>
    <t>AutoPost 1607</t>
  </si>
  <si>
    <t>GL001608</t>
  </si>
  <si>
    <t>AutoPost 1608</t>
  </si>
  <si>
    <t>GL001609</t>
  </si>
  <si>
    <t>AutoPost 1609</t>
  </si>
  <si>
    <t>GL001610</t>
  </si>
  <si>
    <t>AutoPost 1610</t>
  </si>
  <si>
    <t>GL001611</t>
  </si>
  <si>
    <t>AutoPost 1611</t>
  </si>
  <si>
    <t>GL001612</t>
  </si>
  <si>
    <t>AutoPost 1612</t>
  </si>
  <si>
    <t>GL001613</t>
  </si>
  <si>
    <t>AutoPost 1613</t>
  </si>
  <si>
    <t>GL001614</t>
  </si>
  <si>
    <t>AutoPost 1614</t>
  </si>
  <si>
    <t>GL001615</t>
  </si>
  <si>
    <t>AutoPost 1615</t>
  </si>
  <si>
    <t>GL001616</t>
  </si>
  <si>
    <t>AutoPost 1616</t>
  </si>
  <si>
    <t>GL001617</t>
  </si>
  <si>
    <t>AutoPost 1617</t>
  </si>
  <si>
    <t>GL001618</t>
  </si>
  <si>
    <t>AutoPost 1618</t>
  </si>
  <si>
    <t>GL001619</t>
  </si>
  <si>
    <t>AutoPost 1619</t>
  </si>
  <si>
    <t>GL001620</t>
  </si>
  <si>
    <t>AutoPost 1620</t>
  </si>
  <si>
    <t>GL001621</t>
  </si>
  <si>
    <t>AutoPost 1621</t>
  </si>
  <si>
    <t>GL001622</t>
  </si>
  <si>
    <t>AutoPost 1622</t>
  </si>
  <si>
    <t>GL001623</t>
  </si>
  <si>
    <t>AutoPost 1623</t>
  </si>
  <si>
    <t>GL001624</t>
  </si>
  <si>
    <t>AutoPost 1624</t>
  </si>
  <si>
    <t>GL001625</t>
  </si>
  <si>
    <t>AutoPost 1625</t>
  </si>
  <si>
    <t>GL001626</t>
  </si>
  <si>
    <t>AutoPost 1626</t>
  </si>
  <si>
    <t>GL001627</t>
  </si>
  <si>
    <t>AutoPost 1627</t>
  </si>
  <si>
    <t>GL001628</t>
  </si>
  <si>
    <t>AutoPost 1628</t>
  </si>
  <si>
    <t>GL001629</t>
  </si>
  <si>
    <t>AutoPost 1629</t>
  </si>
  <si>
    <t>GL001630</t>
  </si>
  <si>
    <t>AutoPost 1630</t>
  </si>
  <si>
    <t>GL001631</t>
  </si>
  <si>
    <t>AutoPost 1631</t>
  </si>
  <si>
    <t>GL001632</t>
  </si>
  <si>
    <t>AutoPost 1632</t>
  </si>
  <si>
    <t>GL001633</t>
  </si>
  <si>
    <t>AutoPost 1633</t>
  </si>
  <si>
    <t>GL001634</t>
  </si>
  <si>
    <t>AutoPost 1634</t>
  </si>
  <si>
    <t>GL001635</t>
  </si>
  <si>
    <t>AutoPost 1635</t>
  </si>
  <si>
    <t>GL001636</t>
  </si>
  <si>
    <t>AutoPost 1636</t>
  </si>
  <si>
    <t>GL001637</t>
  </si>
  <si>
    <t>AutoPost 1637</t>
  </si>
  <si>
    <t>GL001638</t>
  </si>
  <si>
    <t>AutoPost 1638</t>
  </si>
  <si>
    <t>GL001639</t>
  </si>
  <si>
    <t>AutoPost 1639</t>
  </si>
  <si>
    <t>GL001640</t>
  </si>
  <si>
    <t>AutoPost 1640</t>
  </si>
  <si>
    <t>GL001641</t>
  </si>
  <si>
    <t>AutoPost 1641</t>
  </si>
  <si>
    <t>GL001642</t>
  </si>
  <si>
    <t>AutoPost 1642</t>
  </si>
  <si>
    <t>GL001643</t>
  </si>
  <si>
    <t>AutoPost 1643</t>
  </si>
  <si>
    <t>GL001644</t>
  </si>
  <si>
    <t>AutoPost 1644</t>
  </si>
  <si>
    <t>GL001645</t>
  </si>
  <si>
    <t>AutoPost 1645</t>
  </si>
  <si>
    <t>GL001646</t>
  </si>
  <si>
    <t>AutoPost 1646</t>
  </si>
  <si>
    <t>GL001647</t>
  </si>
  <si>
    <t>AutoPost 1647</t>
  </si>
  <si>
    <t>GL001648</t>
  </si>
  <si>
    <t>AutoPost 1648</t>
  </si>
  <si>
    <t>GL001649</t>
  </si>
  <si>
    <t>AutoPost 1649</t>
  </si>
  <si>
    <t>GL001650</t>
  </si>
  <si>
    <t>AutoPost 1650</t>
  </si>
  <si>
    <t>GL001651</t>
  </si>
  <si>
    <t>AutoPost 1651</t>
  </si>
  <si>
    <t>GL001652</t>
  </si>
  <si>
    <t>AutoPost 1652</t>
  </si>
  <si>
    <t>GL001653</t>
  </si>
  <si>
    <t>AutoPost 1653</t>
  </si>
  <si>
    <t>GL001654</t>
  </si>
  <si>
    <t>AutoPost 1654</t>
  </si>
  <si>
    <t>GL001655</t>
  </si>
  <si>
    <t>AutoPost 1655</t>
  </si>
  <si>
    <t>GL001656</t>
  </si>
  <si>
    <t>AutoPost 1656</t>
  </si>
  <si>
    <t>GL001657</t>
  </si>
  <si>
    <t>AutoPost 1657</t>
  </si>
  <si>
    <t>GL001658</t>
  </si>
  <si>
    <t>AutoPost 1658</t>
  </si>
  <si>
    <t>GL001659</t>
  </si>
  <si>
    <t>AutoPost 1659</t>
  </si>
  <si>
    <t>GL001660</t>
  </si>
  <si>
    <t>AutoPost 1660</t>
  </si>
  <si>
    <t>GL001661</t>
  </si>
  <si>
    <t>AutoPost 1661</t>
  </si>
  <si>
    <t>GL001662</t>
  </si>
  <si>
    <t>AutoPost 1662</t>
  </si>
  <si>
    <t>GL001663</t>
  </si>
  <si>
    <t>AutoPost 1663</t>
  </si>
  <si>
    <t>GL001664</t>
  </si>
  <si>
    <t>AutoPost 1664</t>
  </si>
  <si>
    <t>GL001665</t>
  </si>
  <si>
    <t>AutoPost 1665</t>
  </si>
  <si>
    <t>GL001666</t>
  </si>
  <si>
    <t>AutoPost 1666</t>
  </si>
  <si>
    <t>GL001667</t>
  </si>
  <si>
    <t>AutoPost 1667</t>
  </si>
  <si>
    <t>GL001668</t>
  </si>
  <si>
    <t>AutoPost 1668</t>
  </si>
  <si>
    <t>GL001669</t>
  </si>
  <si>
    <t>AutoPost 1669</t>
  </si>
  <si>
    <t>GL001670</t>
  </si>
  <si>
    <t>AutoPost 1670</t>
  </si>
  <si>
    <t>GL001671</t>
  </si>
  <si>
    <t>AutoPost 1671</t>
  </si>
  <si>
    <t>GL001672</t>
  </si>
  <si>
    <t>AutoPost 1672</t>
  </si>
  <si>
    <t>GL001673</t>
  </si>
  <si>
    <t>AutoPost 1673</t>
  </si>
  <si>
    <t>GL001674</t>
  </si>
  <si>
    <t>AutoPost 1674</t>
  </si>
  <si>
    <t>GL001675</t>
  </si>
  <si>
    <t>AutoPost 1675</t>
  </si>
  <si>
    <t>GL001676</t>
  </si>
  <si>
    <t>AutoPost 1676</t>
  </si>
  <si>
    <t>GL001677</t>
  </si>
  <si>
    <t>AutoPost 1677</t>
  </si>
  <si>
    <t>GL001678</t>
  </si>
  <si>
    <t>AutoPost 1678</t>
  </si>
  <si>
    <t>GL001679</t>
  </si>
  <si>
    <t>AutoPost 1679</t>
  </si>
  <si>
    <t>GL001680</t>
  </si>
  <si>
    <t>AutoPost 1680</t>
  </si>
  <si>
    <t>GL001681</t>
  </si>
  <si>
    <t>AutoPost 1681</t>
  </si>
  <si>
    <t>GL001682</t>
  </si>
  <si>
    <t>AutoPost 1682</t>
  </si>
  <si>
    <t>GL001683</t>
  </si>
  <si>
    <t>AutoPost 1683</t>
  </si>
  <si>
    <t>GL001684</t>
  </si>
  <si>
    <t>AutoPost 1684</t>
  </si>
  <si>
    <t>GL001685</t>
  </si>
  <si>
    <t>AutoPost 1685</t>
  </si>
  <si>
    <t>GL001686</t>
  </si>
  <si>
    <t>AutoPost 1686</t>
  </si>
  <si>
    <t>GL001687</t>
  </si>
  <si>
    <t>AutoPost 1687</t>
  </si>
  <si>
    <t>GL001688</t>
  </si>
  <si>
    <t>AutoPost 1688</t>
  </si>
  <si>
    <t>GL001689</t>
  </si>
  <si>
    <t>AutoPost 1689</t>
  </si>
  <si>
    <t>GL001690</t>
  </si>
  <si>
    <t>AutoPost 1690</t>
  </si>
  <si>
    <t>GL001691</t>
  </si>
  <si>
    <t>AutoPost 1691</t>
  </si>
  <si>
    <t>GL001692</t>
  </si>
  <si>
    <t>AutoPost 1692</t>
  </si>
  <si>
    <t>GL001693</t>
  </si>
  <si>
    <t>AutoPost 1693</t>
  </si>
  <si>
    <t>GL001694</t>
  </si>
  <si>
    <t>AutoPost 1694</t>
  </si>
  <si>
    <t>GL001695</t>
  </si>
  <si>
    <t>AutoPost 1695</t>
  </si>
  <si>
    <t>GL001696</t>
  </si>
  <si>
    <t>AutoPost 1696</t>
  </si>
  <si>
    <t>GL001697</t>
  </si>
  <si>
    <t>AutoPost 1697</t>
  </si>
  <si>
    <t>GL001698</t>
  </si>
  <si>
    <t>AutoPost 1698</t>
  </si>
  <si>
    <t>GL001699</t>
  </si>
  <si>
    <t>AutoPost 1699</t>
  </si>
  <si>
    <t>GL001700</t>
  </si>
  <si>
    <t>AutoPost 1700</t>
  </si>
  <si>
    <t>GL001701</t>
  </si>
  <si>
    <t>AutoPost 1701</t>
  </si>
  <si>
    <t>GL001702</t>
  </si>
  <si>
    <t>AutoPost 1702</t>
  </si>
  <si>
    <t>GL001703</t>
  </si>
  <si>
    <t>AutoPost 1703</t>
  </si>
  <si>
    <t>GL001704</t>
  </si>
  <si>
    <t>AutoPost 1704</t>
  </si>
  <si>
    <t>GL001705</t>
  </si>
  <si>
    <t>AutoPost 1705</t>
  </si>
  <si>
    <t>GL001706</t>
  </si>
  <si>
    <t>AutoPost 1706</t>
  </si>
  <si>
    <t>GL001707</t>
  </si>
  <si>
    <t>AutoPost 1707</t>
  </si>
  <si>
    <t>GL001708</t>
  </si>
  <si>
    <t>AutoPost 1708</t>
  </si>
  <si>
    <t>GL001709</t>
  </si>
  <si>
    <t>AutoPost 1709</t>
  </si>
  <si>
    <t>GL001710</t>
  </si>
  <si>
    <t>AutoPost 1710</t>
  </si>
  <si>
    <t>GL001711</t>
  </si>
  <si>
    <t>AutoPost 1711</t>
  </si>
  <si>
    <t>GL001712</t>
  </si>
  <si>
    <t>AutoPost 1712</t>
  </si>
  <si>
    <t>GL001713</t>
  </si>
  <si>
    <t>AutoPost 1713</t>
  </si>
  <si>
    <t>GL001714</t>
  </si>
  <si>
    <t>AutoPost 1714</t>
  </si>
  <si>
    <t>GL001715</t>
  </si>
  <si>
    <t>AutoPost 1715</t>
  </si>
  <si>
    <t>GL001716</t>
  </si>
  <si>
    <t>AutoPost 1716</t>
  </si>
  <si>
    <t>GL001717</t>
  </si>
  <si>
    <t>AutoPost 1717</t>
  </si>
  <si>
    <t>GL001718</t>
  </si>
  <si>
    <t>AutoPost 1718</t>
  </si>
  <si>
    <t>GL001719</t>
  </si>
  <si>
    <t>AutoPost 1719</t>
  </si>
  <si>
    <t>GL001720</t>
  </si>
  <si>
    <t>AutoPost 1720</t>
  </si>
  <si>
    <t>GL001721</t>
  </si>
  <si>
    <t>AutoPost 1721</t>
  </si>
  <si>
    <t>GL001722</t>
  </si>
  <si>
    <t>AutoPost 1722</t>
  </si>
  <si>
    <t>GL001723</t>
  </si>
  <si>
    <t>AutoPost 1723</t>
  </si>
  <si>
    <t>GL001724</t>
  </si>
  <si>
    <t>AutoPost 1724</t>
  </si>
  <si>
    <t>GL001725</t>
  </si>
  <si>
    <t>AutoPost 1725</t>
  </si>
  <si>
    <t>GL001726</t>
  </si>
  <si>
    <t>AutoPost 1726</t>
  </si>
  <si>
    <t>GL001727</t>
  </si>
  <si>
    <t>AutoPost 1727</t>
  </si>
  <si>
    <t>GL001728</t>
  </si>
  <si>
    <t>AutoPost 1728</t>
  </si>
  <si>
    <t>GL001729</t>
  </si>
  <si>
    <t>AutoPost 1729</t>
  </si>
  <si>
    <t>GL001730</t>
  </si>
  <si>
    <t>AutoPost 1730</t>
  </si>
  <si>
    <t>GL001731</t>
  </si>
  <si>
    <t>AutoPost 1731</t>
  </si>
  <si>
    <t>GL001732</t>
  </si>
  <si>
    <t>AutoPost 1732</t>
  </si>
  <si>
    <t>GL001733</t>
  </si>
  <si>
    <t>AutoPost 1733</t>
  </si>
  <si>
    <t>GL001734</t>
  </si>
  <si>
    <t>AutoPost 1734</t>
  </si>
  <si>
    <t>GL001735</t>
  </si>
  <si>
    <t>AutoPost 1735</t>
  </si>
  <si>
    <t>GL001736</t>
  </si>
  <si>
    <t>AutoPost 1736</t>
  </si>
  <si>
    <t>GL001737</t>
  </si>
  <si>
    <t>AutoPost 1737</t>
  </si>
  <si>
    <t>GL001738</t>
  </si>
  <si>
    <t>AutoPost 1738</t>
  </si>
  <si>
    <t>GL001739</t>
  </si>
  <si>
    <t>AutoPost 1739</t>
  </si>
  <si>
    <t>GL001740</t>
  </si>
  <si>
    <t>AutoPost 1740</t>
  </si>
  <si>
    <t>GL001741</t>
  </si>
  <si>
    <t>AutoPost 1741</t>
  </si>
  <si>
    <t>GL001742</t>
  </si>
  <si>
    <t>AutoPost 1742</t>
  </si>
  <si>
    <t>GL001743</t>
  </si>
  <si>
    <t>AutoPost 1743</t>
  </si>
  <si>
    <t>GL001744</t>
  </si>
  <si>
    <t>AutoPost 1744</t>
  </si>
  <si>
    <t>GL001745</t>
  </si>
  <si>
    <t>AutoPost 1745</t>
  </si>
  <si>
    <t>GL001746</t>
  </si>
  <si>
    <t>AutoPost 1746</t>
  </si>
  <si>
    <t>GL001747</t>
  </si>
  <si>
    <t>AutoPost 1747</t>
  </si>
  <si>
    <t>GL001748</t>
  </si>
  <si>
    <t>AutoPost 1748</t>
  </si>
  <si>
    <t>GL001749</t>
  </si>
  <si>
    <t>AutoPost 1749</t>
  </si>
  <si>
    <t>GL001750</t>
  </si>
  <si>
    <t>AutoPost 1750</t>
  </si>
  <si>
    <t>GL001751</t>
  </si>
  <si>
    <t>AutoPost 1751</t>
  </si>
  <si>
    <t>GL001752</t>
  </si>
  <si>
    <t>AutoPost 1752</t>
  </si>
  <si>
    <t>GL001753</t>
  </si>
  <si>
    <t>AutoPost 1753</t>
  </si>
  <si>
    <t>GL001754</t>
  </si>
  <si>
    <t>AutoPost 1754</t>
  </si>
  <si>
    <t>GL001755</t>
  </si>
  <si>
    <t>AutoPost 1755</t>
  </si>
  <si>
    <t>GL001756</t>
  </si>
  <si>
    <t>AutoPost 1756</t>
  </si>
  <si>
    <t>GL001757</t>
  </si>
  <si>
    <t>AutoPost 1757</t>
  </si>
  <si>
    <t>GL001758</t>
  </si>
  <si>
    <t>AutoPost 1758</t>
  </si>
  <si>
    <t>GL001759</t>
  </si>
  <si>
    <t>AutoPost 1759</t>
  </si>
  <si>
    <t>GL001760</t>
  </si>
  <si>
    <t>AutoPost 1760</t>
  </si>
  <si>
    <t>GL001761</t>
  </si>
  <si>
    <t>AutoPost 1761</t>
  </si>
  <si>
    <t>GL001762</t>
  </si>
  <si>
    <t>AutoPost 1762</t>
  </si>
  <si>
    <t>GL001763</t>
  </si>
  <si>
    <t>AutoPost 1763</t>
  </si>
  <si>
    <t>GL001764</t>
  </si>
  <si>
    <t>AutoPost 1764</t>
  </si>
  <si>
    <t>GL001765</t>
  </si>
  <si>
    <t>AutoPost 1765</t>
  </si>
  <si>
    <t>GL001766</t>
  </si>
  <si>
    <t>AutoPost 1766</t>
  </si>
  <si>
    <t>GL001767</t>
  </si>
  <si>
    <t>AutoPost 1767</t>
  </si>
  <si>
    <t>GL001768</t>
  </si>
  <si>
    <t>AutoPost 1768</t>
  </si>
  <si>
    <t>GL001769</t>
  </si>
  <si>
    <t>AutoPost 1769</t>
  </si>
  <si>
    <t>GL001770</t>
  </si>
  <si>
    <t>AutoPost 1770</t>
  </si>
  <si>
    <t>GL001771</t>
  </si>
  <si>
    <t>AutoPost 1771</t>
  </si>
  <si>
    <t>GL001772</t>
  </si>
  <si>
    <t>AutoPost 1772</t>
  </si>
  <si>
    <t>GL001773</t>
  </si>
  <si>
    <t>AutoPost 1773</t>
  </si>
  <si>
    <t>GL001774</t>
  </si>
  <si>
    <t>AutoPost 1774</t>
  </si>
  <si>
    <t>GL001775</t>
  </si>
  <si>
    <t>AutoPost 1775</t>
  </si>
  <si>
    <t>GL001776</t>
  </si>
  <si>
    <t>AutoPost 1776</t>
  </si>
  <si>
    <t>GL001777</t>
  </si>
  <si>
    <t>AutoPost 1777</t>
  </si>
  <si>
    <t>GL001778</t>
  </si>
  <si>
    <t>AutoPost 1778</t>
  </si>
  <si>
    <t>GL001779</t>
  </si>
  <si>
    <t>AutoPost 1779</t>
  </si>
  <si>
    <t>GL001780</t>
  </si>
  <si>
    <t>AutoPost 1780</t>
  </si>
  <si>
    <t>GL001781</t>
  </si>
  <si>
    <t>AutoPost 1781</t>
  </si>
  <si>
    <t>GL001782</t>
  </si>
  <si>
    <t>AutoPost 1782</t>
  </si>
  <si>
    <t>GL001783</t>
  </si>
  <si>
    <t>AutoPost 1783</t>
  </si>
  <si>
    <t>GL001784</t>
  </si>
  <si>
    <t>AutoPost 1784</t>
  </si>
  <si>
    <t>GL001785</t>
  </si>
  <si>
    <t>AutoPost 1785</t>
  </si>
  <si>
    <t>GL001786</t>
  </si>
  <si>
    <t>AutoPost 1786</t>
  </si>
  <si>
    <t>GL001787</t>
  </si>
  <si>
    <t>AutoPost 1787</t>
  </si>
  <si>
    <t>GL001788</t>
  </si>
  <si>
    <t>AutoPost 1788</t>
  </si>
  <si>
    <t>GL001789</t>
  </si>
  <si>
    <t>AutoPost 1789</t>
  </si>
  <si>
    <t>GL001790</t>
  </si>
  <si>
    <t>AutoPost 1790</t>
  </si>
  <si>
    <t>GL001791</t>
  </si>
  <si>
    <t>AutoPost 1791</t>
  </si>
  <si>
    <t>GL001792</t>
  </si>
  <si>
    <t>AutoPost 1792</t>
  </si>
  <si>
    <t>GL001793</t>
  </si>
  <si>
    <t>AutoPost 1793</t>
  </si>
  <si>
    <t>GL001794</t>
  </si>
  <si>
    <t>AutoPost 1794</t>
  </si>
  <si>
    <t>GL001795</t>
  </si>
  <si>
    <t>AutoPost 1795</t>
  </si>
  <si>
    <t>GL001796</t>
  </si>
  <si>
    <t>AutoPost 1796</t>
  </si>
  <si>
    <t>GL001797</t>
  </si>
  <si>
    <t>AutoPost 1797</t>
  </si>
  <si>
    <t>GL001798</t>
  </si>
  <si>
    <t>AutoPost 1798</t>
  </si>
  <si>
    <t>GL001799</t>
  </si>
  <si>
    <t>AutoPost 1799</t>
  </si>
  <si>
    <t>GL001800</t>
  </si>
  <si>
    <t>AutoPost 1800</t>
  </si>
  <si>
    <t>GL001801</t>
  </si>
  <si>
    <t>AutoPost 1801</t>
  </si>
  <si>
    <t>GL001802</t>
  </si>
  <si>
    <t>AutoPost 1802</t>
  </si>
  <si>
    <t>GL001803</t>
  </si>
  <si>
    <t>AutoPost 1803</t>
  </si>
  <si>
    <t>GL001804</t>
  </si>
  <si>
    <t>AutoPost 1804</t>
  </si>
  <si>
    <t>GL001805</t>
  </si>
  <si>
    <t>AutoPost 1805</t>
  </si>
  <si>
    <t>GL001806</t>
  </si>
  <si>
    <t>AutoPost 1806</t>
  </si>
  <si>
    <t>GL001807</t>
  </si>
  <si>
    <t>AutoPost 1807</t>
  </si>
  <si>
    <t>GL001808</t>
  </si>
  <si>
    <t>AutoPost 1808</t>
  </si>
  <si>
    <t>GL001809</t>
  </si>
  <si>
    <t>AutoPost 1809</t>
  </si>
  <si>
    <t>GL001810</t>
  </si>
  <si>
    <t>AutoPost 1810</t>
  </si>
  <si>
    <t>GL001811</t>
  </si>
  <si>
    <t>AutoPost 1811</t>
  </si>
  <si>
    <t>GL001812</t>
  </si>
  <si>
    <t>AutoPost 1812</t>
  </si>
  <si>
    <t>GL001813</t>
  </si>
  <si>
    <t>AutoPost 1813</t>
  </si>
  <si>
    <t>GL001814</t>
  </si>
  <si>
    <t>AutoPost 1814</t>
  </si>
  <si>
    <t>GL001815</t>
  </si>
  <si>
    <t>AutoPost 1815</t>
  </si>
  <si>
    <t>GL001816</t>
  </si>
  <si>
    <t>AutoPost 1816</t>
  </si>
  <si>
    <t>GL001817</t>
  </si>
  <si>
    <t>AutoPost 1817</t>
  </si>
  <si>
    <t>GL001818</t>
  </si>
  <si>
    <t>AutoPost 1818</t>
  </si>
  <si>
    <t>GL001819</t>
  </si>
  <si>
    <t>AutoPost 1819</t>
  </si>
  <si>
    <t>GL001820</t>
  </si>
  <si>
    <t>AutoPost 1820</t>
  </si>
  <si>
    <t>GL001821</t>
  </si>
  <si>
    <t>AutoPost 1821</t>
  </si>
  <si>
    <t>GL001822</t>
  </si>
  <si>
    <t>AutoPost 1822</t>
  </si>
  <si>
    <t>GL001823</t>
  </si>
  <si>
    <t>AutoPost 1823</t>
  </si>
  <si>
    <t>GL001824</t>
  </si>
  <si>
    <t>AutoPost 1824</t>
  </si>
  <si>
    <t>GL001825</t>
  </si>
  <si>
    <t>AutoPost 1825</t>
  </si>
  <si>
    <t>GL001826</t>
  </si>
  <si>
    <t>AutoPost 1826</t>
  </si>
  <si>
    <t>GL001827</t>
  </si>
  <si>
    <t>AutoPost 1827</t>
  </si>
  <si>
    <t>GL001828</t>
  </si>
  <si>
    <t>AutoPost 1828</t>
  </si>
  <si>
    <t>GL001829</t>
  </si>
  <si>
    <t>AutoPost 1829</t>
  </si>
  <si>
    <t>GL001830</t>
  </si>
  <si>
    <t>AutoPost 1830</t>
  </si>
  <si>
    <t>GL001831</t>
  </si>
  <si>
    <t>AutoPost 1831</t>
  </si>
  <si>
    <t>GL001832</t>
  </si>
  <si>
    <t>AutoPost 1832</t>
  </si>
  <si>
    <t>GL001833</t>
  </si>
  <si>
    <t>AutoPost 1833</t>
  </si>
  <si>
    <t>GL001834</t>
  </si>
  <si>
    <t>AutoPost 1834</t>
  </si>
  <si>
    <t>GL001835</t>
  </si>
  <si>
    <t>AutoPost 1835</t>
  </si>
  <si>
    <t>GL001836</t>
  </si>
  <si>
    <t>AutoPost 1836</t>
  </si>
  <si>
    <t>GL001837</t>
  </si>
  <si>
    <t>AutoPost 1837</t>
  </si>
  <si>
    <t>GL001838</t>
  </si>
  <si>
    <t>AutoPost 1838</t>
  </si>
  <si>
    <t>GL001839</t>
  </si>
  <si>
    <t>AutoPost 1839</t>
  </si>
  <si>
    <t>GL001840</t>
  </si>
  <si>
    <t>AutoPost 1840</t>
  </si>
  <si>
    <t>GL001841</t>
  </si>
  <si>
    <t>AutoPost 1841</t>
  </si>
  <si>
    <t>GL001842</t>
  </si>
  <si>
    <t>AutoPost 1842</t>
  </si>
  <si>
    <t>GL001843</t>
  </si>
  <si>
    <t>AutoPost 1843</t>
  </si>
  <si>
    <t>GL001844</t>
  </si>
  <si>
    <t>AutoPost 1844</t>
  </si>
  <si>
    <t>GL001845</t>
  </si>
  <si>
    <t>AutoPost 1845</t>
  </si>
  <si>
    <t>GL001846</t>
  </si>
  <si>
    <t>AutoPost 1846</t>
  </si>
  <si>
    <t>GL001847</t>
  </si>
  <si>
    <t>AutoPost 1847</t>
  </si>
  <si>
    <t>GL001848</t>
  </si>
  <si>
    <t>AutoPost 1848</t>
  </si>
  <si>
    <t>GL001849</t>
  </si>
  <si>
    <t>AutoPost 1849</t>
  </si>
  <si>
    <t>GL001850</t>
  </si>
  <si>
    <t>AutoPost 1850</t>
  </si>
  <si>
    <t>GL001851</t>
  </si>
  <si>
    <t>AutoPost 1851</t>
  </si>
  <si>
    <t>GL001852</t>
  </si>
  <si>
    <t>AutoPost 1852</t>
  </si>
  <si>
    <t>GL001853</t>
  </si>
  <si>
    <t>AutoPost 1853</t>
  </si>
  <si>
    <t>GL001854</t>
  </si>
  <si>
    <t>AutoPost 1854</t>
  </si>
  <si>
    <t>GL001855</t>
  </si>
  <si>
    <t>AutoPost 1855</t>
  </si>
  <si>
    <t>GL001856</t>
  </si>
  <si>
    <t>AutoPost 1856</t>
  </si>
  <si>
    <t>GL001857</t>
  </si>
  <si>
    <t>AutoPost 1857</t>
  </si>
  <si>
    <t>GL001858</t>
  </si>
  <si>
    <t>AutoPost 1858</t>
  </si>
  <si>
    <t>GL001859</t>
  </si>
  <si>
    <t>AutoPost 1859</t>
  </si>
  <si>
    <t>GL001860</t>
  </si>
  <si>
    <t>AutoPost 1860</t>
  </si>
  <si>
    <t>GL001861</t>
  </si>
  <si>
    <t>AutoPost 1861</t>
  </si>
  <si>
    <t>GL001862</t>
  </si>
  <si>
    <t>AutoPost 1862</t>
  </si>
  <si>
    <t>GL001863</t>
  </si>
  <si>
    <t>AutoPost 1863</t>
  </si>
  <si>
    <t>GL001864</t>
  </si>
  <si>
    <t>AutoPost 1864</t>
  </si>
  <si>
    <t>GL001865</t>
  </si>
  <si>
    <t>AutoPost 1865</t>
  </si>
  <si>
    <t>GL001866</t>
  </si>
  <si>
    <t>AutoPost 1866</t>
  </si>
  <si>
    <t>GL001867</t>
  </si>
  <si>
    <t>AutoPost 1867</t>
  </si>
  <si>
    <t>GL001868</t>
  </si>
  <si>
    <t>AutoPost 1868</t>
  </si>
  <si>
    <t>GL001869</t>
  </si>
  <si>
    <t>AutoPost 1869</t>
  </si>
  <si>
    <t>GL001870</t>
  </si>
  <si>
    <t>AutoPost 1870</t>
  </si>
  <si>
    <t>GL001871</t>
  </si>
  <si>
    <t>AutoPost 1871</t>
  </si>
  <si>
    <t>GL001872</t>
  </si>
  <si>
    <t>AutoPost 1872</t>
  </si>
  <si>
    <t>GL001873</t>
  </si>
  <si>
    <t>AutoPost 1873</t>
  </si>
  <si>
    <t>GL001874</t>
  </si>
  <si>
    <t>AutoPost 1874</t>
  </si>
  <si>
    <t>GL001875</t>
  </si>
  <si>
    <t>AutoPost 1875</t>
  </si>
  <si>
    <t>GL001876</t>
  </si>
  <si>
    <t>AutoPost 1876</t>
  </si>
  <si>
    <t>GL001877</t>
  </si>
  <si>
    <t>AutoPost 1877</t>
  </si>
  <si>
    <t>GL001878</t>
  </si>
  <si>
    <t>AutoPost 1878</t>
  </si>
  <si>
    <t>GL001879</t>
  </si>
  <si>
    <t>AutoPost 1879</t>
  </si>
  <si>
    <t>GL001880</t>
  </si>
  <si>
    <t>AutoPost 1880</t>
  </si>
  <si>
    <t>GL001881</t>
  </si>
  <si>
    <t>AutoPost 1881</t>
  </si>
  <si>
    <t>GL001882</t>
  </si>
  <si>
    <t>AutoPost 1882</t>
  </si>
  <si>
    <t>GL001883</t>
  </si>
  <si>
    <t>AutoPost 1883</t>
  </si>
  <si>
    <t>GL001884</t>
  </si>
  <si>
    <t>AutoPost 1884</t>
  </si>
  <si>
    <t>GL001885</t>
  </si>
  <si>
    <t>AutoPost 1885</t>
  </si>
  <si>
    <t>GL001886</t>
  </si>
  <si>
    <t>AutoPost 1886</t>
  </si>
  <si>
    <t>GL001887</t>
  </si>
  <si>
    <t>AutoPost 1887</t>
  </si>
  <si>
    <t>GL001888</t>
  </si>
  <si>
    <t>AutoPost 1888</t>
  </si>
  <si>
    <t>GL001889</t>
  </si>
  <si>
    <t>AutoPost 1889</t>
  </si>
  <si>
    <t>GL001890</t>
  </si>
  <si>
    <t>AutoPost 1890</t>
  </si>
  <si>
    <t>GL001891</t>
  </si>
  <si>
    <t>AutoPost 1891</t>
  </si>
  <si>
    <t>GL001892</t>
  </si>
  <si>
    <t>AutoPost 1892</t>
  </si>
  <si>
    <t>GL001893</t>
  </si>
  <si>
    <t>AutoPost 1893</t>
  </si>
  <si>
    <t>GL001894</t>
  </si>
  <si>
    <t>AutoPost 1894</t>
  </si>
  <si>
    <t>GL001895</t>
  </si>
  <si>
    <t>AutoPost 1895</t>
  </si>
  <si>
    <t>GL001896</t>
  </si>
  <si>
    <t>AutoPost 1896</t>
  </si>
  <si>
    <t>GL001897</t>
  </si>
  <si>
    <t>AutoPost 1897</t>
  </si>
  <si>
    <t>GL001898</t>
  </si>
  <si>
    <t>AutoPost 1898</t>
  </si>
  <si>
    <t>GL001899</t>
  </si>
  <si>
    <t>AutoPost 1899</t>
  </si>
  <si>
    <t>GL001900</t>
  </si>
  <si>
    <t>AutoPost 1900</t>
  </si>
  <si>
    <t>GL001901</t>
  </si>
  <si>
    <t>AutoPost 1901</t>
  </si>
  <si>
    <t>GL001902</t>
  </si>
  <si>
    <t>AutoPost 1902</t>
  </si>
  <si>
    <t>GL001903</t>
  </si>
  <si>
    <t>AutoPost 1903</t>
  </si>
  <si>
    <t>GL001904</t>
  </si>
  <si>
    <t>AutoPost 1904</t>
  </si>
  <si>
    <t>GL001905</t>
  </si>
  <si>
    <t>AutoPost 1905</t>
  </si>
  <si>
    <t>GL001906</t>
  </si>
  <si>
    <t>AutoPost 1906</t>
  </si>
  <si>
    <t>GL001907</t>
  </si>
  <si>
    <t>AutoPost 1907</t>
  </si>
  <si>
    <t>GL001908</t>
  </si>
  <si>
    <t>AutoPost 1908</t>
  </si>
  <si>
    <t>GL001909</t>
  </si>
  <si>
    <t>AutoPost 1909</t>
  </si>
  <si>
    <t>GL001910</t>
  </si>
  <si>
    <t>AutoPost 1910</t>
  </si>
  <si>
    <t>GL001911</t>
  </si>
  <si>
    <t>AutoPost 1911</t>
  </si>
  <si>
    <t>GL001912</t>
  </si>
  <si>
    <t>AutoPost 1912</t>
  </si>
  <si>
    <t>GL001913</t>
  </si>
  <si>
    <t>AutoPost 1913</t>
  </si>
  <si>
    <t>GL001914</t>
  </si>
  <si>
    <t>AutoPost 1914</t>
  </si>
  <si>
    <t>GL001915</t>
  </si>
  <si>
    <t>AutoPost 1915</t>
  </si>
  <si>
    <t>GL001916</t>
  </si>
  <si>
    <t>AutoPost 1916</t>
  </si>
  <si>
    <t>GL001917</t>
  </si>
  <si>
    <t>AutoPost 1917</t>
  </si>
  <si>
    <t>GL001918</t>
  </si>
  <si>
    <t>AutoPost 1918</t>
  </si>
  <si>
    <t>GL001919</t>
  </si>
  <si>
    <t>AutoPost 1919</t>
  </si>
  <si>
    <t>GL001920</t>
  </si>
  <si>
    <t>AutoPost 1920</t>
  </si>
  <si>
    <t>GL001921</t>
  </si>
  <si>
    <t>AutoPost 1921</t>
  </si>
  <si>
    <t>GL001922</t>
  </si>
  <si>
    <t>AutoPost 1922</t>
  </si>
  <si>
    <t>GL001923</t>
  </si>
  <si>
    <t>AutoPost 1923</t>
  </si>
  <si>
    <t>GL001924</t>
  </si>
  <si>
    <t>AutoPost 1924</t>
  </si>
  <si>
    <t>GL001925</t>
  </si>
  <si>
    <t>AutoPost 1925</t>
  </si>
  <si>
    <t>GL001926</t>
  </si>
  <si>
    <t>AutoPost 1926</t>
  </si>
  <si>
    <t>GL001927</t>
  </si>
  <si>
    <t>AutoPost 1927</t>
  </si>
  <si>
    <t>GL001928</t>
  </si>
  <si>
    <t>AutoPost 1928</t>
  </si>
  <si>
    <t>GL001929</t>
  </si>
  <si>
    <t>AutoPost 1929</t>
  </si>
  <si>
    <t>GL001930</t>
  </si>
  <si>
    <t>AutoPost 1930</t>
  </si>
  <si>
    <t>GL001931</t>
  </si>
  <si>
    <t>AutoPost 1931</t>
  </si>
  <si>
    <t>GL001932</t>
  </si>
  <si>
    <t>AutoPost 1932</t>
  </si>
  <si>
    <t>GL001933</t>
  </si>
  <si>
    <t>AutoPost 1933</t>
  </si>
  <si>
    <t>GL001934</t>
  </si>
  <si>
    <t>AutoPost 1934</t>
  </si>
  <si>
    <t>GL001935</t>
  </si>
  <si>
    <t>AutoPost 1935</t>
  </si>
  <si>
    <t>GL001936</t>
  </si>
  <si>
    <t>AutoPost 1936</t>
  </si>
  <si>
    <t>GL001937</t>
  </si>
  <si>
    <t>AutoPost 1937</t>
  </si>
  <si>
    <t>GL001938</t>
  </si>
  <si>
    <t>AutoPost 1938</t>
  </si>
  <si>
    <t>GL001939</t>
  </si>
  <si>
    <t>AutoPost 1939</t>
  </si>
  <si>
    <t>GL001940</t>
  </si>
  <si>
    <t>AutoPost 1940</t>
  </si>
  <si>
    <t>GL001941</t>
  </si>
  <si>
    <t>AutoPost 1941</t>
  </si>
  <si>
    <t>GL001942</t>
  </si>
  <si>
    <t>AutoPost 1942</t>
  </si>
  <si>
    <t>GL001943</t>
  </si>
  <si>
    <t>AutoPost 1943</t>
  </si>
  <si>
    <t>GL001944</t>
  </si>
  <si>
    <t>AutoPost 1944</t>
  </si>
  <si>
    <t>GL001945</t>
  </si>
  <si>
    <t>AutoPost 1945</t>
  </si>
  <si>
    <t>GL001946</t>
  </si>
  <si>
    <t>AutoPost 1946</t>
  </si>
  <si>
    <t>GL001947</t>
  </si>
  <si>
    <t>AutoPost 1947</t>
  </si>
  <si>
    <t>GL001948</t>
  </si>
  <si>
    <t>AutoPost 1948</t>
  </si>
  <si>
    <t>GL001949</t>
  </si>
  <si>
    <t>AutoPost 1949</t>
  </si>
  <si>
    <t>GL001950</t>
  </si>
  <si>
    <t>AutoPost 1950</t>
  </si>
  <si>
    <t>GL001951</t>
  </si>
  <si>
    <t>AutoPost 1951</t>
  </si>
  <si>
    <t>GL001952</t>
  </si>
  <si>
    <t>AutoPost 1952</t>
  </si>
  <si>
    <t>GL001953</t>
  </si>
  <si>
    <t>AutoPost 1953</t>
  </si>
  <si>
    <t>GL001954</t>
  </si>
  <si>
    <t>AutoPost 1954</t>
  </si>
  <si>
    <t>GL001955</t>
  </si>
  <si>
    <t>AutoPost 1955</t>
  </si>
  <si>
    <t>GL001956</t>
  </si>
  <si>
    <t>AutoPost 1956</t>
  </si>
  <si>
    <t>GL001957</t>
  </si>
  <si>
    <t>AutoPost 1957</t>
  </si>
  <si>
    <t>GL001958</t>
  </si>
  <si>
    <t>AutoPost 1958</t>
  </si>
  <si>
    <t>GL001959</t>
  </si>
  <si>
    <t>AutoPost 1959</t>
  </si>
  <si>
    <t>GL001960</t>
  </si>
  <si>
    <t>AutoPost 1960</t>
  </si>
  <si>
    <t>GL001961</t>
  </si>
  <si>
    <t>AutoPost 1961</t>
  </si>
  <si>
    <t>GL001962</t>
  </si>
  <si>
    <t>AutoPost 1962</t>
  </si>
  <si>
    <t>GL001963</t>
  </si>
  <si>
    <t>AutoPost 1963</t>
  </si>
  <si>
    <t>GL001964</t>
  </si>
  <si>
    <t>AutoPost 1964</t>
  </si>
  <si>
    <t>GL001965</t>
  </si>
  <si>
    <t>AutoPost 1965</t>
  </si>
  <si>
    <t>GL001966</t>
  </si>
  <si>
    <t>AutoPost 1966</t>
  </si>
  <si>
    <t>GL001967</t>
  </si>
  <si>
    <t>AutoPost 1967</t>
  </si>
  <si>
    <t>GL001968</t>
  </si>
  <si>
    <t>AutoPost 1968</t>
  </si>
  <si>
    <t>GL001969</t>
  </si>
  <si>
    <t>AutoPost 1969</t>
  </si>
  <si>
    <t>GL001970</t>
  </si>
  <si>
    <t>AutoPost 1970</t>
  </si>
  <si>
    <t>GL001971</t>
  </si>
  <si>
    <t>AutoPost 1971</t>
  </si>
  <si>
    <t>GL001972</t>
  </si>
  <si>
    <t>AutoPost 1972</t>
  </si>
  <si>
    <t>GL001973</t>
  </si>
  <si>
    <t>AutoPost 1973</t>
  </si>
  <si>
    <t>GL001974</t>
  </si>
  <si>
    <t>AutoPost 1974</t>
  </si>
  <si>
    <t>GL001975</t>
  </si>
  <si>
    <t>AutoPost 1975</t>
  </si>
  <si>
    <t>GL001976</t>
  </si>
  <si>
    <t>AutoPost 1976</t>
  </si>
  <si>
    <t>GL001977</t>
  </si>
  <si>
    <t>AutoPost 1977</t>
  </si>
  <si>
    <t>GL001978</t>
  </si>
  <si>
    <t>AutoPost 1978</t>
  </si>
  <si>
    <t>GL001979</t>
  </si>
  <si>
    <t>AutoPost 1979</t>
  </si>
  <si>
    <t>GL001980</t>
  </si>
  <si>
    <t>AutoPost 1980</t>
  </si>
  <si>
    <t>GL001981</t>
  </si>
  <si>
    <t>AutoPost 1981</t>
  </si>
  <si>
    <t>GL001982</t>
  </si>
  <si>
    <t>AutoPost 1982</t>
  </si>
  <si>
    <t>GL001983</t>
  </si>
  <si>
    <t>AutoPost 1983</t>
  </si>
  <si>
    <t>GL001984</t>
  </si>
  <si>
    <t>AutoPost 1984</t>
  </si>
  <si>
    <t>GL001985</t>
  </si>
  <si>
    <t>AutoPost 1985</t>
  </si>
  <si>
    <t>GL001986</t>
  </si>
  <si>
    <t>AutoPost 1986</t>
  </si>
  <si>
    <t>GL001987</t>
  </si>
  <si>
    <t>AutoPost 1987</t>
  </si>
  <si>
    <t>GL001988</t>
  </si>
  <si>
    <t>AutoPost 1988</t>
  </si>
  <si>
    <t>GL001989</t>
  </si>
  <si>
    <t>AutoPost 1989</t>
  </si>
  <si>
    <t>GL001990</t>
  </si>
  <si>
    <t>AutoPost 1990</t>
  </si>
  <si>
    <t>GL001991</t>
  </si>
  <si>
    <t>AutoPost 1991</t>
  </si>
  <si>
    <t>GL001992</t>
  </si>
  <si>
    <t>AutoPost 1992</t>
  </si>
  <si>
    <t>GL001993</t>
  </si>
  <si>
    <t>AutoPost 1993</t>
  </si>
  <si>
    <t>GL001994</t>
  </si>
  <si>
    <t>AutoPost 1994</t>
  </si>
  <si>
    <t>GL001995</t>
  </si>
  <si>
    <t>AutoPost 1995</t>
  </si>
  <si>
    <t>GL001996</t>
  </si>
  <si>
    <t>AutoPost 1996</t>
  </si>
  <si>
    <t>GL001997</t>
  </si>
  <si>
    <t>AutoPost 1997</t>
  </si>
  <si>
    <t>GL001998</t>
  </si>
  <si>
    <t>AutoPost 1998</t>
  </si>
  <si>
    <t>GL001999</t>
  </si>
  <si>
    <t>AutoPost 1999</t>
  </si>
  <si>
    <t>ClaimID</t>
  </si>
  <si>
    <t>EmployeeID</t>
  </si>
  <si>
    <t>SubmitDate</t>
  </si>
  <si>
    <t>Category</t>
  </si>
  <si>
    <t>Amount</t>
  </si>
  <si>
    <t>Status</t>
  </si>
  <si>
    <t>ApprovedBy</t>
  </si>
  <si>
    <t>PayDate</t>
  </si>
  <si>
    <t>CL30000</t>
  </si>
  <si>
    <t>E1084</t>
  </si>
  <si>
    <t>Supplies</t>
  </si>
  <si>
    <t>Travel expense</t>
  </si>
  <si>
    <t>Paid</t>
  </si>
  <si>
    <t>MgrC</t>
  </si>
  <si>
    <t>CL30001</t>
  </si>
  <si>
    <t>E1087</t>
  </si>
  <si>
    <t>Submitted</t>
  </si>
  <si>
    <t>CL30002</t>
  </si>
  <si>
    <t>E1083</t>
  </si>
  <si>
    <t>Meals</t>
  </si>
  <si>
    <t>Approved</t>
  </si>
  <si>
    <t>CL30003</t>
  </si>
  <si>
    <t>E1080</t>
  </si>
  <si>
    <t>Travel</t>
  </si>
  <si>
    <t>CL30004</t>
  </si>
  <si>
    <t>E1040</t>
  </si>
  <si>
    <t>Entertainment</t>
  </si>
  <si>
    <t>MgrB</t>
  </si>
  <si>
    <t>CL30005</t>
  </si>
  <si>
    <t>E1039</t>
  </si>
  <si>
    <t>CL30006</t>
  </si>
  <si>
    <t>E1006</t>
  </si>
  <si>
    <t>CL30007</t>
  </si>
  <si>
    <t>E1109</t>
  </si>
  <si>
    <t>CL30008</t>
  </si>
  <si>
    <t>E1077</t>
  </si>
  <si>
    <t>CL30009</t>
  </si>
  <si>
    <t>E1013</t>
  </si>
  <si>
    <t>CL30010</t>
  </si>
  <si>
    <t>E1106</t>
  </si>
  <si>
    <t>CL30011</t>
  </si>
  <si>
    <t>E1065</t>
  </si>
  <si>
    <t>CL30012</t>
  </si>
  <si>
    <t>E1021</t>
  </si>
  <si>
    <t>MgrA</t>
  </si>
  <si>
    <t>CL30013</t>
  </si>
  <si>
    <t>E1058</t>
  </si>
  <si>
    <t>CL30014</t>
  </si>
  <si>
    <t>E1068</t>
  </si>
  <si>
    <t>CL30015</t>
  </si>
  <si>
    <t>E1030</t>
  </si>
  <si>
    <t>CL30016</t>
  </si>
  <si>
    <t>E1056</t>
  </si>
  <si>
    <t>Training</t>
  </si>
  <si>
    <t>Rejected</t>
  </si>
  <si>
    <t>CL30017</t>
  </si>
  <si>
    <t>E1091</t>
  </si>
  <si>
    <t>CL30018</t>
  </si>
  <si>
    <t>E1047</t>
  </si>
  <si>
    <t>CL30019</t>
  </si>
  <si>
    <t>E1046</t>
  </si>
  <si>
    <t>CL30020</t>
  </si>
  <si>
    <t>CL30021</t>
  </si>
  <si>
    <t>E1100</t>
  </si>
  <si>
    <t>CL30022</t>
  </si>
  <si>
    <t>E1037</t>
  </si>
  <si>
    <t>CL30023</t>
  </si>
  <si>
    <t>CL30024</t>
  </si>
  <si>
    <t>CL30025</t>
  </si>
  <si>
    <t>E1103</t>
  </si>
  <si>
    <t>CL30026</t>
  </si>
  <si>
    <t>CL30027</t>
  </si>
  <si>
    <t>E1067</t>
  </si>
  <si>
    <t>CL30028</t>
  </si>
  <si>
    <t>E1095</t>
  </si>
  <si>
    <t>CL30029</t>
  </si>
  <si>
    <t>CL30030</t>
  </si>
  <si>
    <t>E1041</t>
  </si>
  <si>
    <t>CL30031</t>
  </si>
  <si>
    <t>E1073</t>
  </si>
  <si>
    <t>CL30032</t>
  </si>
  <si>
    <t>E1063</t>
  </si>
  <si>
    <t>CL30033</t>
  </si>
  <si>
    <t>E1119</t>
  </si>
  <si>
    <t>CL30034</t>
  </si>
  <si>
    <t>CL30035</t>
  </si>
  <si>
    <t>E1050</t>
  </si>
  <si>
    <t>CL30036</t>
  </si>
  <si>
    <t>CL30037</t>
  </si>
  <si>
    <t>E1005</t>
  </si>
  <si>
    <t>CL30038</t>
  </si>
  <si>
    <t>E1001</t>
  </si>
  <si>
    <t>CL30039</t>
  </si>
  <si>
    <t>E1036</t>
  </si>
  <si>
    <t>CL30040</t>
  </si>
  <si>
    <t>E1069</t>
  </si>
  <si>
    <t>CL30041</t>
  </si>
  <si>
    <t>E1053</t>
  </si>
  <si>
    <t>CL30042</t>
  </si>
  <si>
    <t>CL30043</t>
  </si>
  <si>
    <t>E1048</t>
  </si>
  <si>
    <t>CL30044</t>
  </si>
  <si>
    <t>E1057</t>
  </si>
  <si>
    <t>CL30045</t>
  </si>
  <si>
    <t>CL30046</t>
  </si>
  <si>
    <t>E1042</t>
  </si>
  <si>
    <t>CL30047</t>
  </si>
  <si>
    <t>E1082</t>
  </si>
  <si>
    <t>CL30048</t>
  </si>
  <si>
    <t>E1022</t>
  </si>
  <si>
    <t>CL30049</t>
  </si>
  <si>
    <t>E1020</t>
  </si>
  <si>
    <t>CL30050</t>
  </si>
  <si>
    <t>E1098</t>
  </si>
  <si>
    <t>CL30051</t>
  </si>
  <si>
    <t>E1112</t>
  </si>
  <si>
    <t>CL30052</t>
  </si>
  <si>
    <t>CL30053</t>
  </si>
  <si>
    <t>CL30054</t>
  </si>
  <si>
    <t>E1116</t>
  </si>
  <si>
    <t>CL30055</t>
  </si>
  <si>
    <t>E1055</t>
  </si>
  <si>
    <t>CL30056</t>
  </si>
  <si>
    <t>E1066</t>
  </si>
  <si>
    <t>CL30057</t>
  </si>
  <si>
    <t>CL30058</t>
  </si>
  <si>
    <t>E1094</t>
  </si>
  <si>
    <t>CL30059</t>
  </si>
  <si>
    <t>CL30060</t>
  </si>
  <si>
    <t>CL30061</t>
  </si>
  <si>
    <t>E1054</t>
  </si>
  <si>
    <t>CL30062</t>
  </si>
  <si>
    <t>CL30063</t>
  </si>
  <si>
    <t>E1023</t>
  </si>
  <si>
    <t>CL30064</t>
  </si>
  <si>
    <t>E1043</t>
  </si>
  <si>
    <t>CL30065</t>
  </si>
  <si>
    <t>E1003</t>
  </si>
  <si>
    <t>CL30066</t>
  </si>
  <si>
    <t>E1024</t>
  </si>
  <si>
    <t>CL30067</t>
  </si>
  <si>
    <t>E1092</t>
  </si>
  <si>
    <t>CL30068</t>
  </si>
  <si>
    <t>CL30069</t>
  </si>
  <si>
    <t>E1060</t>
  </si>
  <si>
    <t>CL30070</t>
  </si>
  <si>
    <t>CL30071</t>
  </si>
  <si>
    <t>E1071</t>
  </si>
  <si>
    <t>CL30072</t>
  </si>
  <si>
    <t>CL30073</t>
  </si>
  <si>
    <t>E1115</t>
  </si>
  <si>
    <t>CL30074</t>
  </si>
  <si>
    <t>CL30075</t>
  </si>
  <si>
    <t>CL30076</t>
  </si>
  <si>
    <t>E1017</t>
  </si>
  <si>
    <t>CL30077</t>
  </si>
  <si>
    <t>E1113</t>
  </si>
  <si>
    <t>CL30078</t>
  </si>
  <si>
    <t>CL30079</t>
  </si>
  <si>
    <t>E1014</t>
  </si>
  <si>
    <t>CL30080</t>
  </si>
  <si>
    <t>E1075</t>
  </si>
  <si>
    <t>CL30081</t>
  </si>
  <si>
    <t>E1107</t>
  </si>
  <si>
    <t>CL30082</t>
  </si>
  <si>
    <t>CL30083</t>
  </si>
  <si>
    <t>CL30084</t>
  </si>
  <si>
    <t>CL30085</t>
  </si>
  <si>
    <t>CL30086</t>
  </si>
  <si>
    <t>CL30087</t>
  </si>
  <si>
    <t>CL30088</t>
  </si>
  <si>
    <t>CL30089</t>
  </si>
  <si>
    <t>CL30090</t>
  </si>
  <si>
    <t>CL30091</t>
  </si>
  <si>
    <t>CL30092</t>
  </si>
  <si>
    <t>CL30093</t>
  </si>
  <si>
    <t>E1026</t>
  </si>
  <si>
    <t>CL30094</t>
  </si>
  <si>
    <t>CL30095</t>
  </si>
  <si>
    <t>CL30096</t>
  </si>
  <si>
    <t>CL30097</t>
  </si>
  <si>
    <t>CL30098</t>
  </si>
  <si>
    <t>E1033</t>
  </si>
  <si>
    <t>CL30099</t>
  </si>
  <si>
    <t>CL30100</t>
  </si>
  <si>
    <t>CL30101</t>
  </si>
  <si>
    <t>CL30102</t>
  </si>
  <si>
    <t>E1104</t>
  </si>
  <si>
    <t>CL30103</t>
  </si>
  <si>
    <t>E1032</t>
  </si>
  <si>
    <t>CL30104</t>
  </si>
  <si>
    <t>CL30105</t>
  </si>
  <si>
    <t>CL30106</t>
  </si>
  <si>
    <t>CL30107</t>
  </si>
  <si>
    <t>CL30108</t>
  </si>
  <si>
    <t>CL30109</t>
  </si>
  <si>
    <t>E1088</t>
  </si>
  <si>
    <t>CL30110</t>
  </si>
  <si>
    <t>CL30111</t>
  </si>
  <si>
    <t>E1111</t>
  </si>
  <si>
    <t>CL30112</t>
  </si>
  <si>
    <t>E1002</t>
  </si>
  <si>
    <t>CL30113</t>
  </si>
  <si>
    <t>CL30114</t>
  </si>
  <si>
    <t>CL30115</t>
  </si>
  <si>
    <t>CL30116</t>
  </si>
  <si>
    <t>CL30117</t>
  </si>
  <si>
    <t>CL30118</t>
  </si>
  <si>
    <t>E1016</t>
  </si>
  <si>
    <t>CL30119</t>
  </si>
  <si>
    <t>E1008</t>
  </si>
  <si>
    <t>CL30120</t>
  </si>
  <si>
    <t>E1035</t>
  </si>
  <si>
    <t>CL30121</t>
  </si>
  <si>
    <t>CL30122</t>
  </si>
  <si>
    <t>E1064</t>
  </si>
  <si>
    <t>CL30123</t>
  </si>
  <si>
    <t>CL30124</t>
  </si>
  <si>
    <t>CL30125</t>
  </si>
  <si>
    <t>CL30126</t>
  </si>
  <si>
    <t>E1072</t>
  </si>
  <si>
    <t>CL30127</t>
  </si>
  <si>
    <t>CL30128</t>
  </si>
  <si>
    <t>CL30129</t>
  </si>
  <si>
    <t>E1012</t>
  </si>
  <si>
    <t>CL30130</t>
  </si>
  <si>
    <t>E1093</t>
  </si>
  <si>
    <t>CL30131</t>
  </si>
  <si>
    <t>CL30132</t>
  </si>
  <si>
    <t>CL30133</t>
  </si>
  <si>
    <t>E1038</t>
  </si>
  <si>
    <t>CL30134</t>
  </si>
  <si>
    <t>CL30135</t>
  </si>
  <si>
    <t>CL30136</t>
  </si>
  <si>
    <t>CL30137</t>
  </si>
  <si>
    <t>CL30138</t>
  </si>
  <si>
    <t>CL30139</t>
  </si>
  <si>
    <t>E1010</t>
  </si>
  <si>
    <t>CL30140</t>
  </si>
  <si>
    <t>CL30141</t>
  </si>
  <si>
    <t>CL30142</t>
  </si>
  <si>
    <t>CL30143</t>
  </si>
  <si>
    <t>CL30144</t>
  </si>
  <si>
    <t>CL30145</t>
  </si>
  <si>
    <t>CL30146</t>
  </si>
  <si>
    <t>CL30147</t>
  </si>
  <si>
    <t>CL30148</t>
  </si>
  <si>
    <t>CL30149</t>
  </si>
  <si>
    <t>CL30150</t>
  </si>
  <si>
    <t>CL30151</t>
  </si>
  <si>
    <t>CL30152</t>
  </si>
  <si>
    <t>CL30153</t>
  </si>
  <si>
    <t>E1034</t>
  </si>
  <si>
    <t>CL30154</t>
  </si>
  <si>
    <t>CL30155</t>
  </si>
  <si>
    <t>CL30156</t>
  </si>
  <si>
    <t>CL30157</t>
  </si>
  <si>
    <t>E1000</t>
  </si>
  <si>
    <t>CL30158</t>
  </si>
  <si>
    <t>E1081</t>
  </si>
  <si>
    <t>CL30159</t>
  </si>
  <si>
    <t>E1028</t>
  </si>
  <si>
    <t>CL30160</t>
  </si>
  <si>
    <t>E1102</t>
  </si>
  <si>
    <t>CL30161</t>
  </si>
  <si>
    <t>E1052</t>
  </si>
  <si>
    <t>CL30162</t>
  </si>
  <si>
    <t>CL30163</t>
  </si>
  <si>
    <t>CL30164</t>
  </si>
  <si>
    <t>CL30165</t>
  </si>
  <si>
    <t>CL30166</t>
  </si>
  <si>
    <t>CL30167</t>
  </si>
  <si>
    <t>CL30168</t>
  </si>
  <si>
    <t>CL30169</t>
  </si>
  <si>
    <t>E1108</t>
  </si>
  <si>
    <t>CL30170</t>
  </si>
  <si>
    <t>CL30171</t>
  </si>
  <si>
    <t>CL30172</t>
  </si>
  <si>
    <t>E1090</t>
  </si>
  <si>
    <t>CL30173</t>
  </si>
  <si>
    <t>CL30174</t>
  </si>
  <si>
    <t>E1096</t>
  </si>
  <si>
    <t>CL30175</t>
  </si>
  <si>
    <t>CL30176</t>
  </si>
  <si>
    <t>CL30177</t>
  </si>
  <si>
    <t>CL30178</t>
  </si>
  <si>
    <t>CL30179</t>
  </si>
  <si>
    <t>E1070</t>
  </si>
  <si>
    <t>CL30180</t>
  </si>
  <si>
    <t>CL30181</t>
  </si>
  <si>
    <t>CL30182</t>
  </si>
  <si>
    <t>CL30183</t>
  </si>
  <si>
    <t>CL30184</t>
  </si>
  <si>
    <t>CL30185</t>
  </si>
  <si>
    <t>CL30186</t>
  </si>
  <si>
    <t>CL30187</t>
  </si>
  <si>
    <t>CL30188</t>
  </si>
  <si>
    <t>CL30189</t>
  </si>
  <si>
    <t>CL30190</t>
  </si>
  <si>
    <t>CL30191</t>
  </si>
  <si>
    <t>CL30192</t>
  </si>
  <si>
    <t>CL30193</t>
  </si>
  <si>
    <t>E1004</t>
  </si>
  <si>
    <t>CL30194</t>
  </si>
  <si>
    <t>CL30195</t>
  </si>
  <si>
    <t>CL30196</t>
  </si>
  <si>
    <t>CL30197</t>
  </si>
  <si>
    <t>E1078</t>
  </si>
  <si>
    <t>CL30198</t>
  </si>
  <si>
    <t>CL30199</t>
  </si>
  <si>
    <t>CL30200</t>
  </si>
  <si>
    <t>CL30201</t>
  </si>
  <si>
    <t>CL30202</t>
  </si>
  <si>
    <t>CL30203</t>
  </si>
  <si>
    <t>CL30204</t>
  </si>
  <si>
    <t>CL30205</t>
  </si>
  <si>
    <t>CL30206</t>
  </si>
  <si>
    <t>CL30207</t>
  </si>
  <si>
    <t>CL30208</t>
  </si>
  <si>
    <t>E1015</t>
  </si>
  <si>
    <t>CL30209</t>
  </si>
  <si>
    <t>CL30210</t>
  </si>
  <si>
    <t>E1105</t>
  </si>
  <si>
    <t>CL30211</t>
  </si>
  <si>
    <t>CL30212</t>
  </si>
  <si>
    <t>E1079</t>
  </si>
  <si>
    <t>CL30213</t>
  </si>
  <si>
    <t>CL30214</t>
  </si>
  <si>
    <t>E1027</t>
  </si>
  <si>
    <t>CL30215</t>
  </si>
  <si>
    <t>CL30216</t>
  </si>
  <si>
    <t>CL30217</t>
  </si>
  <si>
    <t>CL30218</t>
  </si>
  <si>
    <t>CL30219</t>
  </si>
  <si>
    <t>CL30220</t>
  </si>
  <si>
    <t>E1085</t>
  </si>
  <si>
    <t>CL30221</t>
  </si>
  <si>
    <t>CL30222</t>
  </si>
  <si>
    <t>CL30223</t>
  </si>
  <si>
    <t>CL30224</t>
  </si>
  <si>
    <t>CL30225</t>
  </si>
  <si>
    <t>CL30226</t>
  </si>
  <si>
    <t>E1009</t>
  </si>
  <si>
    <t>CL30227</t>
  </si>
  <si>
    <t>E1074</t>
  </si>
  <si>
    <t>CL30228</t>
  </si>
  <si>
    <t>CL30229</t>
  </si>
  <si>
    <t>CL30230</t>
  </si>
  <si>
    <t>CL30231</t>
  </si>
  <si>
    <t>CL30232</t>
  </si>
  <si>
    <t>E1019</t>
  </si>
  <si>
    <t>CL30233</t>
  </si>
  <si>
    <t>CL30234</t>
  </si>
  <si>
    <t>CL30235</t>
  </si>
  <si>
    <t>CL30236</t>
  </si>
  <si>
    <t>CL30237</t>
  </si>
  <si>
    <t>CL30238</t>
  </si>
  <si>
    <t>CL30239</t>
  </si>
  <si>
    <t>CL30240</t>
  </si>
  <si>
    <t>CL30241</t>
  </si>
  <si>
    <t>CL30242</t>
  </si>
  <si>
    <t>CL30243</t>
  </si>
  <si>
    <t>E1007</t>
  </si>
  <si>
    <t>CL30244</t>
  </si>
  <si>
    <t>CL30245</t>
  </si>
  <si>
    <t>CL30246</t>
  </si>
  <si>
    <t>CL30247</t>
  </si>
  <si>
    <t>CL30248</t>
  </si>
  <si>
    <t>CL30249</t>
  </si>
  <si>
    <t>CL30250</t>
  </si>
  <si>
    <t>CL30251</t>
  </si>
  <si>
    <t>CL30252</t>
  </si>
  <si>
    <t>CL30253</t>
  </si>
  <si>
    <t>CL30254</t>
  </si>
  <si>
    <t>CL30255</t>
  </si>
  <si>
    <t>CL30256</t>
  </si>
  <si>
    <t>E1062</t>
  </si>
  <si>
    <t>CL30257</t>
  </si>
  <si>
    <t>E1059</t>
  </si>
  <si>
    <t>CL30258</t>
  </si>
  <si>
    <t>CL30259</t>
  </si>
  <si>
    <t>CL30260</t>
  </si>
  <si>
    <t>CL30261</t>
  </si>
  <si>
    <t>CL30262</t>
  </si>
  <si>
    <t>CL30263</t>
  </si>
  <si>
    <t>E1018</t>
  </si>
  <si>
    <t>CL30264</t>
  </si>
  <si>
    <t>E1045</t>
  </si>
  <si>
    <t>CL30265</t>
  </si>
  <si>
    <t>CL30266</t>
  </si>
  <si>
    <t>CL30267</t>
  </si>
  <si>
    <t>CL30268</t>
  </si>
  <si>
    <t>CL30269</t>
  </si>
  <si>
    <t>CL30270</t>
  </si>
  <si>
    <t>CL30271</t>
  </si>
  <si>
    <t>CL30272</t>
  </si>
  <si>
    <t>CL30273</t>
  </si>
  <si>
    <t>CL30274</t>
  </si>
  <si>
    <t>CL30275</t>
  </si>
  <si>
    <t>E1117</t>
  </si>
  <si>
    <t>CL30276</t>
  </si>
  <si>
    <t>CL30277</t>
  </si>
  <si>
    <t>CL30278</t>
  </si>
  <si>
    <t>CL30279</t>
  </si>
  <si>
    <t>CL30280</t>
  </si>
  <si>
    <t>E1051</t>
  </si>
  <si>
    <t>CL30281</t>
  </si>
  <si>
    <t>E1097</t>
  </si>
  <si>
    <t>CL30282</t>
  </si>
  <si>
    <t>CL30283</t>
  </si>
  <si>
    <t>E1099</t>
  </si>
  <si>
    <t>CL30284</t>
  </si>
  <si>
    <t>CL30285</t>
  </si>
  <si>
    <t>CL30286</t>
  </si>
  <si>
    <t>CL30287</t>
  </si>
  <si>
    <t>CL30288</t>
  </si>
  <si>
    <t>CL30289</t>
  </si>
  <si>
    <t>CL30290</t>
  </si>
  <si>
    <t>CL30291</t>
  </si>
  <si>
    <t>CL30292</t>
  </si>
  <si>
    <t>CL30293</t>
  </si>
  <si>
    <t>CL30294</t>
  </si>
  <si>
    <t>CL30295</t>
  </si>
  <si>
    <t>CL30296</t>
  </si>
  <si>
    <t>CL30297</t>
  </si>
  <si>
    <t>CL30298</t>
  </si>
  <si>
    <t>CL30299</t>
  </si>
  <si>
    <t>CL30300</t>
  </si>
  <si>
    <t>CL30301</t>
  </si>
  <si>
    <t>CL30302</t>
  </si>
  <si>
    <t>CL30303</t>
  </si>
  <si>
    <t>CL30304</t>
  </si>
  <si>
    <t>E1025</t>
  </si>
  <si>
    <t>CL30305</t>
  </si>
  <si>
    <t>E1029</t>
  </si>
  <si>
    <t>CL30306</t>
  </si>
  <si>
    <t>CL30307</t>
  </si>
  <si>
    <t>CL30308</t>
  </si>
  <si>
    <t>CL30309</t>
  </si>
  <si>
    <t>CL30310</t>
  </si>
  <si>
    <t>CL30311</t>
  </si>
  <si>
    <t>CL30312</t>
  </si>
  <si>
    <t>CL30313</t>
  </si>
  <si>
    <t>CL30314</t>
  </si>
  <si>
    <t>CL30315</t>
  </si>
  <si>
    <t>CL30316</t>
  </si>
  <si>
    <t>CL30317</t>
  </si>
  <si>
    <t>CL30318</t>
  </si>
  <si>
    <t>CL30319</t>
  </si>
  <si>
    <t>CL30320</t>
  </si>
  <si>
    <t>CL30321</t>
  </si>
  <si>
    <t>CL30322</t>
  </si>
  <si>
    <t>CL30323</t>
  </si>
  <si>
    <t>CL30324</t>
  </si>
  <si>
    <t>E1049</t>
  </si>
  <si>
    <t>CL30325</t>
  </si>
  <si>
    <t>CL30326</t>
  </si>
  <si>
    <t>CL30327</t>
  </si>
  <si>
    <t>CL30328</t>
  </si>
  <si>
    <t>CL30329</t>
  </si>
  <si>
    <t>CL30330</t>
  </si>
  <si>
    <t>CL30331</t>
  </si>
  <si>
    <t>CL30332</t>
  </si>
  <si>
    <t>CL30333</t>
  </si>
  <si>
    <t>CL30334</t>
  </si>
  <si>
    <t>CL30335</t>
  </si>
  <si>
    <t>CL30336</t>
  </si>
  <si>
    <t>CL30337</t>
  </si>
  <si>
    <t>CL30338</t>
  </si>
  <si>
    <t>CL30339</t>
  </si>
  <si>
    <t>CL30340</t>
  </si>
  <si>
    <t>CL30341</t>
  </si>
  <si>
    <t>E1114</t>
  </si>
  <si>
    <t>CL30342</t>
  </si>
  <si>
    <t>CL30343</t>
  </si>
  <si>
    <t>CL30344</t>
  </si>
  <si>
    <t>CL30345</t>
  </si>
  <si>
    <t>E1031</t>
  </si>
  <si>
    <t>CL30346</t>
  </si>
  <si>
    <t>CL30347</t>
  </si>
  <si>
    <t>CL30348</t>
  </si>
  <si>
    <t>CL30349</t>
  </si>
  <si>
    <t>E1086</t>
  </si>
  <si>
    <t>CL30350</t>
  </si>
  <si>
    <t>CL30351</t>
  </si>
  <si>
    <t>E1011</t>
  </si>
  <si>
    <t>CL30352</t>
  </si>
  <si>
    <t>CL30353</t>
  </si>
  <si>
    <t>CL30354</t>
  </si>
  <si>
    <t>CL30355</t>
  </si>
  <si>
    <t>CL30356</t>
  </si>
  <si>
    <t>CL30357</t>
  </si>
  <si>
    <t>CL30358</t>
  </si>
  <si>
    <t>CL30359</t>
  </si>
  <si>
    <t>CL30360</t>
  </si>
  <si>
    <t>CL30361</t>
  </si>
  <si>
    <t>CL30362</t>
  </si>
  <si>
    <t>CL30363</t>
  </si>
  <si>
    <t>CL30364</t>
  </si>
  <si>
    <t>CL30365</t>
  </si>
  <si>
    <t>CL30366</t>
  </si>
  <si>
    <t>CL30367</t>
  </si>
  <si>
    <t>CL30368</t>
  </si>
  <si>
    <t>CL30369</t>
  </si>
  <si>
    <t>E1089</t>
  </si>
  <si>
    <t>CL30370</t>
  </si>
  <si>
    <t>CL30371</t>
  </si>
  <si>
    <t>CL30372</t>
  </si>
  <si>
    <t>CL30373</t>
  </si>
  <si>
    <t>CL30374</t>
  </si>
  <si>
    <t>CL30375</t>
  </si>
  <si>
    <t>CL30376</t>
  </si>
  <si>
    <t>CL30377</t>
  </si>
  <si>
    <t>CL30378</t>
  </si>
  <si>
    <t>CL30379</t>
  </si>
  <si>
    <t>E1118</t>
  </si>
  <si>
    <t>CL30380</t>
  </si>
  <si>
    <t>CL30381</t>
  </si>
  <si>
    <t>CL30382</t>
  </si>
  <si>
    <t>CL30383</t>
  </si>
  <si>
    <t>CL30384</t>
  </si>
  <si>
    <t>CL30385</t>
  </si>
  <si>
    <t>CL30386</t>
  </si>
  <si>
    <t>CL30387</t>
  </si>
  <si>
    <t>CL30388</t>
  </si>
  <si>
    <t>CL30389</t>
  </si>
  <si>
    <t>E1110</t>
  </si>
  <si>
    <t>CL30390</t>
  </si>
  <si>
    <t>CL30391</t>
  </si>
  <si>
    <t>CL30392</t>
  </si>
  <si>
    <t>CL30393</t>
  </si>
  <si>
    <t>CL30394</t>
  </si>
  <si>
    <t>CL30395</t>
  </si>
  <si>
    <t>CL30396</t>
  </si>
  <si>
    <t>CL30397</t>
  </si>
  <si>
    <t>CL30398</t>
  </si>
  <si>
    <t>CL30399</t>
  </si>
  <si>
    <t>CL30400</t>
  </si>
  <si>
    <t>CL30401</t>
  </si>
  <si>
    <t>CL30402</t>
  </si>
  <si>
    <t>CL30403</t>
  </si>
  <si>
    <t>CL30404</t>
  </si>
  <si>
    <t>CL30405</t>
  </si>
  <si>
    <t>CL30406</t>
  </si>
  <si>
    <t>CL30407</t>
  </si>
  <si>
    <t>CL30408</t>
  </si>
  <si>
    <t>CL30409</t>
  </si>
  <si>
    <t>CL30410</t>
  </si>
  <si>
    <t>CL30411</t>
  </si>
  <si>
    <t>CL30412</t>
  </si>
  <si>
    <t>CL30413</t>
  </si>
  <si>
    <t>CL30414</t>
  </si>
  <si>
    <t>CL30415</t>
  </si>
  <si>
    <t>CL30416</t>
  </si>
  <si>
    <t>CL30417</t>
  </si>
  <si>
    <t>CL30418</t>
  </si>
  <si>
    <t>CL30419</t>
  </si>
  <si>
    <t>CL30420</t>
  </si>
  <si>
    <t>CL30421</t>
  </si>
  <si>
    <t>CL30422</t>
  </si>
  <si>
    <t>CL30423</t>
  </si>
  <si>
    <t>CL30424</t>
  </si>
  <si>
    <t>CL30425</t>
  </si>
  <si>
    <t>CL30426</t>
  </si>
  <si>
    <t>CL30427</t>
  </si>
  <si>
    <t>CL30428</t>
  </si>
  <si>
    <t>CL30429</t>
  </si>
  <si>
    <t>CL30430</t>
  </si>
  <si>
    <t>CL30431</t>
  </si>
  <si>
    <t>CL30432</t>
  </si>
  <si>
    <t>CL30433</t>
  </si>
  <si>
    <t>CL30434</t>
  </si>
  <si>
    <t>CL30435</t>
  </si>
  <si>
    <t>CL30436</t>
  </si>
  <si>
    <t>CL30437</t>
  </si>
  <si>
    <t>CL30438</t>
  </si>
  <si>
    <t>CL30439</t>
  </si>
  <si>
    <t>CL30440</t>
  </si>
  <si>
    <t>CL30441</t>
  </si>
  <si>
    <t>CL30442</t>
  </si>
  <si>
    <t>CL30443</t>
  </si>
  <si>
    <t>CL30444</t>
  </si>
  <si>
    <t>CL30445</t>
  </si>
  <si>
    <t>E1044</t>
  </si>
  <si>
    <t>CL30446</t>
  </si>
  <si>
    <t>CL30447</t>
  </si>
  <si>
    <t>CL30448</t>
  </si>
  <si>
    <t>CL30449</t>
  </si>
  <si>
    <t>CL30450</t>
  </si>
  <si>
    <t>CL30451</t>
  </si>
  <si>
    <t>CL30452</t>
  </si>
  <si>
    <t>CL30453</t>
  </si>
  <si>
    <t>CL30454</t>
  </si>
  <si>
    <t>CL30455</t>
  </si>
  <si>
    <t>CL30456</t>
  </si>
  <si>
    <t>CL30457</t>
  </si>
  <si>
    <t>CL30458</t>
  </si>
  <si>
    <t>CL30459</t>
  </si>
  <si>
    <t>CL30460</t>
  </si>
  <si>
    <t>CL30461</t>
  </si>
  <si>
    <t>CL30462</t>
  </si>
  <si>
    <t>CL30463</t>
  </si>
  <si>
    <t>CL30464</t>
  </si>
  <si>
    <t>CL30465</t>
  </si>
  <si>
    <t>CL30466</t>
  </si>
  <si>
    <t>CL30467</t>
  </si>
  <si>
    <t>CL30468</t>
  </si>
  <si>
    <t>CL30469</t>
  </si>
  <si>
    <t>E1061</t>
  </si>
  <si>
    <t>CL30470</t>
  </si>
  <si>
    <t>CL30471</t>
  </si>
  <si>
    <t>CL30472</t>
  </si>
  <si>
    <t>CL30473</t>
  </si>
  <si>
    <t>CL30474</t>
  </si>
  <si>
    <t>CL30475</t>
  </si>
  <si>
    <t>CL30476</t>
  </si>
  <si>
    <t>CL30477</t>
  </si>
  <si>
    <t>CL30478</t>
  </si>
  <si>
    <t>CL30479</t>
  </si>
  <si>
    <t>CL30480</t>
  </si>
  <si>
    <t>CL30481</t>
  </si>
  <si>
    <t>CL30482</t>
  </si>
  <si>
    <t>CL30483</t>
  </si>
  <si>
    <t>CL30484</t>
  </si>
  <si>
    <t>CL30485</t>
  </si>
  <si>
    <t>CL30486</t>
  </si>
  <si>
    <t>CL30487</t>
  </si>
  <si>
    <t>CL30488</t>
  </si>
  <si>
    <t>CL30489</t>
  </si>
  <si>
    <t>CL30490</t>
  </si>
  <si>
    <t>CL30491</t>
  </si>
  <si>
    <t>CL30492</t>
  </si>
  <si>
    <t>CL30493</t>
  </si>
  <si>
    <t>CL30494</t>
  </si>
  <si>
    <t>CL30495</t>
  </si>
  <si>
    <t>CL30496</t>
  </si>
  <si>
    <t>CL30497</t>
  </si>
  <si>
    <t>CL30498</t>
  </si>
  <si>
    <t>CL30499</t>
  </si>
  <si>
    <t>CL30500</t>
  </si>
  <si>
    <t>CL30501</t>
  </si>
  <si>
    <t>CL30502</t>
  </si>
  <si>
    <t>CL30503</t>
  </si>
  <si>
    <t>CL30504</t>
  </si>
  <si>
    <t>CL30505</t>
  </si>
  <si>
    <t>CL30506</t>
  </si>
  <si>
    <t>CL30507</t>
  </si>
  <si>
    <t>CL30508</t>
  </si>
  <si>
    <t>CL30509</t>
  </si>
  <si>
    <t>CL30510</t>
  </si>
  <si>
    <t>CL30511</t>
  </si>
  <si>
    <t>CL30512</t>
  </si>
  <si>
    <t>CL30513</t>
  </si>
  <si>
    <t>CL30514</t>
  </si>
  <si>
    <t>CL30515</t>
  </si>
  <si>
    <t>CL30516</t>
  </si>
  <si>
    <t>CL30517</t>
  </si>
  <si>
    <t>CL30518</t>
  </si>
  <si>
    <t>CL30519</t>
  </si>
  <si>
    <t>CL30520</t>
  </si>
  <si>
    <t>CL30521</t>
  </si>
  <si>
    <t>CL30522</t>
  </si>
  <si>
    <t>CL30523</t>
  </si>
  <si>
    <t>CL30524</t>
  </si>
  <si>
    <t>CL30525</t>
  </si>
  <si>
    <t>CL30526</t>
  </si>
  <si>
    <t>CL30527</t>
  </si>
  <si>
    <t>CL30528</t>
  </si>
  <si>
    <t>CL30529</t>
  </si>
  <si>
    <t>CL30530</t>
  </si>
  <si>
    <t>CL30531</t>
  </si>
  <si>
    <t>CL30532</t>
  </si>
  <si>
    <t>CL30533</t>
  </si>
  <si>
    <t>CL30534</t>
  </si>
  <si>
    <t>CL30535</t>
  </si>
  <si>
    <t>CL30536</t>
  </si>
  <si>
    <t>CL30537</t>
  </si>
  <si>
    <t>CL30538</t>
  </si>
  <si>
    <t>CL30539</t>
  </si>
  <si>
    <t>CL30540</t>
  </si>
  <si>
    <t>CL30541</t>
  </si>
  <si>
    <t>CL30542</t>
  </si>
  <si>
    <t>CL30543</t>
  </si>
  <si>
    <t>CL30544</t>
  </si>
  <si>
    <t>CL30545</t>
  </si>
  <si>
    <t>CL30546</t>
  </si>
  <si>
    <t>CL30547</t>
  </si>
  <si>
    <t>CL30548</t>
  </si>
  <si>
    <t>CL30549</t>
  </si>
  <si>
    <t>CL30550</t>
  </si>
  <si>
    <t>CL30551</t>
  </si>
  <si>
    <t>CL30552</t>
  </si>
  <si>
    <t>CL30553</t>
  </si>
  <si>
    <t>CL30554</t>
  </si>
  <si>
    <t>CL30555</t>
  </si>
  <si>
    <t>CL30556</t>
  </si>
  <si>
    <t>CL30557</t>
  </si>
  <si>
    <t>CL30558</t>
  </si>
  <si>
    <t>CL30559</t>
  </si>
  <si>
    <t>CL30560</t>
  </si>
  <si>
    <t>CL30561</t>
  </si>
  <si>
    <t>CL30562</t>
  </si>
  <si>
    <t>CL30563</t>
  </si>
  <si>
    <t>CL30564</t>
  </si>
  <si>
    <t>CL30565</t>
  </si>
  <si>
    <t>CL30566</t>
  </si>
  <si>
    <t>CL30567</t>
  </si>
  <si>
    <t>CL30568</t>
  </si>
  <si>
    <t>CL30569</t>
  </si>
  <si>
    <t>CL30570</t>
  </si>
  <si>
    <t>CL30571</t>
  </si>
  <si>
    <t>CL30572</t>
  </si>
  <si>
    <t>CL30573</t>
  </si>
  <si>
    <t>CL30574</t>
  </si>
  <si>
    <t>CL30575</t>
  </si>
  <si>
    <t>CL30576</t>
  </si>
  <si>
    <t>CL30577</t>
  </si>
  <si>
    <t>CL30578</t>
  </si>
  <si>
    <t>CL30579</t>
  </si>
  <si>
    <t>CL30580</t>
  </si>
  <si>
    <t>CL30581</t>
  </si>
  <si>
    <t>CL30582</t>
  </si>
  <si>
    <t>CL30583</t>
  </si>
  <si>
    <t>CL30584</t>
  </si>
  <si>
    <t>CL30585</t>
  </si>
  <si>
    <t>CL30586</t>
  </si>
  <si>
    <t>CL30587</t>
  </si>
  <si>
    <t>CL30588</t>
  </si>
  <si>
    <t>CL30589</t>
  </si>
  <si>
    <t>CL30590</t>
  </si>
  <si>
    <t>CL30591</t>
  </si>
  <si>
    <t>CL30592</t>
  </si>
  <si>
    <t>CL30593</t>
  </si>
  <si>
    <t>CL30594</t>
  </si>
  <si>
    <t>CL30595</t>
  </si>
  <si>
    <t>CL30596</t>
  </si>
  <si>
    <t>CL30597</t>
  </si>
  <si>
    <t>CL30598</t>
  </si>
  <si>
    <t>CL30599</t>
  </si>
  <si>
    <t>CL30600</t>
  </si>
  <si>
    <t>CL30601</t>
  </si>
  <si>
    <t>CL30602</t>
  </si>
  <si>
    <t>CL30603</t>
  </si>
  <si>
    <t>CL30604</t>
  </si>
  <si>
    <t>CL30605</t>
  </si>
  <si>
    <t>CL30606</t>
  </si>
  <si>
    <t>CL30607</t>
  </si>
  <si>
    <t>CL30608</t>
  </si>
  <si>
    <t>CL30609</t>
  </si>
  <si>
    <t>CL30610</t>
  </si>
  <si>
    <t>CL30611</t>
  </si>
  <si>
    <t>CL30612</t>
  </si>
  <si>
    <t>CL30613</t>
  </si>
  <si>
    <t>CL30614</t>
  </si>
  <si>
    <t>E1076</t>
  </si>
  <si>
    <t>CL30615</t>
  </si>
  <si>
    <t>CL30616</t>
  </si>
  <si>
    <t>CL30617</t>
  </si>
  <si>
    <t>CL30618</t>
  </si>
  <si>
    <t>CL30619</t>
  </si>
  <si>
    <t>CL30620</t>
  </si>
  <si>
    <t>CL30621</t>
  </si>
  <si>
    <t>CL30622</t>
  </si>
  <si>
    <t>CL30623</t>
  </si>
  <si>
    <t>CL30624</t>
  </si>
  <si>
    <t>CL30625</t>
  </si>
  <si>
    <t>CL30626</t>
  </si>
  <si>
    <t>CL30627</t>
  </si>
  <si>
    <t>CL30628</t>
  </si>
  <si>
    <t>CL30629</t>
  </si>
  <si>
    <t>CL30630</t>
  </si>
  <si>
    <t>CL30631</t>
  </si>
  <si>
    <t>CL30632</t>
  </si>
  <si>
    <t>CL30633</t>
  </si>
  <si>
    <t>CL30634</t>
  </si>
  <si>
    <t>CL30635</t>
  </si>
  <si>
    <t>CL30636</t>
  </si>
  <si>
    <t>CL30637</t>
  </si>
  <si>
    <t>CL30638</t>
  </si>
  <si>
    <t>CL30639</t>
  </si>
  <si>
    <t>CL30640</t>
  </si>
  <si>
    <t>CL30641</t>
  </si>
  <si>
    <t>CL30642</t>
  </si>
  <si>
    <t>CL30643</t>
  </si>
  <si>
    <t>CL30644</t>
  </si>
  <si>
    <t>CL30645</t>
  </si>
  <si>
    <t>CL30646</t>
  </si>
  <si>
    <t>CL30647</t>
  </si>
  <si>
    <t>CL30648</t>
  </si>
  <si>
    <t>CL30649</t>
  </si>
  <si>
    <t>CL30650</t>
  </si>
  <si>
    <t>CL30651</t>
  </si>
  <si>
    <t>CL30652</t>
  </si>
  <si>
    <t>CL30653</t>
  </si>
  <si>
    <t>CL30654</t>
  </si>
  <si>
    <t>CL30655</t>
  </si>
  <si>
    <t>CL30656</t>
  </si>
  <si>
    <t>CL30657</t>
  </si>
  <si>
    <t>CL30658</t>
  </si>
  <si>
    <t>CL30659</t>
  </si>
  <si>
    <t>CL30660</t>
  </si>
  <si>
    <t>CL30661</t>
  </si>
  <si>
    <t>CL30662</t>
  </si>
  <si>
    <t>CL30663</t>
  </si>
  <si>
    <t>CL30664</t>
  </si>
  <si>
    <t>CL30665</t>
  </si>
  <si>
    <t>CL30666</t>
  </si>
  <si>
    <t>CL30667</t>
  </si>
  <si>
    <t>CL30668</t>
  </si>
  <si>
    <t>CL30669</t>
  </si>
  <si>
    <t>CL30670</t>
  </si>
  <si>
    <t>CL30671</t>
  </si>
  <si>
    <t>CL30672</t>
  </si>
  <si>
    <t>CL30673</t>
  </si>
  <si>
    <t>CL30674</t>
  </si>
  <si>
    <t>CL30675</t>
  </si>
  <si>
    <t>CL30676</t>
  </si>
  <si>
    <t>CL30677</t>
  </si>
  <si>
    <t>CL30678</t>
  </si>
  <si>
    <t>CL30679</t>
  </si>
  <si>
    <t>CL30680</t>
  </si>
  <si>
    <t>CL30681</t>
  </si>
  <si>
    <t>CL30682</t>
  </si>
  <si>
    <t>CL30683</t>
  </si>
  <si>
    <t>CL30684</t>
  </si>
  <si>
    <t>CL30685</t>
  </si>
  <si>
    <t>CL30686</t>
  </si>
  <si>
    <t>CL30687</t>
  </si>
  <si>
    <t>CL30688</t>
  </si>
  <si>
    <t>CL30689</t>
  </si>
  <si>
    <t>CL30690</t>
  </si>
  <si>
    <t>CL30691</t>
  </si>
  <si>
    <t>CL30692</t>
  </si>
  <si>
    <t>CL30693</t>
  </si>
  <si>
    <t>CL30694</t>
  </si>
  <si>
    <t>CL30695</t>
  </si>
  <si>
    <t>CL30696</t>
  </si>
  <si>
    <t>CL30697</t>
  </si>
  <si>
    <t>CL30698</t>
  </si>
  <si>
    <t>CL30699</t>
  </si>
  <si>
    <t>CL30700</t>
  </si>
  <si>
    <t>CL30701</t>
  </si>
  <si>
    <t>CL30702</t>
  </si>
  <si>
    <t>CL30703</t>
  </si>
  <si>
    <t>CL30704</t>
  </si>
  <si>
    <t>CL30705</t>
  </si>
  <si>
    <t>CL30706</t>
  </si>
  <si>
    <t>CL30707</t>
  </si>
  <si>
    <t>CL30708</t>
  </si>
  <si>
    <t>CL30709</t>
  </si>
  <si>
    <t>CL30710</t>
  </si>
  <si>
    <t>CL30711</t>
  </si>
  <si>
    <t>CL30712</t>
  </si>
  <si>
    <t>CL30713</t>
  </si>
  <si>
    <t>CL30714</t>
  </si>
  <si>
    <t>CL30715</t>
  </si>
  <si>
    <t>CL30716</t>
  </si>
  <si>
    <t>CL30717</t>
  </si>
  <si>
    <t>CL30718</t>
  </si>
  <si>
    <t>CL30719</t>
  </si>
  <si>
    <t>CL30720</t>
  </si>
  <si>
    <t>CL30721</t>
  </si>
  <si>
    <t>CL30722</t>
  </si>
  <si>
    <t>CL30723</t>
  </si>
  <si>
    <t>CL30724</t>
  </si>
  <si>
    <t>CL30725</t>
  </si>
  <si>
    <t>CL30726</t>
  </si>
  <si>
    <t>CL30727</t>
  </si>
  <si>
    <t>CL30728</t>
  </si>
  <si>
    <t>CL30729</t>
  </si>
  <si>
    <t>CL30730</t>
  </si>
  <si>
    <t>CL30731</t>
  </si>
  <si>
    <t>CL30732</t>
  </si>
  <si>
    <t>CL30733</t>
  </si>
  <si>
    <t>CL30734</t>
  </si>
  <si>
    <t>CL30735</t>
  </si>
  <si>
    <t>CL30736</t>
  </si>
  <si>
    <t>CL30737</t>
  </si>
  <si>
    <t>CL30738</t>
  </si>
  <si>
    <t>CL30739</t>
  </si>
  <si>
    <t>CL30740</t>
  </si>
  <si>
    <t>CL30741</t>
  </si>
  <si>
    <t>CL30742</t>
  </si>
  <si>
    <t>CL30743</t>
  </si>
  <si>
    <t>CL30744</t>
  </si>
  <si>
    <t>CL30745</t>
  </si>
  <si>
    <t>CL30746</t>
  </si>
  <si>
    <t>CL30747</t>
  </si>
  <si>
    <t>CL30748</t>
  </si>
  <si>
    <t>CL30749</t>
  </si>
  <si>
    <t>CL30750</t>
  </si>
  <si>
    <t>CL30751</t>
  </si>
  <si>
    <t>E1101</t>
  </si>
  <si>
    <t>CL30752</t>
  </si>
  <si>
    <t>CL30753</t>
  </si>
  <si>
    <t>CL30754</t>
  </si>
  <si>
    <t>CL30755</t>
  </si>
  <si>
    <t>CL30756</t>
  </si>
  <si>
    <t>CL30757</t>
  </si>
  <si>
    <t>CL30758</t>
  </si>
  <si>
    <t>CL30759</t>
  </si>
  <si>
    <t>CL30760</t>
  </si>
  <si>
    <t>CL30761</t>
  </si>
  <si>
    <t>CL30762</t>
  </si>
  <si>
    <t>CL30763</t>
  </si>
  <si>
    <t>CL30764</t>
  </si>
  <si>
    <t>CL30765</t>
  </si>
  <si>
    <t>CL30766</t>
  </si>
  <si>
    <t>CL30767</t>
  </si>
  <si>
    <t>CL30768</t>
  </si>
  <si>
    <t>CL30769</t>
  </si>
  <si>
    <t>CL30770</t>
  </si>
  <si>
    <t>CL30771</t>
  </si>
  <si>
    <t>CL30772</t>
  </si>
  <si>
    <t>CL30773</t>
  </si>
  <si>
    <t>CL30774</t>
  </si>
  <si>
    <t>CL30775</t>
  </si>
  <si>
    <t>CL30776</t>
  </si>
  <si>
    <t>CL30777</t>
  </si>
  <si>
    <t>CL30778</t>
  </si>
  <si>
    <t>CL30779</t>
  </si>
  <si>
    <t>CL30780</t>
  </si>
  <si>
    <t>CL30781</t>
  </si>
  <si>
    <t>CL30782</t>
  </si>
  <si>
    <t>CL30783</t>
  </si>
  <si>
    <t>CL30784</t>
  </si>
  <si>
    <t>CL30785</t>
  </si>
  <si>
    <t>CL30786</t>
  </si>
  <si>
    <t>CL30787</t>
  </si>
  <si>
    <t>CL30788</t>
  </si>
  <si>
    <t>CL30789</t>
  </si>
  <si>
    <t>CL30790</t>
  </si>
  <si>
    <t>CL30791</t>
  </si>
  <si>
    <t>CL30792</t>
  </si>
  <si>
    <t>CL30793</t>
  </si>
  <si>
    <t>CL30794</t>
  </si>
  <si>
    <t>CL30795</t>
  </si>
  <si>
    <t>CL30796</t>
  </si>
  <si>
    <t>CL30797</t>
  </si>
  <si>
    <t>CL30798</t>
  </si>
  <si>
    <t>CL30799</t>
  </si>
  <si>
    <t>CL30800</t>
  </si>
  <si>
    <t>CL30801</t>
  </si>
  <si>
    <t>CL30802</t>
  </si>
  <si>
    <t>CL30803</t>
  </si>
  <si>
    <t>CL30804</t>
  </si>
  <si>
    <t>CL30805</t>
  </si>
  <si>
    <t>CL30806</t>
  </si>
  <si>
    <t>CL30807</t>
  </si>
  <si>
    <t>CL30808</t>
  </si>
  <si>
    <t>CL30809</t>
  </si>
  <si>
    <t>CL30810</t>
  </si>
  <si>
    <t>CL30811</t>
  </si>
  <si>
    <t>CL30812</t>
  </si>
  <si>
    <t>CL30813</t>
  </si>
  <si>
    <t>CL30814</t>
  </si>
  <si>
    <t>CL30815</t>
  </si>
  <si>
    <t>CL30816</t>
  </si>
  <si>
    <t>CL30817</t>
  </si>
  <si>
    <t>CL30818</t>
  </si>
  <si>
    <t>CL30819</t>
  </si>
  <si>
    <t>CL30820</t>
  </si>
  <si>
    <t>CL30821</t>
  </si>
  <si>
    <t>CL30822</t>
  </si>
  <si>
    <t>CL30823</t>
  </si>
  <si>
    <t>CL30824</t>
  </si>
  <si>
    <t>CL30825</t>
  </si>
  <si>
    <t>CL30826</t>
  </si>
  <si>
    <t>CL30827</t>
  </si>
  <si>
    <t>CL30828</t>
  </si>
  <si>
    <t>CL30829</t>
  </si>
  <si>
    <t>CL30830</t>
  </si>
  <si>
    <t>CL30831</t>
  </si>
  <si>
    <t>CL30832</t>
  </si>
  <si>
    <t>CL30833</t>
  </si>
  <si>
    <t>CL30834</t>
  </si>
  <si>
    <t>CL30835</t>
  </si>
  <si>
    <t>CL30836</t>
  </si>
  <si>
    <t>CL30837</t>
  </si>
  <si>
    <t>CL30838</t>
  </si>
  <si>
    <t>CL30839</t>
  </si>
  <si>
    <t>CL30840</t>
  </si>
  <si>
    <t>CL30841</t>
  </si>
  <si>
    <t>CL30842</t>
  </si>
  <si>
    <t>CL30843</t>
  </si>
  <si>
    <t>CL30844</t>
  </si>
  <si>
    <t>CL30845</t>
  </si>
  <si>
    <t>CL30846</t>
  </si>
  <si>
    <t>CL30847</t>
  </si>
  <si>
    <t>CL30848</t>
  </si>
  <si>
    <t>CL30849</t>
  </si>
  <si>
    <t>CL30850</t>
  </si>
  <si>
    <t>CL30851</t>
  </si>
  <si>
    <t>CL30852</t>
  </si>
  <si>
    <t>CL30853</t>
  </si>
  <si>
    <t>CL30854</t>
  </si>
  <si>
    <t>CL30855</t>
  </si>
  <si>
    <t>CL30856</t>
  </si>
  <si>
    <t>CL30857</t>
  </si>
  <si>
    <t>CL30858</t>
  </si>
  <si>
    <t>CL30859</t>
  </si>
  <si>
    <t>CL30860</t>
  </si>
  <si>
    <t>CL30861</t>
  </si>
  <si>
    <t>CL30862</t>
  </si>
  <si>
    <t>CL30863</t>
  </si>
  <si>
    <t>CL30864</t>
  </si>
  <si>
    <t>CL30865</t>
  </si>
  <si>
    <t>CL30866</t>
  </si>
  <si>
    <t>CL30867</t>
  </si>
  <si>
    <t>CL30868</t>
  </si>
  <si>
    <t>CL30869</t>
  </si>
  <si>
    <t>CL30870</t>
  </si>
  <si>
    <t>CL30871</t>
  </si>
  <si>
    <t>CL30872</t>
  </si>
  <si>
    <t>CL30873</t>
  </si>
  <si>
    <t>CL30874</t>
  </si>
  <si>
    <t>CL30875</t>
  </si>
  <si>
    <t>CL30876</t>
  </si>
  <si>
    <t>CL30877</t>
  </si>
  <si>
    <t>CL30878</t>
  </si>
  <si>
    <t>CL30879</t>
  </si>
  <si>
    <t>CL30880</t>
  </si>
  <si>
    <t>CL30881</t>
  </si>
  <si>
    <t>CL30882</t>
  </si>
  <si>
    <t>CL30883</t>
  </si>
  <si>
    <t>CL30884</t>
  </si>
  <si>
    <t>CL30885</t>
  </si>
  <si>
    <t>CL30886</t>
  </si>
  <si>
    <t>CL30887</t>
  </si>
  <si>
    <t>CL30888</t>
  </si>
  <si>
    <t>CL30889</t>
  </si>
  <si>
    <t>CL30890</t>
  </si>
  <si>
    <t>CL30891</t>
  </si>
  <si>
    <t>CL30892</t>
  </si>
  <si>
    <t>CL30893</t>
  </si>
  <si>
    <t>CL30894</t>
  </si>
  <si>
    <t>CL30895</t>
  </si>
  <si>
    <t>CL30896</t>
  </si>
  <si>
    <t>CL30897</t>
  </si>
  <si>
    <t>CL30898</t>
  </si>
  <si>
    <t>CL30899</t>
  </si>
  <si>
    <t>CL30900</t>
  </si>
  <si>
    <t>CL30901</t>
  </si>
  <si>
    <t>CL30902</t>
  </si>
  <si>
    <t>CL30903</t>
  </si>
  <si>
    <t>CL30904</t>
  </si>
  <si>
    <t>CL30905</t>
  </si>
  <si>
    <t>CL30906</t>
  </si>
  <si>
    <t>CL30907</t>
  </si>
  <si>
    <t>CL30908</t>
  </si>
  <si>
    <t>CL30909</t>
  </si>
  <si>
    <t>CL30910</t>
  </si>
  <si>
    <t>CL30911</t>
  </si>
  <si>
    <t>CL30912</t>
  </si>
  <si>
    <t>CL30913</t>
  </si>
  <si>
    <t>CL30914</t>
  </si>
  <si>
    <t>CL30915</t>
  </si>
  <si>
    <t>CL30916</t>
  </si>
  <si>
    <t>CL30917</t>
  </si>
  <si>
    <t>CL30918</t>
  </si>
  <si>
    <t>CL30919</t>
  </si>
  <si>
    <t>CL30920</t>
  </si>
  <si>
    <t>CL30921</t>
  </si>
  <si>
    <t>CL30922</t>
  </si>
  <si>
    <t>CL30923</t>
  </si>
  <si>
    <t>CL30924</t>
  </si>
  <si>
    <t>CL30925</t>
  </si>
  <si>
    <t>CL30926</t>
  </si>
  <si>
    <t>CL30927</t>
  </si>
  <si>
    <t>CL30928</t>
  </si>
  <si>
    <t>CL30929</t>
  </si>
  <si>
    <t>CL30930</t>
  </si>
  <si>
    <t>CL30931</t>
  </si>
  <si>
    <t>CL30932</t>
  </si>
  <si>
    <t>CL30933</t>
  </si>
  <si>
    <t>CL30934</t>
  </si>
  <si>
    <t>CL30935</t>
  </si>
  <si>
    <t>CL30936</t>
  </si>
  <si>
    <t>CL30937</t>
  </si>
  <si>
    <t>CL30938</t>
  </si>
  <si>
    <t>CL30939</t>
  </si>
  <si>
    <t>CL30940</t>
  </si>
  <si>
    <t>CL30941</t>
  </si>
  <si>
    <t>CL30942</t>
  </si>
  <si>
    <t>CL30943</t>
  </si>
  <si>
    <t>CL30944</t>
  </si>
  <si>
    <t>CL30945</t>
  </si>
  <si>
    <t>CL30946</t>
  </si>
  <si>
    <t>CL30947</t>
  </si>
  <si>
    <t>CL30948</t>
  </si>
  <si>
    <t>CL30949</t>
  </si>
  <si>
    <t>CL30950</t>
  </si>
  <si>
    <t>CL30951</t>
  </si>
  <si>
    <t>CL30952</t>
  </si>
  <si>
    <t>CL30953</t>
  </si>
  <si>
    <t>CL30954</t>
  </si>
  <si>
    <t>CL30955</t>
  </si>
  <si>
    <t>CL30956</t>
  </si>
  <si>
    <t>CL30957</t>
  </si>
  <si>
    <t>CL30958</t>
  </si>
  <si>
    <t>CL30959</t>
  </si>
  <si>
    <t>CL30960</t>
  </si>
  <si>
    <t>CL30961</t>
  </si>
  <si>
    <t>CL30962</t>
  </si>
  <si>
    <t>CL30963</t>
  </si>
  <si>
    <t>CL30964</t>
  </si>
  <si>
    <t>CL30965</t>
  </si>
  <si>
    <t>CL30966</t>
  </si>
  <si>
    <t>CL30967</t>
  </si>
  <si>
    <t>CL30968</t>
  </si>
  <si>
    <t>CL30969</t>
  </si>
  <si>
    <t>CL30970</t>
  </si>
  <si>
    <t>CL30971</t>
  </si>
  <si>
    <t>CL30972</t>
  </si>
  <si>
    <t>CL30973</t>
  </si>
  <si>
    <t>CL30974</t>
  </si>
  <si>
    <t>CL30975</t>
  </si>
  <si>
    <t>CL30976</t>
  </si>
  <si>
    <t>CL30977</t>
  </si>
  <si>
    <t>CL30978</t>
  </si>
  <si>
    <t>CL30979</t>
  </si>
  <si>
    <t>CL30980</t>
  </si>
  <si>
    <t>CL30981</t>
  </si>
  <si>
    <t>CL30982</t>
  </si>
  <si>
    <t>CL30983</t>
  </si>
  <si>
    <t>CL30984</t>
  </si>
  <si>
    <t>CL30985</t>
  </si>
  <si>
    <t>CL30986</t>
  </si>
  <si>
    <t>CL30987</t>
  </si>
  <si>
    <t>CL30988</t>
  </si>
  <si>
    <t>CL30989</t>
  </si>
  <si>
    <t>CL30990</t>
  </si>
  <si>
    <t>CL30991</t>
  </si>
  <si>
    <t>CL30992</t>
  </si>
  <si>
    <t>CL30993</t>
  </si>
  <si>
    <t>CL30994</t>
  </si>
  <si>
    <t>CL30995</t>
  </si>
  <si>
    <t>CL30996</t>
  </si>
  <si>
    <t>CL30997</t>
  </si>
  <si>
    <t>CL30998</t>
  </si>
  <si>
    <t>CL30999</t>
  </si>
  <si>
    <t>Rate to USD</t>
  </si>
  <si>
    <t>Debit USD</t>
  </si>
  <si>
    <t>Credit USD</t>
  </si>
  <si>
    <t>Year</t>
  </si>
  <si>
    <t>Fiscal Year</t>
  </si>
  <si>
    <t>Actual Expense</t>
  </si>
  <si>
    <t>Actual Revenue</t>
  </si>
  <si>
    <t>Budget USD</t>
  </si>
  <si>
    <t>Actual USD</t>
  </si>
  <si>
    <t>Variance USD</t>
  </si>
  <si>
    <t>Variance Pct</t>
  </si>
  <si>
    <t>Key</t>
  </si>
  <si>
    <t>Row Labels</t>
  </si>
  <si>
    <t>Grand Total</t>
  </si>
  <si>
    <t>Sum of Budget USD</t>
  </si>
  <si>
    <t>Sum of Actual USD</t>
  </si>
  <si>
    <t>Sum of Variance USD</t>
  </si>
  <si>
    <t>Finance20244</t>
  </si>
  <si>
    <t>IT20242</t>
  </si>
  <si>
    <t>IT20251</t>
  </si>
  <si>
    <t>Marketing20242</t>
  </si>
  <si>
    <t>Marketing20243</t>
  </si>
  <si>
    <t>Marketing20244</t>
  </si>
  <si>
    <t>Marketing20252</t>
  </si>
  <si>
    <t>Operations20241</t>
  </si>
  <si>
    <t>Operations20244</t>
  </si>
  <si>
    <t>Sales20242</t>
  </si>
  <si>
    <t>Corporate Budget Variance Analysis - Fy 2024-2025</t>
  </si>
  <si>
    <t>Amount USD</t>
  </si>
  <si>
    <t>Sum of Amount USD</t>
  </si>
  <si>
    <t>Blank cells in Budget</t>
  </si>
  <si>
    <t>Duplicate GLIDs</t>
  </si>
  <si>
    <t>Dept names match (bud vs led)</t>
  </si>
  <si>
    <t>Max Debit USD</t>
  </si>
  <si>
    <t>Min Debit USD</t>
  </si>
  <si>
    <t>Average Debit USD</t>
  </si>
  <si>
    <t>Key Insights — Corporate Budget Variance Analysis</t>
  </si>
  <si>
    <t>1. Departments consistently underspend against budget</t>
  </si>
  <si>
    <t>2. Actual spend is stable regardless of budget fluctuation</t>
  </si>
  <si>
    <t>3. Operations Q4 2024 shows the largest single variance</t>
  </si>
  <si>
    <t>4. Travel is the leading expense claim category</t>
  </si>
  <si>
    <r>
      <rPr>
        <b/>
        <i/>
        <sz val="11"/>
        <color theme="1"/>
        <rFont val="Aptos Narrow"/>
        <family val="2"/>
        <scheme val="minor"/>
      </rPr>
      <t>Business Question</t>
    </r>
    <r>
      <rPr>
        <i/>
        <sz val="11"/>
        <color theme="1"/>
        <rFont val="Aptos Narrow"/>
        <family val="2"/>
        <scheme val="minor"/>
      </rPr>
      <t>:</t>
    </r>
    <r>
      <rPr>
        <sz val="11"/>
        <color theme="1"/>
        <rFont val="Aptos Narrow"/>
        <family val="2"/>
        <scheme val="minor"/>
      </rPr>
      <t xml:space="preserve"> Are departments spending in line with their approved budgets?</t>
    </r>
  </si>
  <si>
    <r>
      <rPr>
        <b/>
        <i/>
        <sz val="11"/>
        <color theme="1"/>
        <rFont val="Aptos Narrow"/>
        <family val="2"/>
        <scheme val="minor"/>
      </rPr>
      <t>Finding</t>
    </r>
    <r>
      <rPr>
        <i/>
        <sz val="11"/>
        <color theme="1"/>
        <rFont val="Aptos Narrow"/>
        <family val="2"/>
        <scheme val="minor"/>
      </rPr>
      <t>:</t>
    </r>
    <r>
      <rPr>
        <sz val="11"/>
        <color theme="1"/>
        <rFont val="Aptos Narrow"/>
        <family val="2"/>
        <scheme val="minor"/>
      </rPr>
      <t xml:space="preserve"> Across all 6 departments and both fiscal years, actual spend was consistently lower than budgeted, ranging from -22% to -88% variance in realized quarters.</t>
    </r>
  </si>
  <si>
    <r>
      <rPr>
        <b/>
        <sz val="11"/>
        <color theme="1"/>
        <rFont val="Aptos Narrow"/>
        <family val="2"/>
        <scheme val="minor"/>
      </rPr>
      <t xml:space="preserve">Insight: </t>
    </r>
    <r>
      <rPr>
        <sz val="11"/>
        <color theme="1"/>
        <rFont val="Aptos Narrow"/>
        <family val="2"/>
        <scheme val="minor"/>
      </rPr>
      <t>This may indicate over-conservative budgeting, delayed spending execution, or gaps between the budgeting process and the general ledger's expense categories. Recommend a review with department heads to validate assumptions</t>
    </r>
  </si>
  <si>
    <r>
      <rPr>
        <b/>
        <sz val="11"/>
        <color theme="1"/>
        <rFont val="Aptos Narrow"/>
        <family val="2"/>
        <scheme val="minor"/>
      </rPr>
      <t>Business Question</t>
    </r>
    <r>
      <rPr>
        <sz val="11"/>
        <color theme="1"/>
        <rFont val="Aptos Narrow"/>
        <family val="2"/>
        <scheme val="minor"/>
      </rPr>
      <t>: Does actual spending track budget changes over time?</t>
    </r>
  </si>
  <si>
    <r>
      <rPr>
        <b/>
        <sz val="11"/>
        <color theme="1"/>
        <rFont val="Aptos Narrow"/>
        <family val="2"/>
        <scheme val="minor"/>
      </rPr>
      <t>Finding:</t>
    </r>
    <r>
      <rPr>
        <sz val="11"/>
        <color theme="1"/>
        <rFont val="Aptos Narrow"/>
        <family val="2"/>
        <scheme val="minor"/>
      </rPr>
      <t xml:space="preserve"> While quarterly budgets varied significantly (from ~$330K to ~$580K company-wide), actual spend remained relatively flat (~$110K-$130K per quarter).</t>
    </r>
  </si>
  <si>
    <t>structure regardless of approved budget.</t>
  </si>
  <si>
    <r>
      <rPr>
        <b/>
        <sz val="11"/>
        <color theme="1"/>
        <rFont val="Aptos Narrow"/>
        <family val="2"/>
        <scheme val="minor"/>
      </rPr>
      <t>Insight</t>
    </r>
    <r>
      <rPr>
        <sz val="11"/>
        <color theme="1"/>
        <rFont val="Aptos Narrow"/>
        <family val="2"/>
        <scheme val="minor"/>
      </rPr>
      <t xml:space="preserve">: This decoupling suggests the budgeting process may not be grounded in realistic operational spend patterns, or that departments have a fairly fixed cost </t>
    </r>
  </si>
  <si>
    <r>
      <rPr>
        <b/>
        <sz val="11"/>
        <color theme="1"/>
        <rFont val="Aptos Narrow"/>
        <family val="2"/>
        <scheme val="minor"/>
      </rPr>
      <t>Business Question:</t>
    </r>
    <r>
      <rPr>
        <sz val="11"/>
        <color theme="1"/>
        <rFont val="Aptos Narrow"/>
        <family val="2"/>
        <scheme val="minor"/>
      </rPr>
      <t xml:space="preserve"> Which department/quarter combination represents the biggest planning gap?</t>
    </r>
  </si>
  <si>
    <r>
      <rPr>
        <b/>
        <sz val="11"/>
        <color theme="1"/>
        <rFont val="Aptos Narrow"/>
        <family val="2"/>
        <scheme val="minor"/>
      </rPr>
      <t>Finding</t>
    </r>
    <r>
      <rPr>
        <sz val="11"/>
        <color theme="1"/>
        <rFont val="Aptos Narrow"/>
        <family val="2"/>
        <scheme val="minor"/>
      </rPr>
      <t>: Operations Q4 2024 had the largest variance at -$129,846, followed by Marketing Q3 2024 (-$117,922).</t>
    </r>
  </si>
  <si>
    <r>
      <rPr>
        <b/>
        <sz val="11"/>
        <color theme="1"/>
        <rFont val="Aptos Narrow"/>
        <family val="2"/>
        <scheme val="minor"/>
      </rPr>
      <t xml:space="preserve">Insight: </t>
    </r>
    <r>
      <rPr>
        <sz val="11"/>
        <color theme="1"/>
        <rFont val="Aptos Narrow"/>
        <family val="2"/>
        <scheme val="minor"/>
      </rPr>
      <t xml:space="preserve">These two instances warrant prioritized investigation, as they represent the greatest financial planning gaps in the dataset and may point to one-time events </t>
    </r>
  </si>
  <si>
    <t>worth confirming with the department.</t>
  </si>
  <si>
    <r>
      <rPr>
        <b/>
        <sz val="11"/>
        <color theme="1"/>
        <rFont val="Aptos Narrow"/>
        <family val="2"/>
        <scheme val="minor"/>
      </rPr>
      <t>Business Question</t>
    </r>
    <r>
      <rPr>
        <sz val="11"/>
        <color theme="1"/>
        <rFont val="Aptos Narrow"/>
        <family val="2"/>
        <scheme val="minor"/>
      </rPr>
      <t>: Where is employee expense spend concentrated?</t>
    </r>
  </si>
  <si>
    <r>
      <rPr>
        <b/>
        <sz val="11"/>
        <color theme="1"/>
        <rFont val="Aptos Narrow"/>
        <family val="2"/>
        <scheme val="minor"/>
      </rPr>
      <t>Finding:</t>
    </r>
    <r>
      <rPr>
        <sz val="11"/>
        <color theme="1"/>
        <rFont val="Aptos Narrow"/>
        <family val="2"/>
        <scheme val="minor"/>
      </rPr>
      <t xml:space="preserve"> Of all employee expense claims submitted, Travel represents the largest share of total reimbursed amount, ahead of Meals, Supplies, Training, and Entertainment.</t>
    </r>
  </si>
  <si>
    <r>
      <rPr>
        <b/>
        <sz val="11"/>
        <color theme="1"/>
        <rFont val="Aptos Narrow"/>
        <family val="2"/>
        <scheme val="minor"/>
      </rPr>
      <t>Insight:</t>
    </r>
    <r>
      <rPr>
        <sz val="11"/>
        <color theme="1"/>
        <rFont val="Aptos Narrow"/>
        <family val="2"/>
        <scheme val="minor"/>
      </rPr>
      <t xml:space="preserve"> Travel policy and vendor negotiation may offer the highest-leverage cost-control opportunity among expense categories.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</si>
</sst>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Aptos Narrow"/>
      <family val="2"/>
      <scheme val="minor"/>
    </font>
    <font>
      <b/>
      <sz val="11"/>
      <color theme="1"/>
      <name val="Aptos Narrow"/>
      <family val="2"/>
      <scheme val="minor"/>
    </font>
    <font>
      <b/>
      <sz val="18"/>
      <color theme="3"/>
      <name val="Aptos Narrow"/>
      <family val="2"/>
      <scheme val="minor"/>
    </font>
    <font>
      <b/>
      <sz val="18"/>
      <color theme="0"/>
      <name val="Aptos Narrow"/>
      <family val="2"/>
      <scheme val="minor"/>
    </font>
    <font>
      <i/>
      <sz val="11"/>
      <color theme="1"/>
      <name val="Aptos Narrow"/>
      <family val="2"/>
      <scheme val="minor"/>
    </font>
    <font>
      <b/>
      <i/>
      <sz val="11"/>
      <color theme="1"/>
      <name val="Aptos Narrow"/>
      <family val="2"/>
      <scheme val="minor"/>
    </font>
    <font>
      <sz val="20"/>
      <color theme="0"/>
      <name val="Aptos Narrow"/>
      <family val="2"/>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xf numFmtId="0" fontId="0" fillId="0" borderId="0" xfId="0"/>
    <xf numFmtId="0" fontId="1" fillId="0" borderId="1" xfId="0" applyFont="1" applyBorder="1" applyAlignment="1">
      <alignment horizontal="center" vertical="top"/>
    </xf>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2" fillId="2" borderId="0" xfId="0" applyFont="1" applyFill="1" applyAlignment="1">
      <alignment horizontal="center"/>
    </xf>
    <xf numFmtId="0" fontId="3" fillId="2" borderId="0" xfId="0" applyFont="1" applyFill="1" applyAlignment="1">
      <alignment horizontal="center"/>
    </xf>
    <xf numFmtId="0" fontId="4" fillId="0" borderId="0" xfId="0" applyFont="1"/>
    <xf numFmtId="0" fontId="0" fillId="0" borderId="0" xfId="0" applyAlignment="1">
      <alignment wrapText="1"/>
    </xf>
    <xf numFmtId="0" fontId="0" fillId="0" borderId="0" xfId="0" applyAlignment="1">
      <alignment horizontal="center"/>
    </xf>
    <xf numFmtId="0" fontId="0" fillId="0" borderId="0" xfId="0" applyAlignment="1">
      <alignment wrapText="1"/>
    </xf>
    <xf numFmtId="0" fontId="6"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by Dept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solidFill>
                  <a:schemeClr val="tx2"/>
                </a:solidFill>
              </a:rPr>
              <a:t>Budget</a:t>
            </a:r>
            <a:r>
              <a:rPr lang="pt-BR" b="1" baseline="0">
                <a:solidFill>
                  <a:schemeClr val="tx2"/>
                </a:solidFill>
              </a:rPr>
              <a:t> vs Actual vs Variance by Department</a:t>
            </a:r>
            <a:endParaRPr lang="pt-BR"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by Dept '!$B$3</c:f>
              <c:strCache>
                <c:ptCount val="1"/>
                <c:pt idx="0">
                  <c:v>Sum of Budget USD</c:v>
                </c:pt>
              </c:strCache>
            </c:strRef>
          </c:tx>
          <c:spPr>
            <a:solidFill>
              <a:schemeClr val="accent1"/>
            </a:solidFill>
            <a:ln>
              <a:noFill/>
            </a:ln>
            <a:effectLst/>
          </c:spPr>
          <c:invertIfNegative val="0"/>
          <c:cat>
            <c:strRef>
              <c:f>'Pivot by Dept '!$A$4:$A$10</c:f>
              <c:strCache>
                <c:ptCount val="6"/>
                <c:pt idx="0">
                  <c:v>Finance</c:v>
                </c:pt>
                <c:pt idx="1">
                  <c:v>HR</c:v>
                </c:pt>
                <c:pt idx="2">
                  <c:v>IT</c:v>
                </c:pt>
                <c:pt idx="3">
                  <c:v>Marketing</c:v>
                </c:pt>
                <c:pt idx="4">
                  <c:v>Operations</c:v>
                </c:pt>
                <c:pt idx="5">
                  <c:v>Sales</c:v>
                </c:pt>
              </c:strCache>
            </c:strRef>
          </c:cat>
          <c:val>
            <c:numRef>
              <c:f>'Pivot by Dept '!$B$4:$B$10</c:f>
              <c:numCache>
                <c:formatCode>General</c:formatCode>
                <c:ptCount val="6"/>
                <c:pt idx="0">
                  <c:v>642803.77999999991</c:v>
                </c:pt>
                <c:pt idx="1">
                  <c:v>528395.82999999996</c:v>
                </c:pt>
                <c:pt idx="2">
                  <c:v>560662.26</c:v>
                </c:pt>
                <c:pt idx="3">
                  <c:v>812792.96000000008</c:v>
                </c:pt>
                <c:pt idx="4">
                  <c:v>479846.31</c:v>
                </c:pt>
                <c:pt idx="5">
                  <c:v>712383.88</c:v>
                </c:pt>
              </c:numCache>
            </c:numRef>
          </c:val>
          <c:extLst>
            <c:ext xmlns:c16="http://schemas.microsoft.com/office/drawing/2014/chart" uri="{C3380CC4-5D6E-409C-BE32-E72D297353CC}">
              <c16:uniqueId val="{00000000-0C9B-46F1-8DED-E72B37DE6B55}"/>
            </c:ext>
          </c:extLst>
        </c:ser>
        <c:ser>
          <c:idx val="1"/>
          <c:order val="1"/>
          <c:tx>
            <c:strRef>
              <c:f>'Pivot by Dept '!$C$3</c:f>
              <c:strCache>
                <c:ptCount val="1"/>
                <c:pt idx="0">
                  <c:v>Sum of Actual USD</c:v>
                </c:pt>
              </c:strCache>
            </c:strRef>
          </c:tx>
          <c:spPr>
            <a:solidFill>
              <a:schemeClr val="accent2"/>
            </a:solidFill>
            <a:ln>
              <a:noFill/>
            </a:ln>
            <a:effectLst/>
          </c:spPr>
          <c:invertIfNegative val="0"/>
          <c:cat>
            <c:strRef>
              <c:f>'Pivot by Dept '!$A$4:$A$10</c:f>
              <c:strCache>
                <c:ptCount val="6"/>
                <c:pt idx="0">
                  <c:v>Finance</c:v>
                </c:pt>
                <c:pt idx="1">
                  <c:v>HR</c:v>
                </c:pt>
                <c:pt idx="2">
                  <c:v>IT</c:v>
                </c:pt>
                <c:pt idx="3">
                  <c:v>Marketing</c:v>
                </c:pt>
                <c:pt idx="4">
                  <c:v>Operations</c:v>
                </c:pt>
                <c:pt idx="5">
                  <c:v>Sales</c:v>
                </c:pt>
              </c:strCache>
            </c:strRef>
          </c:cat>
          <c:val>
            <c:numRef>
              <c:f>'Pivot by Dept '!$C$4:$C$10</c:f>
              <c:numCache>
                <c:formatCode>General</c:formatCode>
                <c:ptCount val="6"/>
                <c:pt idx="0">
                  <c:v>134610.3731</c:v>
                </c:pt>
                <c:pt idx="1">
                  <c:v>120959.51579999999</c:v>
                </c:pt>
                <c:pt idx="2">
                  <c:v>123295.9768</c:v>
                </c:pt>
                <c:pt idx="3">
                  <c:v>128831.63620000001</c:v>
                </c:pt>
                <c:pt idx="4">
                  <c:v>97392.138299999991</c:v>
                </c:pt>
                <c:pt idx="5">
                  <c:v>116851.99709999999</c:v>
                </c:pt>
              </c:numCache>
            </c:numRef>
          </c:val>
          <c:extLst>
            <c:ext xmlns:c16="http://schemas.microsoft.com/office/drawing/2014/chart" uri="{C3380CC4-5D6E-409C-BE32-E72D297353CC}">
              <c16:uniqueId val="{00000001-0C9B-46F1-8DED-E72B37DE6B55}"/>
            </c:ext>
          </c:extLst>
        </c:ser>
        <c:ser>
          <c:idx val="2"/>
          <c:order val="2"/>
          <c:tx>
            <c:strRef>
              <c:f>'Pivot by Dept '!$D$3</c:f>
              <c:strCache>
                <c:ptCount val="1"/>
                <c:pt idx="0">
                  <c:v>Sum of Variance USD</c:v>
                </c:pt>
              </c:strCache>
            </c:strRef>
          </c:tx>
          <c:spPr>
            <a:solidFill>
              <a:schemeClr val="accent3"/>
            </a:solidFill>
            <a:ln>
              <a:noFill/>
            </a:ln>
            <a:effectLst/>
          </c:spPr>
          <c:invertIfNegative val="0"/>
          <c:cat>
            <c:strRef>
              <c:f>'Pivot by Dept '!$A$4:$A$10</c:f>
              <c:strCache>
                <c:ptCount val="6"/>
                <c:pt idx="0">
                  <c:v>Finance</c:v>
                </c:pt>
                <c:pt idx="1">
                  <c:v>HR</c:v>
                </c:pt>
                <c:pt idx="2">
                  <c:v>IT</c:v>
                </c:pt>
                <c:pt idx="3">
                  <c:v>Marketing</c:v>
                </c:pt>
                <c:pt idx="4">
                  <c:v>Operations</c:v>
                </c:pt>
                <c:pt idx="5">
                  <c:v>Sales</c:v>
                </c:pt>
              </c:strCache>
            </c:strRef>
          </c:cat>
          <c:val>
            <c:numRef>
              <c:f>'Pivot by Dept '!$D$4:$D$10</c:f>
              <c:numCache>
                <c:formatCode>General</c:formatCode>
                <c:ptCount val="6"/>
                <c:pt idx="0">
                  <c:v>-328414.92690000002</c:v>
                </c:pt>
                <c:pt idx="1">
                  <c:v>-196707.08420000001</c:v>
                </c:pt>
                <c:pt idx="2">
                  <c:v>-366689.9632</c:v>
                </c:pt>
                <c:pt idx="3">
                  <c:v>-478795.20380000002</c:v>
                </c:pt>
                <c:pt idx="4">
                  <c:v>-316341.09169999999</c:v>
                </c:pt>
                <c:pt idx="5">
                  <c:v>-368703.01289999997</c:v>
                </c:pt>
              </c:numCache>
            </c:numRef>
          </c:val>
          <c:extLst>
            <c:ext xmlns:c16="http://schemas.microsoft.com/office/drawing/2014/chart" uri="{C3380CC4-5D6E-409C-BE32-E72D297353CC}">
              <c16:uniqueId val="{00000002-0C9B-46F1-8DED-E72B37DE6B55}"/>
            </c:ext>
          </c:extLst>
        </c:ser>
        <c:dLbls>
          <c:showLegendKey val="0"/>
          <c:showVal val="0"/>
          <c:showCatName val="0"/>
          <c:showSerName val="0"/>
          <c:showPercent val="0"/>
          <c:showBubbleSize val="0"/>
        </c:dLbls>
        <c:gapWidth val="219"/>
        <c:overlap val="-27"/>
        <c:axId val="2103437824"/>
        <c:axId val="1944597792"/>
      </c:barChart>
      <c:catAx>
        <c:axId val="21034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44597792"/>
        <c:crosses val="autoZero"/>
        <c:auto val="1"/>
        <c:lblAlgn val="ctr"/>
        <c:lblOffset val="100"/>
        <c:noMultiLvlLbl val="0"/>
      </c:catAx>
      <c:valAx>
        <c:axId val="194459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0343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Trend!PivotTable2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solidFill>
                  <a:schemeClr val="tx2"/>
                </a:solidFill>
              </a:rPr>
              <a:t>Trend</a:t>
            </a:r>
            <a:r>
              <a:rPr lang="pt-BR" b="1" baseline="0">
                <a:solidFill>
                  <a:schemeClr val="tx2"/>
                </a:solidFill>
              </a:rPr>
              <a:t> by Quarter</a:t>
            </a:r>
            <a:endParaRPr lang="pt-BR"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Trend'!$B$3</c:f>
              <c:strCache>
                <c:ptCount val="1"/>
                <c:pt idx="0">
                  <c:v>Sum of Budget USD</c:v>
                </c:pt>
              </c:strCache>
            </c:strRef>
          </c:tx>
          <c:spPr>
            <a:ln w="28575" cap="rnd">
              <a:solidFill>
                <a:schemeClr val="accent1"/>
              </a:solidFill>
              <a:round/>
            </a:ln>
            <a:effectLst/>
          </c:spPr>
          <c:marker>
            <c:symbol val="none"/>
          </c:marker>
          <c:cat>
            <c:multiLvlStrRef>
              <c:f>'Pivot Trend'!$A$4:$A$14</c:f>
              <c:multiLvlStrCache>
                <c:ptCount val="8"/>
                <c:lvl>
                  <c:pt idx="0">
                    <c:v>1</c:v>
                  </c:pt>
                  <c:pt idx="1">
                    <c:v>2</c:v>
                  </c:pt>
                  <c:pt idx="2">
                    <c:v>3</c:v>
                  </c:pt>
                  <c:pt idx="3">
                    <c:v>4</c:v>
                  </c:pt>
                  <c:pt idx="4">
                    <c:v>1</c:v>
                  </c:pt>
                  <c:pt idx="5">
                    <c:v>2</c:v>
                  </c:pt>
                  <c:pt idx="6">
                    <c:v>3</c:v>
                  </c:pt>
                  <c:pt idx="7">
                    <c:v>4</c:v>
                  </c:pt>
                </c:lvl>
                <c:lvl>
                  <c:pt idx="0">
                    <c:v>2024</c:v>
                  </c:pt>
                  <c:pt idx="4">
                    <c:v>2025</c:v>
                  </c:pt>
                </c:lvl>
              </c:multiLvlStrCache>
            </c:multiLvlStrRef>
          </c:cat>
          <c:val>
            <c:numRef>
              <c:f>'Pivot Trend'!$B$4:$B$14</c:f>
              <c:numCache>
                <c:formatCode>General</c:formatCode>
                <c:ptCount val="8"/>
                <c:pt idx="0">
                  <c:v>338497.17</c:v>
                </c:pt>
                <c:pt idx="1">
                  <c:v>560141.43000000005</c:v>
                </c:pt>
                <c:pt idx="2">
                  <c:v>479210.88999999996</c:v>
                </c:pt>
                <c:pt idx="3">
                  <c:v>517610.13</c:v>
                </c:pt>
                <c:pt idx="4">
                  <c:v>498016.19000000006</c:v>
                </c:pt>
                <c:pt idx="5">
                  <c:v>384117.11000000004</c:v>
                </c:pt>
                <c:pt idx="6">
                  <c:v>458902.88</c:v>
                </c:pt>
                <c:pt idx="7">
                  <c:v>500389.22000000003</c:v>
                </c:pt>
              </c:numCache>
            </c:numRef>
          </c:val>
          <c:smooth val="0"/>
          <c:extLst>
            <c:ext xmlns:c16="http://schemas.microsoft.com/office/drawing/2014/chart" uri="{C3380CC4-5D6E-409C-BE32-E72D297353CC}">
              <c16:uniqueId val="{00000000-ECE4-4CA9-85A2-D79FC6E4133A}"/>
            </c:ext>
          </c:extLst>
        </c:ser>
        <c:ser>
          <c:idx val="1"/>
          <c:order val="1"/>
          <c:tx>
            <c:strRef>
              <c:f>'Pivot Trend'!$C$3</c:f>
              <c:strCache>
                <c:ptCount val="1"/>
                <c:pt idx="0">
                  <c:v>Sum of Actual USD</c:v>
                </c:pt>
              </c:strCache>
            </c:strRef>
          </c:tx>
          <c:spPr>
            <a:ln w="28575" cap="rnd">
              <a:solidFill>
                <a:schemeClr val="accent2"/>
              </a:solidFill>
              <a:round/>
            </a:ln>
            <a:effectLst/>
          </c:spPr>
          <c:marker>
            <c:symbol val="none"/>
          </c:marker>
          <c:cat>
            <c:multiLvlStrRef>
              <c:f>'Pivot Trend'!$A$4:$A$14</c:f>
              <c:multiLvlStrCache>
                <c:ptCount val="8"/>
                <c:lvl>
                  <c:pt idx="0">
                    <c:v>1</c:v>
                  </c:pt>
                  <c:pt idx="1">
                    <c:v>2</c:v>
                  </c:pt>
                  <c:pt idx="2">
                    <c:v>3</c:v>
                  </c:pt>
                  <c:pt idx="3">
                    <c:v>4</c:v>
                  </c:pt>
                  <c:pt idx="4">
                    <c:v>1</c:v>
                  </c:pt>
                  <c:pt idx="5">
                    <c:v>2</c:v>
                  </c:pt>
                  <c:pt idx="6">
                    <c:v>3</c:v>
                  </c:pt>
                  <c:pt idx="7">
                    <c:v>4</c:v>
                  </c:pt>
                </c:lvl>
                <c:lvl>
                  <c:pt idx="0">
                    <c:v>2024</c:v>
                  </c:pt>
                  <c:pt idx="4">
                    <c:v>2025</c:v>
                  </c:pt>
                </c:lvl>
              </c:multiLvlStrCache>
            </c:multiLvlStrRef>
          </c:cat>
          <c:val>
            <c:numRef>
              <c:f>'Pivot Trend'!$C$4:$C$14</c:f>
              <c:numCache>
                <c:formatCode>General</c:formatCode>
                <c:ptCount val="8"/>
                <c:pt idx="0">
                  <c:v>109562.54400000002</c:v>
                </c:pt>
                <c:pt idx="1">
                  <c:v>120315.59860000001</c:v>
                </c:pt>
                <c:pt idx="2">
                  <c:v>124011.0932</c:v>
                </c:pt>
                <c:pt idx="3">
                  <c:v>119648.44129999999</c:v>
                </c:pt>
                <c:pt idx="4">
                  <c:v>130913.61850000001</c:v>
                </c:pt>
                <c:pt idx="5">
                  <c:v>117490.34170000002</c:v>
                </c:pt>
                <c:pt idx="6">
                  <c:v>0</c:v>
                </c:pt>
                <c:pt idx="7">
                  <c:v>0</c:v>
                </c:pt>
              </c:numCache>
            </c:numRef>
          </c:val>
          <c:smooth val="0"/>
          <c:extLst>
            <c:ext xmlns:c16="http://schemas.microsoft.com/office/drawing/2014/chart" uri="{C3380CC4-5D6E-409C-BE32-E72D297353CC}">
              <c16:uniqueId val="{00000001-ECE4-4CA9-85A2-D79FC6E4133A}"/>
            </c:ext>
          </c:extLst>
        </c:ser>
        <c:dLbls>
          <c:showLegendKey val="0"/>
          <c:showVal val="0"/>
          <c:showCatName val="0"/>
          <c:showSerName val="0"/>
          <c:showPercent val="0"/>
          <c:showBubbleSize val="0"/>
        </c:dLbls>
        <c:smooth val="0"/>
        <c:axId val="292536400"/>
        <c:axId val="2083986624"/>
      </c:lineChart>
      <c:catAx>
        <c:axId val="29253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3986624"/>
        <c:crosses val="autoZero"/>
        <c:auto val="1"/>
        <c:lblAlgn val="ctr"/>
        <c:lblOffset val="100"/>
        <c:noMultiLvlLbl val="0"/>
      </c:catAx>
      <c:valAx>
        <c:axId val="208398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253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Ranking!PivotTable4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Top 10 Variances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Ranking'!$B$2</c:f>
              <c:strCache>
                <c:ptCount val="1"/>
                <c:pt idx="0">
                  <c:v>Total</c:v>
                </c:pt>
              </c:strCache>
            </c:strRef>
          </c:tx>
          <c:spPr>
            <a:solidFill>
              <a:schemeClr val="accent1"/>
            </a:solidFill>
            <a:ln>
              <a:noFill/>
            </a:ln>
            <a:effectLst/>
          </c:spPr>
          <c:invertIfNegative val="0"/>
          <c:cat>
            <c:strRef>
              <c:f>'Pivot Ranking'!$A$3:$A$13</c:f>
              <c:strCache>
                <c:ptCount val="10"/>
                <c:pt idx="0">
                  <c:v>Operations20244</c:v>
                </c:pt>
                <c:pt idx="1">
                  <c:v>Marketing20243</c:v>
                </c:pt>
                <c:pt idx="2">
                  <c:v>IT20242</c:v>
                </c:pt>
                <c:pt idx="3">
                  <c:v>Marketing20252</c:v>
                </c:pt>
                <c:pt idx="4">
                  <c:v>IT20251</c:v>
                </c:pt>
                <c:pt idx="5">
                  <c:v>Finance20244</c:v>
                </c:pt>
                <c:pt idx="6">
                  <c:v>Sales20242</c:v>
                </c:pt>
                <c:pt idx="7">
                  <c:v>Marketing20242</c:v>
                </c:pt>
                <c:pt idx="8">
                  <c:v>Marketing20244</c:v>
                </c:pt>
                <c:pt idx="9">
                  <c:v>Operations20241</c:v>
                </c:pt>
              </c:strCache>
            </c:strRef>
          </c:cat>
          <c:val>
            <c:numRef>
              <c:f>'Pivot Ranking'!$B$3:$B$13</c:f>
              <c:numCache>
                <c:formatCode>General</c:formatCode>
                <c:ptCount val="10"/>
                <c:pt idx="0">
                  <c:v>-129846.26999999999</c:v>
                </c:pt>
                <c:pt idx="1">
                  <c:v>-117922.49399999999</c:v>
                </c:pt>
                <c:pt idx="2">
                  <c:v>-100375.0668</c:v>
                </c:pt>
                <c:pt idx="3">
                  <c:v>-100140.0304</c:v>
                </c:pt>
                <c:pt idx="4">
                  <c:v>-97659.008199999997</c:v>
                </c:pt>
                <c:pt idx="5">
                  <c:v>-91744.671000000002</c:v>
                </c:pt>
                <c:pt idx="6">
                  <c:v>-91605.535499999998</c:v>
                </c:pt>
                <c:pt idx="7">
                  <c:v>-90034.007800000007</c:v>
                </c:pt>
                <c:pt idx="8">
                  <c:v>-86474.732600000003</c:v>
                </c:pt>
                <c:pt idx="9">
                  <c:v>-86125.210299999992</c:v>
                </c:pt>
              </c:numCache>
            </c:numRef>
          </c:val>
          <c:extLst>
            <c:ext xmlns:c16="http://schemas.microsoft.com/office/drawing/2014/chart" uri="{C3380CC4-5D6E-409C-BE32-E72D297353CC}">
              <c16:uniqueId val="{00000000-0B47-438C-A7F8-16C62FE4EE8F}"/>
            </c:ext>
          </c:extLst>
        </c:ser>
        <c:dLbls>
          <c:showLegendKey val="0"/>
          <c:showVal val="0"/>
          <c:showCatName val="0"/>
          <c:showSerName val="0"/>
          <c:showPercent val="0"/>
          <c:showBubbleSize val="0"/>
        </c:dLbls>
        <c:gapWidth val="182"/>
        <c:axId val="362679584"/>
        <c:axId val="1944592512"/>
      </c:barChart>
      <c:catAx>
        <c:axId val="362679584"/>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44592512"/>
        <c:crosses val="autoZero"/>
        <c:auto val="1"/>
        <c:lblAlgn val="ctr"/>
        <c:lblOffset val="100"/>
        <c:noMultiLvlLbl val="0"/>
      </c:catAx>
      <c:valAx>
        <c:axId val="1944592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267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ExpensebyCat!PivotTable6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Expense</a:t>
            </a:r>
            <a:r>
              <a:rPr lang="en-US" b="1" baseline="0">
                <a:solidFill>
                  <a:schemeClr val="tx2"/>
                </a:solidFill>
              </a:rPr>
              <a:t> by Category</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ExpensebyCat'!$B$3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A6-4C43-94D3-DE012654F0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A6-4C43-94D3-DE012654F0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A6-4C43-94D3-DE012654F0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A6-4C43-94D3-DE012654F0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A6-4C43-94D3-DE012654F0E6}"/>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A6-4C43-94D3-DE012654F0E6}"/>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A6-4C43-94D3-DE012654F0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ExpensebyCat'!$A$4:$A$6</c:f>
              <c:strCache>
                <c:ptCount val="2"/>
                <c:pt idx="0">
                  <c:v>Training</c:v>
                </c:pt>
                <c:pt idx="1">
                  <c:v>Travel</c:v>
                </c:pt>
              </c:strCache>
            </c:strRef>
          </c:cat>
          <c:val>
            <c:numRef>
              <c:f>'Pivot ExpensebyCat'!$B$4:$B$6</c:f>
              <c:numCache>
                <c:formatCode>General</c:formatCode>
                <c:ptCount val="2"/>
                <c:pt idx="0">
                  <c:v>72347.805599999992</c:v>
                </c:pt>
                <c:pt idx="1">
                  <c:v>74634.966899999999</c:v>
                </c:pt>
              </c:numCache>
            </c:numRef>
          </c:val>
          <c:extLst>
            <c:ext xmlns:c16="http://schemas.microsoft.com/office/drawing/2014/chart" uri="{C3380CC4-5D6E-409C-BE32-E72D297353CC}">
              <c16:uniqueId val="{0000000A-70A6-4C43-94D3-DE012654F0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by Dept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solidFill>
                  <a:schemeClr val="tx2"/>
                </a:solidFill>
              </a:rPr>
              <a:t>Budget</a:t>
            </a:r>
            <a:r>
              <a:rPr lang="pt-BR" b="1" baseline="0">
                <a:solidFill>
                  <a:schemeClr val="tx2"/>
                </a:solidFill>
              </a:rPr>
              <a:t> vs Actual vs Variance by Department</a:t>
            </a:r>
            <a:endParaRPr lang="pt-BR"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by Dept '!$B$3</c:f>
              <c:strCache>
                <c:ptCount val="1"/>
                <c:pt idx="0">
                  <c:v>Sum of Budget USD</c:v>
                </c:pt>
              </c:strCache>
            </c:strRef>
          </c:tx>
          <c:spPr>
            <a:solidFill>
              <a:schemeClr val="accent1"/>
            </a:solidFill>
            <a:ln>
              <a:noFill/>
            </a:ln>
            <a:effectLst/>
          </c:spPr>
          <c:invertIfNegative val="0"/>
          <c:cat>
            <c:strRef>
              <c:f>'Pivot by Dept '!$A$4:$A$10</c:f>
              <c:strCache>
                <c:ptCount val="6"/>
                <c:pt idx="0">
                  <c:v>Finance</c:v>
                </c:pt>
                <c:pt idx="1">
                  <c:v>HR</c:v>
                </c:pt>
                <c:pt idx="2">
                  <c:v>IT</c:v>
                </c:pt>
                <c:pt idx="3">
                  <c:v>Marketing</c:v>
                </c:pt>
                <c:pt idx="4">
                  <c:v>Operations</c:v>
                </c:pt>
                <c:pt idx="5">
                  <c:v>Sales</c:v>
                </c:pt>
              </c:strCache>
            </c:strRef>
          </c:cat>
          <c:val>
            <c:numRef>
              <c:f>'Pivot by Dept '!$B$4:$B$10</c:f>
              <c:numCache>
                <c:formatCode>General</c:formatCode>
                <c:ptCount val="6"/>
                <c:pt idx="0">
                  <c:v>642803.77999999991</c:v>
                </c:pt>
                <c:pt idx="1">
                  <c:v>528395.82999999996</c:v>
                </c:pt>
                <c:pt idx="2">
                  <c:v>560662.26</c:v>
                </c:pt>
                <c:pt idx="3">
                  <c:v>812792.96000000008</c:v>
                </c:pt>
                <c:pt idx="4">
                  <c:v>479846.31</c:v>
                </c:pt>
                <c:pt idx="5">
                  <c:v>712383.88</c:v>
                </c:pt>
              </c:numCache>
            </c:numRef>
          </c:val>
          <c:extLst>
            <c:ext xmlns:c16="http://schemas.microsoft.com/office/drawing/2014/chart" uri="{C3380CC4-5D6E-409C-BE32-E72D297353CC}">
              <c16:uniqueId val="{00000000-B330-4E62-A980-BB8CEDBA8A3F}"/>
            </c:ext>
          </c:extLst>
        </c:ser>
        <c:ser>
          <c:idx val="1"/>
          <c:order val="1"/>
          <c:tx>
            <c:strRef>
              <c:f>'Pivot by Dept '!$C$3</c:f>
              <c:strCache>
                <c:ptCount val="1"/>
                <c:pt idx="0">
                  <c:v>Sum of Actual USD</c:v>
                </c:pt>
              </c:strCache>
            </c:strRef>
          </c:tx>
          <c:spPr>
            <a:solidFill>
              <a:schemeClr val="accent2"/>
            </a:solidFill>
            <a:ln>
              <a:noFill/>
            </a:ln>
            <a:effectLst/>
          </c:spPr>
          <c:invertIfNegative val="0"/>
          <c:cat>
            <c:strRef>
              <c:f>'Pivot by Dept '!$A$4:$A$10</c:f>
              <c:strCache>
                <c:ptCount val="6"/>
                <c:pt idx="0">
                  <c:v>Finance</c:v>
                </c:pt>
                <c:pt idx="1">
                  <c:v>HR</c:v>
                </c:pt>
                <c:pt idx="2">
                  <c:v>IT</c:v>
                </c:pt>
                <c:pt idx="3">
                  <c:v>Marketing</c:v>
                </c:pt>
                <c:pt idx="4">
                  <c:v>Operations</c:v>
                </c:pt>
                <c:pt idx="5">
                  <c:v>Sales</c:v>
                </c:pt>
              </c:strCache>
            </c:strRef>
          </c:cat>
          <c:val>
            <c:numRef>
              <c:f>'Pivot by Dept '!$C$4:$C$10</c:f>
              <c:numCache>
                <c:formatCode>General</c:formatCode>
                <c:ptCount val="6"/>
                <c:pt idx="0">
                  <c:v>134610.3731</c:v>
                </c:pt>
                <c:pt idx="1">
                  <c:v>120959.51579999999</c:v>
                </c:pt>
                <c:pt idx="2">
                  <c:v>123295.9768</c:v>
                </c:pt>
                <c:pt idx="3">
                  <c:v>128831.63620000001</c:v>
                </c:pt>
                <c:pt idx="4">
                  <c:v>97392.138299999991</c:v>
                </c:pt>
                <c:pt idx="5">
                  <c:v>116851.99709999999</c:v>
                </c:pt>
              </c:numCache>
            </c:numRef>
          </c:val>
          <c:extLst>
            <c:ext xmlns:c16="http://schemas.microsoft.com/office/drawing/2014/chart" uri="{C3380CC4-5D6E-409C-BE32-E72D297353CC}">
              <c16:uniqueId val="{00000001-B330-4E62-A980-BB8CEDBA8A3F}"/>
            </c:ext>
          </c:extLst>
        </c:ser>
        <c:ser>
          <c:idx val="2"/>
          <c:order val="2"/>
          <c:tx>
            <c:strRef>
              <c:f>'Pivot by Dept '!$D$3</c:f>
              <c:strCache>
                <c:ptCount val="1"/>
                <c:pt idx="0">
                  <c:v>Sum of Variance USD</c:v>
                </c:pt>
              </c:strCache>
            </c:strRef>
          </c:tx>
          <c:spPr>
            <a:solidFill>
              <a:schemeClr val="accent3"/>
            </a:solidFill>
            <a:ln>
              <a:noFill/>
            </a:ln>
            <a:effectLst/>
          </c:spPr>
          <c:invertIfNegative val="0"/>
          <c:cat>
            <c:strRef>
              <c:f>'Pivot by Dept '!$A$4:$A$10</c:f>
              <c:strCache>
                <c:ptCount val="6"/>
                <c:pt idx="0">
                  <c:v>Finance</c:v>
                </c:pt>
                <c:pt idx="1">
                  <c:v>HR</c:v>
                </c:pt>
                <c:pt idx="2">
                  <c:v>IT</c:v>
                </c:pt>
                <c:pt idx="3">
                  <c:v>Marketing</c:v>
                </c:pt>
                <c:pt idx="4">
                  <c:v>Operations</c:v>
                </c:pt>
                <c:pt idx="5">
                  <c:v>Sales</c:v>
                </c:pt>
              </c:strCache>
            </c:strRef>
          </c:cat>
          <c:val>
            <c:numRef>
              <c:f>'Pivot by Dept '!$D$4:$D$10</c:f>
              <c:numCache>
                <c:formatCode>General</c:formatCode>
                <c:ptCount val="6"/>
                <c:pt idx="0">
                  <c:v>-328414.92690000002</c:v>
                </c:pt>
                <c:pt idx="1">
                  <c:v>-196707.08420000001</c:v>
                </c:pt>
                <c:pt idx="2">
                  <c:v>-366689.9632</c:v>
                </c:pt>
                <c:pt idx="3">
                  <c:v>-478795.20380000002</c:v>
                </c:pt>
                <c:pt idx="4">
                  <c:v>-316341.09169999999</c:v>
                </c:pt>
                <c:pt idx="5">
                  <c:v>-368703.01289999997</c:v>
                </c:pt>
              </c:numCache>
            </c:numRef>
          </c:val>
          <c:extLst>
            <c:ext xmlns:c16="http://schemas.microsoft.com/office/drawing/2014/chart" uri="{C3380CC4-5D6E-409C-BE32-E72D297353CC}">
              <c16:uniqueId val="{00000002-B330-4E62-A980-BB8CEDBA8A3F}"/>
            </c:ext>
          </c:extLst>
        </c:ser>
        <c:dLbls>
          <c:showLegendKey val="0"/>
          <c:showVal val="0"/>
          <c:showCatName val="0"/>
          <c:showSerName val="0"/>
          <c:showPercent val="0"/>
          <c:showBubbleSize val="0"/>
        </c:dLbls>
        <c:gapWidth val="219"/>
        <c:overlap val="-27"/>
        <c:axId val="2103437824"/>
        <c:axId val="1944597792"/>
      </c:barChart>
      <c:catAx>
        <c:axId val="21034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44597792"/>
        <c:crosses val="autoZero"/>
        <c:auto val="1"/>
        <c:lblAlgn val="ctr"/>
        <c:lblOffset val="100"/>
        <c:noMultiLvlLbl val="0"/>
      </c:catAx>
      <c:valAx>
        <c:axId val="194459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0343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Trend!PivotTable2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solidFill>
                  <a:schemeClr val="tx2"/>
                </a:solidFill>
              </a:rPr>
              <a:t>Trend</a:t>
            </a:r>
            <a:r>
              <a:rPr lang="pt-BR" b="1" baseline="0">
                <a:solidFill>
                  <a:schemeClr val="tx2"/>
                </a:solidFill>
              </a:rPr>
              <a:t> by Quarter</a:t>
            </a:r>
            <a:endParaRPr lang="pt-BR"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Trend'!$B$3</c:f>
              <c:strCache>
                <c:ptCount val="1"/>
                <c:pt idx="0">
                  <c:v>Sum of Budget USD</c:v>
                </c:pt>
              </c:strCache>
            </c:strRef>
          </c:tx>
          <c:spPr>
            <a:ln w="28575" cap="rnd">
              <a:solidFill>
                <a:schemeClr val="accent1"/>
              </a:solidFill>
              <a:round/>
            </a:ln>
            <a:effectLst/>
          </c:spPr>
          <c:marker>
            <c:symbol val="none"/>
          </c:marker>
          <c:cat>
            <c:multiLvlStrRef>
              <c:f>'Pivot Trend'!$A$4:$A$14</c:f>
              <c:multiLvlStrCache>
                <c:ptCount val="8"/>
                <c:lvl>
                  <c:pt idx="0">
                    <c:v>1</c:v>
                  </c:pt>
                  <c:pt idx="1">
                    <c:v>2</c:v>
                  </c:pt>
                  <c:pt idx="2">
                    <c:v>3</c:v>
                  </c:pt>
                  <c:pt idx="3">
                    <c:v>4</c:v>
                  </c:pt>
                  <c:pt idx="4">
                    <c:v>1</c:v>
                  </c:pt>
                  <c:pt idx="5">
                    <c:v>2</c:v>
                  </c:pt>
                  <c:pt idx="6">
                    <c:v>3</c:v>
                  </c:pt>
                  <c:pt idx="7">
                    <c:v>4</c:v>
                  </c:pt>
                </c:lvl>
                <c:lvl>
                  <c:pt idx="0">
                    <c:v>2024</c:v>
                  </c:pt>
                  <c:pt idx="4">
                    <c:v>2025</c:v>
                  </c:pt>
                </c:lvl>
              </c:multiLvlStrCache>
            </c:multiLvlStrRef>
          </c:cat>
          <c:val>
            <c:numRef>
              <c:f>'Pivot Trend'!$B$4:$B$14</c:f>
              <c:numCache>
                <c:formatCode>General</c:formatCode>
                <c:ptCount val="8"/>
                <c:pt idx="0">
                  <c:v>338497.17</c:v>
                </c:pt>
                <c:pt idx="1">
                  <c:v>560141.43000000005</c:v>
                </c:pt>
                <c:pt idx="2">
                  <c:v>479210.88999999996</c:v>
                </c:pt>
                <c:pt idx="3">
                  <c:v>517610.13</c:v>
                </c:pt>
                <c:pt idx="4">
                  <c:v>498016.19000000006</c:v>
                </c:pt>
                <c:pt idx="5">
                  <c:v>384117.11000000004</c:v>
                </c:pt>
                <c:pt idx="6">
                  <c:v>458902.88</c:v>
                </c:pt>
                <c:pt idx="7">
                  <c:v>500389.22000000003</c:v>
                </c:pt>
              </c:numCache>
            </c:numRef>
          </c:val>
          <c:smooth val="0"/>
          <c:extLst>
            <c:ext xmlns:c16="http://schemas.microsoft.com/office/drawing/2014/chart" uri="{C3380CC4-5D6E-409C-BE32-E72D297353CC}">
              <c16:uniqueId val="{00000000-0F48-478D-985C-6E3E5CC49A84}"/>
            </c:ext>
          </c:extLst>
        </c:ser>
        <c:ser>
          <c:idx val="1"/>
          <c:order val="1"/>
          <c:tx>
            <c:strRef>
              <c:f>'Pivot Trend'!$C$3</c:f>
              <c:strCache>
                <c:ptCount val="1"/>
                <c:pt idx="0">
                  <c:v>Sum of Actual USD</c:v>
                </c:pt>
              </c:strCache>
            </c:strRef>
          </c:tx>
          <c:spPr>
            <a:ln w="28575" cap="rnd">
              <a:solidFill>
                <a:schemeClr val="accent2"/>
              </a:solidFill>
              <a:round/>
            </a:ln>
            <a:effectLst/>
          </c:spPr>
          <c:marker>
            <c:symbol val="none"/>
          </c:marker>
          <c:cat>
            <c:multiLvlStrRef>
              <c:f>'Pivot Trend'!$A$4:$A$14</c:f>
              <c:multiLvlStrCache>
                <c:ptCount val="8"/>
                <c:lvl>
                  <c:pt idx="0">
                    <c:v>1</c:v>
                  </c:pt>
                  <c:pt idx="1">
                    <c:v>2</c:v>
                  </c:pt>
                  <c:pt idx="2">
                    <c:v>3</c:v>
                  </c:pt>
                  <c:pt idx="3">
                    <c:v>4</c:v>
                  </c:pt>
                  <c:pt idx="4">
                    <c:v>1</c:v>
                  </c:pt>
                  <c:pt idx="5">
                    <c:v>2</c:v>
                  </c:pt>
                  <c:pt idx="6">
                    <c:v>3</c:v>
                  </c:pt>
                  <c:pt idx="7">
                    <c:v>4</c:v>
                  </c:pt>
                </c:lvl>
                <c:lvl>
                  <c:pt idx="0">
                    <c:v>2024</c:v>
                  </c:pt>
                  <c:pt idx="4">
                    <c:v>2025</c:v>
                  </c:pt>
                </c:lvl>
              </c:multiLvlStrCache>
            </c:multiLvlStrRef>
          </c:cat>
          <c:val>
            <c:numRef>
              <c:f>'Pivot Trend'!$C$4:$C$14</c:f>
              <c:numCache>
                <c:formatCode>General</c:formatCode>
                <c:ptCount val="8"/>
                <c:pt idx="0">
                  <c:v>109562.54400000002</c:v>
                </c:pt>
                <c:pt idx="1">
                  <c:v>120315.59860000001</c:v>
                </c:pt>
                <c:pt idx="2">
                  <c:v>124011.0932</c:v>
                </c:pt>
                <c:pt idx="3">
                  <c:v>119648.44129999999</c:v>
                </c:pt>
                <c:pt idx="4">
                  <c:v>130913.61850000001</c:v>
                </c:pt>
                <c:pt idx="5">
                  <c:v>117490.34170000002</c:v>
                </c:pt>
                <c:pt idx="6">
                  <c:v>0</c:v>
                </c:pt>
                <c:pt idx="7">
                  <c:v>0</c:v>
                </c:pt>
              </c:numCache>
            </c:numRef>
          </c:val>
          <c:smooth val="0"/>
          <c:extLst>
            <c:ext xmlns:c16="http://schemas.microsoft.com/office/drawing/2014/chart" uri="{C3380CC4-5D6E-409C-BE32-E72D297353CC}">
              <c16:uniqueId val="{00000001-0F48-478D-985C-6E3E5CC49A84}"/>
            </c:ext>
          </c:extLst>
        </c:ser>
        <c:dLbls>
          <c:showLegendKey val="0"/>
          <c:showVal val="0"/>
          <c:showCatName val="0"/>
          <c:showSerName val="0"/>
          <c:showPercent val="0"/>
          <c:showBubbleSize val="0"/>
        </c:dLbls>
        <c:smooth val="0"/>
        <c:axId val="292536400"/>
        <c:axId val="2083986624"/>
      </c:lineChart>
      <c:catAx>
        <c:axId val="29253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3986624"/>
        <c:crosses val="autoZero"/>
        <c:auto val="1"/>
        <c:lblAlgn val="ctr"/>
        <c:lblOffset val="100"/>
        <c:noMultiLvlLbl val="0"/>
      </c:catAx>
      <c:valAx>
        <c:axId val="208398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9253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Ranking!PivotTable4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Top 10 Variances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Ranking'!$B$2</c:f>
              <c:strCache>
                <c:ptCount val="1"/>
                <c:pt idx="0">
                  <c:v>Total</c:v>
                </c:pt>
              </c:strCache>
            </c:strRef>
          </c:tx>
          <c:spPr>
            <a:solidFill>
              <a:schemeClr val="accent1"/>
            </a:solidFill>
            <a:ln>
              <a:noFill/>
            </a:ln>
            <a:effectLst/>
          </c:spPr>
          <c:invertIfNegative val="0"/>
          <c:cat>
            <c:strRef>
              <c:f>'Pivot Ranking'!$A$3:$A$13</c:f>
              <c:strCache>
                <c:ptCount val="10"/>
                <c:pt idx="0">
                  <c:v>Operations20244</c:v>
                </c:pt>
                <c:pt idx="1">
                  <c:v>Marketing20243</c:v>
                </c:pt>
                <c:pt idx="2">
                  <c:v>IT20242</c:v>
                </c:pt>
                <c:pt idx="3">
                  <c:v>Marketing20252</c:v>
                </c:pt>
                <c:pt idx="4">
                  <c:v>IT20251</c:v>
                </c:pt>
                <c:pt idx="5">
                  <c:v>Finance20244</c:v>
                </c:pt>
                <c:pt idx="6">
                  <c:v>Sales20242</c:v>
                </c:pt>
                <c:pt idx="7">
                  <c:v>Marketing20242</c:v>
                </c:pt>
                <c:pt idx="8">
                  <c:v>Marketing20244</c:v>
                </c:pt>
                <c:pt idx="9">
                  <c:v>Operations20241</c:v>
                </c:pt>
              </c:strCache>
            </c:strRef>
          </c:cat>
          <c:val>
            <c:numRef>
              <c:f>'Pivot Ranking'!$B$3:$B$13</c:f>
              <c:numCache>
                <c:formatCode>General</c:formatCode>
                <c:ptCount val="10"/>
                <c:pt idx="0">
                  <c:v>-129846.26999999999</c:v>
                </c:pt>
                <c:pt idx="1">
                  <c:v>-117922.49399999999</c:v>
                </c:pt>
                <c:pt idx="2">
                  <c:v>-100375.0668</c:v>
                </c:pt>
                <c:pt idx="3">
                  <c:v>-100140.0304</c:v>
                </c:pt>
                <c:pt idx="4">
                  <c:v>-97659.008199999997</c:v>
                </c:pt>
                <c:pt idx="5">
                  <c:v>-91744.671000000002</c:v>
                </c:pt>
                <c:pt idx="6">
                  <c:v>-91605.535499999998</c:v>
                </c:pt>
                <c:pt idx="7">
                  <c:v>-90034.007800000007</c:v>
                </c:pt>
                <c:pt idx="8">
                  <c:v>-86474.732600000003</c:v>
                </c:pt>
                <c:pt idx="9">
                  <c:v>-86125.210299999992</c:v>
                </c:pt>
              </c:numCache>
            </c:numRef>
          </c:val>
          <c:extLst>
            <c:ext xmlns:c16="http://schemas.microsoft.com/office/drawing/2014/chart" uri="{C3380CC4-5D6E-409C-BE32-E72D297353CC}">
              <c16:uniqueId val="{00000000-6F5D-4B6D-90A7-B8613F616131}"/>
            </c:ext>
          </c:extLst>
        </c:ser>
        <c:dLbls>
          <c:showLegendKey val="0"/>
          <c:showVal val="0"/>
          <c:showCatName val="0"/>
          <c:showSerName val="0"/>
          <c:showPercent val="0"/>
          <c:showBubbleSize val="0"/>
        </c:dLbls>
        <c:gapWidth val="182"/>
        <c:axId val="362679584"/>
        <c:axId val="1944592512"/>
      </c:barChart>
      <c:catAx>
        <c:axId val="362679584"/>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44592512"/>
        <c:crosses val="autoZero"/>
        <c:auto val="1"/>
        <c:lblAlgn val="ctr"/>
        <c:lblOffset val="100"/>
        <c:noMultiLvlLbl val="0"/>
      </c:catAx>
      <c:valAx>
        <c:axId val="1944592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267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304800</xdr:colOff>
      <xdr:row>16</xdr:row>
      <xdr:rowOff>76200</xdr:rowOff>
    </xdr:to>
    <xdr:graphicFrame macro="">
      <xdr:nvGraphicFramePr>
        <xdr:cNvPr id="2" name="Chart 1">
          <a:extLst>
            <a:ext uri="{FF2B5EF4-FFF2-40B4-BE49-F238E27FC236}">
              <a16:creationId xmlns:a16="http://schemas.microsoft.com/office/drawing/2014/main" id="{1386A636-41E4-43ED-B796-BB9F373DD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0</xdr:rowOff>
    </xdr:from>
    <xdr:to>
      <xdr:col>7</xdr:col>
      <xdr:colOff>304800</xdr:colOff>
      <xdr:row>31</xdr:row>
      <xdr:rowOff>76200</xdr:rowOff>
    </xdr:to>
    <xdr:graphicFrame macro="">
      <xdr:nvGraphicFramePr>
        <xdr:cNvPr id="3" name="Chart 2">
          <a:extLst>
            <a:ext uri="{FF2B5EF4-FFF2-40B4-BE49-F238E27FC236}">
              <a16:creationId xmlns:a16="http://schemas.microsoft.com/office/drawing/2014/main" id="{0024D2B8-624F-459A-8CE8-C02F4D358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xdr:row>
      <xdr:rowOff>0</xdr:rowOff>
    </xdr:from>
    <xdr:to>
      <xdr:col>15</xdr:col>
      <xdr:colOff>304800</xdr:colOff>
      <xdr:row>16</xdr:row>
      <xdr:rowOff>76200</xdr:rowOff>
    </xdr:to>
    <xdr:graphicFrame macro="">
      <xdr:nvGraphicFramePr>
        <xdr:cNvPr id="4" name="Chart 3">
          <a:extLst>
            <a:ext uri="{FF2B5EF4-FFF2-40B4-BE49-F238E27FC236}">
              <a16:creationId xmlns:a16="http://schemas.microsoft.com/office/drawing/2014/main" id="{46924896-9A2F-4BF1-BB54-442DEDFB4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17</xdr:row>
      <xdr:rowOff>0</xdr:rowOff>
    </xdr:from>
    <xdr:to>
      <xdr:col>15</xdr:col>
      <xdr:colOff>304800</xdr:colOff>
      <xdr:row>31</xdr:row>
      <xdr:rowOff>76200</xdr:rowOff>
    </xdr:to>
    <xdr:graphicFrame macro="">
      <xdr:nvGraphicFramePr>
        <xdr:cNvPr id="5" name="Chart 4">
          <a:extLst>
            <a:ext uri="{FF2B5EF4-FFF2-40B4-BE49-F238E27FC236}">
              <a16:creationId xmlns:a16="http://schemas.microsoft.com/office/drawing/2014/main" id="{D1D60A17-F41E-430B-BF76-429EC1276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9525</xdr:colOff>
      <xdr:row>1</xdr:row>
      <xdr:rowOff>180975</xdr:rowOff>
    </xdr:from>
    <xdr:to>
      <xdr:col>19</xdr:col>
      <xdr:colOff>9525</xdr:colOff>
      <xdr:row>13</xdr:row>
      <xdr:rowOff>0</xdr:rowOff>
    </xdr:to>
    <mc:AlternateContent xmlns:mc="http://schemas.openxmlformats.org/markup-compatibility/2006">
      <mc:Choice xmlns:a14="http://schemas.microsoft.com/office/drawing/2010/main" Requires="a14">
        <xdr:graphicFrame macro="">
          <xdr:nvGraphicFramePr>
            <xdr:cNvPr id="6" name="Dept">
              <a:extLst>
                <a:ext uri="{FF2B5EF4-FFF2-40B4-BE49-F238E27FC236}">
                  <a16:creationId xmlns:a16="http://schemas.microsoft.com/office/drawing/2014/main" id="{26BDC484-2393-4484-BC27-BC653AF8EEEB}"/>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dr:sp macro="" textlink="">
          <xdr:nvSpPr>
            <xdr:cNvPr id="0" name=""/>
            <xdr:cNvSpPr>
              <a:spLocks noTextEdit="1"/>
            </xdr:cNvSpPr>
          </xdr:nvSpPr>
          <xdr:spPr>
            <a:xfrm>
              <a:off x="9763125" y="485775"/>
              <a:ext cx="1828800" cy="210502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14</xdr:row>
      <xdr:rowOff>19050</xdr:rowOff>
    </xdr:from>
    <xdr:to>
      <xdr:col>19</xdr:col>
      <xdr:colOff>9525</xdr:colOff>
      <xdr:row>19</xdr:row>
      <xdr:rowOff>0</xdr:rowOff>
    </xdr:to>
    <mc:AlternateContent xmlns:mc="http://schemas.openxmlformats.org/markup-compatibility/2006">
      <mc:Choice xmlns:a14="http://schemas.microsoft.com/office/drawing/2010/main" Requires="a14">
        <xdr:graphicFrame macro="">
          <xdr:nvGraphicFramePr>
            <xdr:cNvPr id="8" name="Fiscal Year">
              <a:extLst>
                <a:ext uri="{FF2B5EF4-FFF2-40B4-BE49-F238E27FC236}">
                  <a16:creationId xmlns:a16="http://schemas.microsoft.com/office/drawing/2014/main" id="{6FC44D5B-474C-4D09-B41A-53070E1314B3}"/>
                </a:ext>
              </a:extLst>
            </xdr:cNvPr>
            <xdr:cNvGraphicFramePr/>
          </xdr:nvGraphicFramePr>
          <xdr:xfrm>
            <a:off x="0" y="0"/>
            <a:ext cx="0" cy="0"/>
          </xdr:xfrm>
          <a:graphic>
            <a:graphicData uri="http://schemas.microsoft.com/office/drawing/2010/slicer">
              <sle:slicer xmlns:sle="http://schemas.microsoft.com/office/drawing/2010/slicer" name="Fiscal Year"/>
            </a:graphicData>
          </a:graphic>
        </xdr:graphicFrame>
      </mc:Choice>
      <mc:Fallback>
        <xdr:sp macro="" textlink="">
          <xdr:nvSpPr>
            <xdr:cNvPr id="0" name=""/>
            <xdr:cNvSpPr>
              <a:spLocks noTextEdit="1"/>
            </xdr:cNvSpPr>
          </xdr:nvSpPr>
          <xdr:spPr>
            <a:xfrm>
              <a:off x="9763125" y="2800350"/>
              <a:ext cx="1828800" cy="93345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20</xdr:row>
      <xdr:rowOff>1</xdr:rowOff>
    </xdr:from>
    <xdr:to>
      <xdr:col>19</xdr:col>
      <xdr:colOff>0</xdr:colOff>
      <xdr:row>31</xdr:row>
      <xdr:rowOff>57151</xdr:rowOff>
    </xdr:to>
    <mc:AlternateContent xmlns:mc="http://schemas.openxmlformats.org/markup-compatibility/2006">
      <mc:Choice xmlns:a14="http://schemas.microsoft.com/office/drawing/2010/main" Requires="a14">
        <xdr:graphicFrame macro="">
          <xdr:nvGraphicFramePr>
            <xdr:cNvPr id="9" name="Quarter">
              <a:extLst>
                <a:ext uri="{FF2B5EF4-FFF2-40B4-BE49-F238E27FC236}">
                  <a16:creationId xmlns:a16="http://schemas.microsoft.com/office/drawing/2014/main" id="{33D61E9C-13FE-43A1-A4CD-474BD26E13B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9753600" y="3924301"/>
              <a:ext cx="1828800" cy="215265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52387</xdr:colOff>
      <xdr:row>11</xdr:row>
      <xdr:rowOff>4762</xdr:rowOff>
    </xdr:from>
    <xdr:to>
      <xdr:col>3</xdr:col>
      <xdr:colOff>1300162</xdr:colOff>
      <xdr:row>25</xdr:row>
      <xdr:rowOff>80962</xdr:rowOff>
    </xdr:to>
    <xdr:graphicFrame macro="">
      <xdr:nvGraphicFramePr>
        <xdr:cNvPr id="2" name="Chart 1">
          <a:extLst>
            <a:ext uri="{FF2B5EF4-FFF2-40B4-BE49-F238E27FC236}">
              <a16:creationId xmlns:a16="http://schemas.microsoft.com/office/drawing/2014/main" id="{07129801-31CB-4826-C665-5D17D2E09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xdr:colOff>
      <xdr:row>14</xdr:row>
      <xdr:rowOff>176212</xdr:rowOff>
    </xdr:from>
    <xdr:to>
      <xdr:col>5</xdr:col>
      <xdr:colOff>52387</xdr:colOff>
      <xdr:row>29</xdr:row>
      <xdr:rowOff>61912</xdr:rowOff>
    </xdr:to>
    <xdr:graphicFrame macro="">
      <xdr:nvGraphicFramePr>
        <xdr:cNvPr id="2" name="Chart 1">
          <a:extLst>
            <a:ext uri="{FF2B5EF4-FFF2-40B4-BE49-F238E27FC236}">
              <a16:creationId xmlns:a16="http://schemas.microsoft.com/office/drawing/2014/main" id="{B75FB981-0CAE-34C5-DA4E-7B20D8E35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23812</xdr:colOff>
      <xdr:row>14</xdr:row>
      <xdr:rowOff>23812</xdr:rowOff>
    </xdr:from>
    <xdr:to>
      <xdr:col>5</xdr:col>
      <xdr:colOff>366712</xdr:colOff>
      <xdr:row>28</xdr:row>
      <xdr:rowOff>100012</xdr:rowOff>
    </xdr:to>
    <xdr:graphicFrame macro="">
      <xdr:nvGraphicFramePr>
        <xdr:cNvPr id="3" name="Chart 2">
          <a:extLst>
            <a:ext uri="{FF2B5EF4-FFF2-40B4-BE49-F238E27FC236}">
              <a16:creationId xmlns:a16="http://schemas.microsoft.com/office/drawing/2014/main" id="{3F4F1628-A8F0-7A8A-3393-16A930A7B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aw_Buged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_Bugedt"/>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elle Almeida" refreshedDate="46212.713293981484" createdVersion="8" refreshedVersion="8" minRefreshableVersion="3" recordCount="48" xr:uid="{702811F6-FE76-42C5-8786-CE0775780483}">
  <cacheSource type="worksheet">
    <worksheetSource ref="A1:G49" sheet="Variance_Analysis"/>
  </cacheSource>
  <cacheFields count="7">
    <cacheField name="Fiscal Year" numFmtId="0">
      <sharedItems containsSemiMixedTypes="0" containsString="0" containsNumber="1" containsInteger="1" minValue="2024" maxValue="2025" count="2">
        <n v="2024"/>
        <n v="2025"/>
      </sharedItems>
    </cacheField>
    <cacheField name="Dept" numFmtId="0">
      <sharedItems count="6">
        <s v="Finance"/>
        <s v="HR"/>
        <s v="IT"/>
        <s v="Sales"/>
        <s v="Marketing"/>
        <s v="Operations"/>
      </sharedItems>
    </cacheField>
    <cacheField name="Quarter" numFmtId="0">
      <sharedItems containsSemiMixedTypes="0" containsString="0" containsNumber="1" containsInteger="1" minValue="1" maxValue="4" count="4">
        <n v="1"/>
        <n v="2"/>
        <n v="3"/>
        <n v="4"/>
      </sharedItems>
    </cacheField>
    <cacheField name="Budget USD" numFmtId="0">
      <sharedItems containsSemiMixedTypes="0" containsString="0" containsNumber="1" minValue="21211.21" maxValue="146937.60999999999"/>
    </cacheField>
    <cacheField name="Actual USD" numFmtId="0">
      <sharedItems containsSemiMixedTypes="0" containsString="0" containsNumber="1" minValue="0" maxValue="30844.409599999999"/>
    </cacheField>
    <cacheField name="Variance USD" numFmtId="0">
      <sharedItems containsMixedTypes="1" containsNumber="1" minValue="-129846.26999999999" maxValue="-6050.0282000000007"/>
    </cacheField>
    <cacheField name="Variance Pct" numFmtId="10">
      <sharedItems containsMixedTypes="1" containsNumber="1" minValue="-0.88368301349123624" maxValue="-0.22553817414088265"/>
    </cacheField>
  </cacheFields>
  <extLst>
    <ext xmlns:x14="http://schemas.microsoft.com/office/spreadsheetml/2009/9/main" uri="{725AE2AE-9491-48be-B2B4-4EB974FC3084}">
      <x14:pivotCacheDefinition pivotCacheId="5621690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elle Almeida" refreshedDate="46212.72919351852" createdVersion="8" refreshedVersion="8" minRefreshableVersion="3" recordCount="48" xr:uid="{E93B1294-9250-4625-B3C5-96358FCF7126}">
  <cacheSource type="worksheet">
    <worksheetSource ref="A1:H49" sheet="Variance_Analysis"/>
  </cacheSource>
  <cacheFields count="8">
    <cacheField name="Fiscal Year" numFmtId="0">
      <sharedItems containsSemiMixedTypes="0" containsString="0" containsNumber="1" containsInteger="1" minValue="2024" maxValue="2025"/>
    </cacheField>
    <cacheField name="Dept" numFmtId="0">
      <sharedItems count="6">
        <s v="Finance"/>
        <s v="HR"/>
        <s v="IT"/>
        <s v="Sales"/>
        <s v="Marketing"/>
        <s v="Operations"/>
      </sharedItems>
    </cacheField>
    <cacheField name="Quarter" numFmtId="0">
      <sharedItems containsSemiMixedTypes="0" containsString="0" containsNumber="1" containsInteger="1" minValue="1" maxValue="4" count="4">
        <n v="1"/>
        <n v="2"/>
        <n v="3"/>
        <n v="4"/>
      </sharedItems>
    </cacheField>
    <cacheField name="Budget USD" numFmtId="0">
      <sharedItems containsSemiMixedTypes="0" containsString="0" containsNumber="1" minValue="21211.21" maxValue="146937.60999999999"/>
    </cacheField>
    <cacheField name="Actual USD" numFmtId="0">
      <sharedItems containsSemiMixedTypes="0" containsString="0" containsNumber="1" minValue="0" maxValue="30844.409599999999"/>
    </cacheField>
    <cacheField name="Variance USD" numFmtId="0">
      <sharedItems containsMixedTypes="1" containsNumber="1" minValue="-129846.26999999999" maxValue="-6050.0282000000007"/>
    </cacheField>
    <cacheField name="Variance Pct" numFmtId="10">
      <sharedItems containsMixedTypes="1" containsNumber="1" minValue="-0.88368301349123624" maxValue="-0.22553817414088265"/>
    </cacheField>
    <cacheField name="Key" numFmtId="0">
      <sharedItems count="48">
        <s v="Finance20241"/>
        <s v="Finance20242"/>
        <s v="Finance20243"/>
        <s v="Finance20244"/>
        <s v="HR20241"/>
        <s v="HR20242"/>
        <s v="HR20243"/>
        <s v="HR20244"/>
        <s v="IT20241"/>
        <s v="IT20242"/>
        <s v="IT20243"/>
        <s v="IT20244"/>
        <s v="Sales20241"/>
        <s v="Sales20242"/>
        <s v="Sales20243"/>
        <s v="Sales20244"/>
        <s v="Marketing20241"/>
        <s v="Marketing20242"/>
        <s v="Marketing20243"/>
        <s v="Marketing20244"/>
        <s v="Operations20241"/>
        <s v="Operations20242"/>
        <s v="Operations20243"/>
        <s v="Operations20244"/>
        <s v="Finance20251"/>
        <s v="Finance20252"/>
        <s v="Finance20253"/>
        <s v="Finance20254"/>
        <s v="HR20251"/>
        <s v="HR20252"/>
        <s v="HR20253"/>
        <s v="HR20254"/>
        <s v="IT20251"/>
        <s v="IT20252"/>
        <s v="IT20253"/>
        <s v="IT20254"/>
        <s v="Sales20251"/>
        <s v="Sales20252"/>
        <s v="Sales20253"/>
        <s v="Sales20254"/>
        <s v="Marketing20251"/>
        <s v="Marketing20252"/>
        <s v="Marketing20253"/>
        <s v="Marketing20254"/>
        <s v="Operations20251"/>
        <s v="Operations20252"/>
        <s v="Operations20253"/>
        <s v="Operations20254"/>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elle Almeida" refreshedDate="46213.575540740741" createdVersion="8" refreshedVersion="8" minRefreshableVersion="3" recordCount="1000" xr:uid="{6EBB496A-1CC3-41D4-AC29-D1BCD4621F4B}">
  <cacheSource type="worksheet">
    <worksheetSource ref="A1:L1001" sheet="Raw_ExpenseClaims"/>
  </cacheSource>
  <cacheFields count="12">
    <cacheField name="ClaimID" numFmtId="0">
      <sharedItems/>
    </cacheField>
    <cacheField name="EmployeeID" numFmtId="0">
      <sharedItems/>
    </cacheField>
    <cacheField name="SubmitDate" numFmtId="164">
      <sharedItems containsSemiMixedTypes="0" containsNonDate="0" containsDate="1" containsString="0" minDate="2023-01-01T00:00:00" maxDate="2025-06-30T00:00:00"/>
    </cacheField>
    <cacheField name="Category" numFmtId="0">
      <sharedItems count="5">
        <s v="Supplies"/>
        <s v="Meals"/>
        <s v="Travel"/>
        <s v="Entertainment"/>
        <s v="Training"/>
      </sharedItems>
    </cacheField>
    <cacheField name="Description" numFmtId="0">
      <sharedItems/>
    </cacheField>
    <cacheField name="Amount" numFmtId="0">
      <sharedItems containsSemiMixedTypes="0" containsString="0" containsNumber="1" minValue="20.149999999999999" maxValue="798.77"/>
    </cacheField>
    <cacheField name="Currency" numFmtId="0">
      <sharedItems/>
    </cacheField>
    <cacheField name="Status" numFmtId="0">
      <sharedItems/>
    </cacheField>
    <cacheField name="ApprovedBy" numFmtId="0">
      <sharedItems/>
    </cacheField>
    <cacheField name="PayDate" numFmtId="0">
      <sharedItems containsNonDate="0" containsDate="1" containsString="0" containsBlank="1" minDate="2023-01-27T00:00:00" maxDate="2025-07-07T00:00:00"/>
    </cacheField>
    <cacheField name="Rate to USD" numFmtId="0">
      <sharedItems containsSemiMixedTypes="0" containsString="0" containsNumber="1" minValue="0.66" maxValue="1.27"/>
    </cacheField>
    <cacheField name="Amount USD" numFmtId="0">
      <sharedItems containsSemiMixedTypes="0" containsString="0" containsNumber="1" minValue="18.183" maxValue="1013.0790000000001"/>
    </cacheField>
  </cacheFields>
  <extLst>
    <ext xmlns:x14="http://schemas.microsoft.com/office/spreadsheetml/2009/9/main" uri="{725AE2AE-9491-48be-B2B4-4EB974FC3084}">
      <x14:pivotCacheDefinition pivotCacheId="1987337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n v="41215.19"/>
    <n v="20434.418200000004"/>
    <n v="-20780.771799999999"/>
    <n v="-0.50420177124016652"/>
  </r>
  <r>
    <x v="0"/>
    <x v="0"/>
    <x v="1"/>
    <n v="79918.89"/>
    <n v="16330.415700000003"/>
    <n v="-63588.474299999994"/>
    <n v="-0.79566263120020808"/>
  </r>
  <r>
    <x v="0"/>
    <x v="0"/>
    <x v="2"/>
    <n v="92014.18"/>
    <n v="19545.837499999998"/>
    <n v="-72468.342499999999"/>
    <n v="-0.78757798526270628"/>
  </r>
  <r>
    <x v="0"/>
    <x v="0"/>
    <x v="3"/>
    <n v="117680.6"/>
    <n v="25935.928999999996"/>
    <n v="-91744.671000000002"/>
    <n v="-0.77960743741959171"/>
  </r>
  <r>
    <x v="0"/>
    <x v="1"/>
    <x v="0"/>
    <n v="32925.71"/>
    <n v="22266.658600000002"/>
    <n v="-10659.051399999997"/>
    <n v="-0.32373034324848265"/>
  </r>
  <r>
    <x v="0"/>
    <x v="1"/>
    <x v="1"/>
    <n v="75074.820000000007"/>
    <n v="17292.030299999999"/>
    <n v="-57782.789700000008"/>
    <n v="-0.76966937383266454"/>
  </r>
  <r>
    <x v="0"/>
    <x v="1"/>
    <x v="2"/>
    <n v="42503.06"/>
    <n v="23462.161500000002"/>
    <n v="-19040.898499999996"/>
    <n v="-0.44798888597668018"/>
  </r>
  <r>
    <x v="0"/>
    <x v="1"/>
    <x v="3"/>
    <n v="31047.85"/>
    <n v="24045.374599999996"/>
    <n v="-7002.475400000003"/>
    <n v="-0.22553817414088265"/>
  </r>
  <r>
    <x v="0"/>
    <x v="2"/>
    <x v="0"/>
    <n v="26040.63"/>
    <n v="19990.6018"/>
    <n v="-6050.0282000000007"/>
    <n v="-0.23233033148583582"/>
  </r>
  <r>
    <x v="0"/>
    <x v="2"/>
    <x v="1"/>
    <n v="125902.24"/>
    <n v="25527.173200000005"/>
    <n v="-100375.0668"/>
    <n v="-0.79724607600309572"/>
  </r>
  <r>
    <x v="0"/>
    <x v="2"/>
    <x v="2"/>
    <n v="100055.73"/>
    <n v="18718.4794"/>
    <n v="-81337.250599999999"/>
    <n v="-0.81291946598160847"/>
  </r>
  <r>
    <x v="0"/>
    <x v="2"/>
    <x v="3"/>
    <n v="72786.960000000006"/>
    <n v="19587.604200000005"/>
    <n v="-53199.355800000005"/>
    <n v="-0.73089129976028677"/>
  </r>
  <r>
    <x v="0"/>
    <x v="3"/>
    <x v="0"/>
    <n v="93664.65"/>
    <n v="17270.640900000002"/>
    <n v="-76394.009099999996"/>
    <n v="-0.81561196353159915"/>
  </r>
  <r>
    <x v="0"/>
    <x v="3"/>
    <x v="1"/>
    <n v="115140.75"/>
    <n v="23535.214500000002"/>
    <n v="-91605.535499999998"/>
    <n v="-0.79559613342800006"/>
  </r>
  <r>
    <x v="0"/>
    <x v="3"/>
    <x v="2"/>
    <n v="73898.42"/>
    <n v="16899.9555"/>
    <n v="-56998.464500000002"/>
    <n v="-0.77130829725452865"/>
  </r>
  <r>
    <x v="0"/>
    <x v="3"/>
    <x v="3"/>
    <n v="46637.67"/>
    <n v="16943.486100000002"/>
    <n v="-29694.183899999996"/>
    <n v="-0.636699558532834"/>
  </r>
  <r>
    <x v="0"/>
    <x v="4"/>
    <x v="0"/>
    <n v="44332.15"/>
    <n v="15406.594800000001"/>
    <n v="-28925.555200000003"/>
    <n v="-0.65247354797816037"/>
  </r>
  <r>
    <x v="0"/>
    <x v="4"/>
    <x v="1"/>
    <n v="112743.3"/>
    <n v="22709.2922"/>
    <n v="-90034.007800000007"/>
    <n v="-0.79857523950425435"/>
  </r>
  <r>
    <x v="0"/>
    <x v="4"/>
    <x v="2"/>
    <n v="141475.81"/>
    <n v="23553.316000000006"/>
    <n v="-117922.49399999999"/>
    <n v="-0.83351700902083536"/>
  </r>
  <r>
    <x v="0"/>
    <x v="4"/>
    <x v="3"/>
    <n v="102519.44"/>
    <n v="16044.707399999998"/>
    <n v="-86474.732600000003"/>
    <n v="-0.84349595159708246"/>
  </r>
  <r>
    <x v="0"/>
    <x v="5"/>
    <x v="0"/>
    <n v="100318.84"/>
    <n v="14193.6297"/>
    <n v="-86125.210299999992"/>
    <n v="-0.85851481436587573"/>
  </r>
  <r>
    <x v="0"/>
    <x v="5"/>
    <x v="1"/>
    <n v="51361.43"/>
    <n v="14921.472699999997"/>
    <n v="-36439.957300000002"/>
    <n v="-0.70948097239504437"/>
  </r>
  <r>
    <x v="0"/>
    <x v="5"/>
    <x v="2"/>
    <n v="29263.69"/>
    <n v="21831.3433"/>
    <n v="-7432.3466999999982"/>
    <n v="-0.25397845247813922"/>
  </r>
  <r>
    <x v="0"/>
    <x v="5"/>
    <x v="3"/>
    <n v="146937.60999999999"/>
    <n v="17091.34"/>
    <n v="-129846.26999999999"/>
    <n v="-0.88368301349123624"/>
  </r>
  <r>
    <x v="1"/>
    <x v="0"/>
    <x v="0"/>
    <n v="70700.52"/>
    <n v="25125.474199999997"/>
    <n v="-45575.045800000007"/>
    <n v="-0.64462108340928759"/>
  </r>
  <r>
    <x v="1"/>
    <x v="0"/>
    <x v="1"/>
    <n v="61495.92"/>
    <n v="27238.298500000001"/>
    <n v="-34257.621499999994"/>
    <n v="-0.55707145287036919"/>
  </r>
  <r>
    <x v="1"/>
    <x v="0"/>
    <x v="2"/>
    <n v="55254.78"/>
    <n v="0"/>
    <s v="N/A"/>
    <s v="N/A"/>
  </r>
  <r>
    <x v="1"/>
    <x v="0"/>
    <x v="3"/>
    <n v="124523.7"/>
    <n v="0"/>
    <s v="N/A"/>
    <s v="N/A"/>
  </r>
  <r>
    <x v="1"/>
    <x v="1"/>
    <x v="0"/>
    <n v="81015.75"/>
    <n v="24308.4637"/>
    <n v="-56707.2863"/>
    <n v="-0.69995385218306316"/>
  </r>
  <r>
    <x v="1"/>
    <x v="1"/>
    <x v="1"/>
    <n v="55099.41"/>
    <n v="9584.8271000000022"/>
    <n v="-45514.582900000001"/>
    <n v="-0.82604483242198057"/>
  </r>
  <r>
    <x v="1"/>
    <x v="1"/>
    <x v="2"/>
    <n v="120462.05"/>
    <n v="0"/>
    <s v="N/A"/>
    <s v="N/A"/>
  </r>
  <r>
    <x v="1"/>
    <x v="1"/>
    <x v="3"/>
    <n v="90267.18"/>
    <n v="0"/>
    <s v="N/A"/>
    <s v="N/A"/>
  </r>
  <r>
    <x v="1"/>
    <x v="2"/>
    <x v="0"/>
    <n v="116604.87"/>
    <n v="18945.861799999999"/>
    <n v="-97659.008199999997"/>
    <n v="-0.83752083596508453"/>
  </r>
  <r>
    <x v="1"/>
    <x v="2"/>
    <x v="1"/>
    <n v="48595.51"/>
    <n v="20526.256400000006"/>
    <n v="-28069.253599999996"/>
    <n v="-0.5776100219958592"/>
  </r>
  <r>
    <x v="1"/>
    <x v="2"/>
    <x v="2"/>
    <n v="28599.200000000001"/>
    <n v="0"/>
    <s v="N/A"/>
    <s v="N/A"/>
  </r>
  <r>
    <x v="1"/>
    <x v="2"/>
    <x v="3"/>
    <n v="42077.120000000003"/>
    <n v="0"/>
    <s v="N/A"/>
    <s v="N/A"/>
  </r>
  <r>
    <x v="1"/>
    <x v="3"/>
    <x v="0"/>
    <n v="89482.9"/>
    <n v="24509.907199999998"/>
    <n v="-64972.992799999993"/>
    <n v="-0.72609395538141919"/>
  </r>
  <r>
    <x v="1"/>
    <x v="3"/>
    <x v="1"/>
    <n v="66730.62"/>
    <n v="17692.7929"/>
    <n v="-49037.827099999995"/>
    <n v="-0.73486245294888608"/>
  </r>
  <r>
    <x v="1"/>
    <x v="3"/>
    <x v="2"/>
    <n v="127969.04"/>
    <n v="0"/>
    <s v="N/A"/>
    <s v="N/A"/>
  </r>
  <r>
    <x v="1"/>
    <x v="3"/>
    <x v="3"/>
    <n v="98859.83"/>
    <n v="0"/>
    <s v="N/A"/>
    <s v="N/A"/>
  </r>
  <r>
    <x v="1"/>
    <x v="4"/>
    <x v="0"/>
    <n v="75571.7"/>
    <n v="20273.316199999997"/>
    <n v="-55298.383799999996"/>
    <n v="-0.73173401948083738"/>
  </r>
  <r>
    <x v="1"/>
    <x v="4"/>
    <x v="1"/>
    <n v="130984.44"/>
    <n v="30844.409599999999"/>
    <n v="-100140.0304"/>
    <n v="-0.76451852143659205"/>
  </r>
  <r>
    <x v="1"/>
    <x v="4"/>
    <x v="2"/>
    <n v="89085.04"/>
    <n v="0"/>
    <s v="N/A"/>
    <s v="N/A"/>
  </r>
  <r>
    <x v="1"/>
    <x v="4"/>
    <x v="3"/>
    <n v="116081.08"/>
    <n v="0"/>
    <s v="N/A"/>
    <s v="N/A"/>
  </r>
  <r>
    <x v="1"/>
    <x v="5"/>
    <x v="0"/>
    <n v="64640.45"/>
    <n v="17750.595400000002"/>
    <n v="-46889.854599999991"/>
    <n v="-0.72539492840783126"/>
  </r>
  <r>
    <x v="1"/>
    <x v="5"/>
    <x v="1"/>
    <n v="21211.21"/>
    <n v="11603.7572"/>
    <n v="-9607.4527999999991"/>
    <n v="-0.45294223196130723"/>
  </r>
  <r>
    <x v="1"/>
    <x v="5"/>
    <x v="2"/>
    <n v="37532.769999999997"/>
    <n v="0"/>
    <s v="N/A"/>
    <s v="N/A"/>
  </r>
  <r>
    <x v="1"/>
    <x v="5"/>
    <x v="3"/>
    <n v="28580.31"/>
    <n v="0"/>
    <s v="N/A"/>
    <s v="N/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2024"/>
    <x v="0"/>
    <x v="0"/>
    <n v="41215.19"/>
    <n v="20434.418200000004"/>
    <n v="-20780.771799999999"/>
    <n v="-0.50420177124016652"/>
    <x v="0"/>
  </r>
  <r>
    <n v="2024"/>
    <x v="0"/>
    <x v="1"/>
    <n v="79918.89"/>
    <n v="16330.415700000003"/>
    <n v="-63588.474299999994"/>
    <n v="-0.79566263120020808"/>
    <x v="1"/>
  </r>
  <r>
    <n v="2024"/>
    <x v="0"/>
    <x v="2"/>
    <n v="92014.18"/>
    <n v="19545.837499999998"/>
    <n v="-72468.342499999999"/>
    <n v="-0.78757798526270628"/>
    <x v="2"/>
  </r>
  <r>
    <n v="2024"/>
    <x v="0"/>
    <x v="3"/>
    <n v="117680.6"/>
    <n v="25935.928999999996"/>
    <n v="-91744.671000000002"/>
    <n v="-0.77960743741959171"/>
    <x v="3"/>
  </r>
  <r>
    <n v="2024"/>
    <x v="1"/>
    <x v="0"/>
    <n v="32925.71"/>
    <n v="22266.658600000002"/>
    <n v="-10659.051399999997"/>
    <n v="-0.32373034324848265"/>
    <x v="4"/>
  </r>
  <r>
    <n v="2024"/>
    <x v="1"/>
    <x v="1"/>
    <n v="75074.820000000007"/>
    <n v="17292.030299999999"/>
    <n v="-57782.789700000008"/>
    <n v="-0.76966937383266454"/>
    <x v="5"/>
  </r>
  <r>
    <n v="2024"/>
    <x v="1"/>
    <x v="2"/>
    <n v="42503.06"/>
    <n v="23462.161500000002"/>
    <n v="-19040.898499999996"/>
    <n v="-0.44798888597668018"/>
    <x v="6"/>
  </r>
  <r>
    <n v="2024"/>
    <x v="1"/>
    <x v="3"/>
    <n v="31047.85"/>
    <n v="24045.374599999996"/>
    <n v="-7002.475400000003"/>
    <n v="-0.22553817414088265"/>
    <x v="7"/>
  </r>
  <r>
    <n v="2024"/>
    <x v="2"/>
    <x v="0"/>
    <n v="26040.63"/>
    <n v="19990.6018"/>
    <n v="-6050.0282000000007"/>
    <n v="-0.23233033148583582"/>
    <x v="8"/>
  </r>
  <r>
    <n v="2024"/>
    <x v="2"/>
    <x v="1"/>
    <n v="125902.24"/>
    <n v="25527.173200000005"/>
    <n v="-100375.0668"/>
    <n v="-0.79724607600309572"/>
    <x v="9"/>
  </r>
  <r>
    <n v="2024"/>
    <x v="2"/>
    <x v="2"/>
    <n v="100055.73"/>
    <n v="18718.4794"/>
    <n v="-81337.250599999999"/>
    <n v="-0.81291946598160847"/>
    <x v="10"/>
  </r>
  <r>
    <n v="2024"/>
    <x v="2"/>
    <x v="3"/>
    <n v="72786.960000000006"/>
    <n v="19587.604200000005"/>
    <n v="-53199.355800000005"/>
    <n v="-0.73089129976028677"/>
    <x v="11"/>
  </r>
  <r>
    <n v="2024"/>
    <x v="3"/>
    <x v="0"/>
    <n v="93664.65"/>
    <n v="17270.640900000002"/>
    <n v="-76394.009099999996"/>
    <n v="-0.81561196353159915"/>
    <x v="12"/>
  </r>
  <r>
    <n v="2024"/>
    <x v="3"/>
    <x v="1"/>
    <n v="115140.75"/>
    <n v="23535.214500000002"/>
    <n v="-91605.535499999998"/>
    <n v="-0.79559613342800006"/>
    <x v="13"/>
  </r>
  <r>
    <n v="2024"/>
    <x v="3"/>
    <x v="2"/>
    <n v="73898.42"/>
    <n v="16899.9555"/>
    <n v="-56998.464500000002"/>
    <n v="-0.77130829725452865"/>
    <x v="14"/>
  </r>
  <r>
    <n v="2024"/>
    <x v="3"/>
    <x v="3"/>
    <n v="46637.67"/>
    <n v="16943.486100000002"/>
    <n v="-29694.183899999996"/>
    <n v="-0.636699558532834"/>
    <x v="15"/>
  </r>
  <r>
    <n v="2024"/>
    <x v="4"/>
    <x v="0"/>
    <n v="44332.15"/>
    <n v="15406.594800000001"/>
    <n v="-28925.555200000003"/>
    <n v="-0.65247354797816037"/>
    <x v="16"/>
  </r>
  <r>
    <n v="2024"/>
    <x v="4"/>
    <x v="1"/>
    <n v="112743.3"/>
    <n v="22709.2922"/>
    <n v="-90034.007800000007"/>
    <n v="-0.79857523950425435"/>
    <x v="17"/>
  </r>
  <r>
    <n v="2024"/>
    <x v="4"/>
    <x v="2"/>
    <n v="141475.81"/>
    <n v="23553.316000000006"/>
    <n v="-117922.49399999999"/>
    <n v="-0.83351700902083536"/>
    <x v="18"/>
  </r>
  <r>
    <n v="2024"/>
    <x v="4"/>
    <x v="3"/>
    <n v="102519.44"/>
    <n v="16044.707399999998"/>
    <n v="-86474.732600000003"/>
    <n v="-0.84349595159708246"/>
    <x v="19"/>
  </r>
  <r>
    <n v="2024"/>
    <x v="5"/>
    <x v="0"/>
    <n v="100318.84"/>
    <n v="14193.6297"/>
    <n v="-86125.210299999992"/>
    <n v="-0.85851481436587573"/>
    <x v="20"/>
  </r>
  <r>
    <n v="2024"/>
    <x v="5"/>
    <x v="1"/>
    <n v="51361.43"/>
    <n v="14921.472699999997"/>
    <n v="-36439.957300000002"/>
    <n v="-0.70948097239504437"/>
    <x v="21"/>
  </r>
  <r>
    <n v="2024"/>
    <x v="5"/>
    <x v="2"/>
    <n v="29263.69"/>
    <n v="21831.3433"/>
    <n v="-7432.3466999999982"/>
    <n v="-0.25397845247813922"/>
    <x v="22"/>
  </r>
  <r>
    <n v="2024"/>
    <x v="5"/>
    <x v="3"/>
    <n v="146937.60999999999"/>
    <n v="17091.34"/>
    <n v="-129846.26999999999"/>
    <n v="-0.88368301349123624"/>
    <x v="23"/>
  </r>
  <r>
    <n v="2025"/>
    <x v="0"/>
    <x v="0"/>
    <n v="70700.52"/>
    <n v="25125.474199999997"/>
    <n v="-45575.045800000007"/>
    <n v="-0.64462108340928759"/>
    <x v="24"/>
  </r>
  <r>
    <n v="2025"/>
    <x v="0"/>
    <x v="1"/>
    <n v="61495.92"/>
    <n v="27238.298500000001"/>
    <n v="-34257.621499999994"/>
    <n v="-0.55707145287036919"/>
    <x v="25"/>
  </r>
  <r>
    <n v="2025"/>
    <x v="0"/>
    <x v="2"/>
    <n v="55254.78"/>
    <n v="0"/>
    <s v="N/A"/>
    <s v="N/A"/>
    <x v="26"/>
  </r>
  <r>
    <n v="2025"/>
    <x v="0"/>
    <x v="3"/>
    <n v="124523.7"/>
    <n v="0"/>
    <s v="N/A"/>
    <s v="N/A"/>
    <x v="27"/>
  </r>
  <r>
    <n v="2025"/>
    <x v="1"/>
    <x v="0"/>
    <n v="81015.75"/>
    <n v="24308.4637"/>
    <n v="-56707.2863"/>
    <n v="-0.69995385218306316"/>
    <x v="28"/>
  </r>
  <r>
    <n v="2025"/>
    <x v="1"/>
    <x v="1"/>
    <n v="55099.41"/>
    <n v="9584.8271000000022"/>
    <n v="-45514.582900000001"/>
    <n v="-0.82604483242198057"/>
    <x v="29"/>
  </r>
  <r>
    <n v="2025"/>
    <x v="1"/>
    <x v="2"/>
    <n v="120462.05"/>
    <n v="0"/>
    <s v="N/A"/>
    <s v="N/A"/>
    <x v="30"/>
  </r>
  <r>
    <n v="2025"/>
    <x v="1"/>
    <x v="3"/>
    <n v="90267.18"/>
    <n v="0"/>
    <s v="N/A"/>
    <s v="N/A"/>
    <x v="31"/>
  </r>
  <r>
    <n v="2025"/>
    <x v="2"/>
    <x v="0"/>
    <n v="116604.87"/>
    <n v="18945.861799999999"/>
    <n v="-97659.008199999997"/>
    <n v="-0.83752083596508453"/>
    <x v="32"/>
  </r>
  <r>
    <n v="2025"/>
    <x v="2"/>
    <x v="1"/>
    <n v="48595.51"/>
    <n v="20526.256400000006"/>
    <n v="-28069.253599999996"/>
    <n v="-0.5776100219958592"/>
    <x v="33"/>
  </r>
  <r>
    <n v="2025"/>
    <x v="2"/>
    <x v="2"/>
    <n v="28599.200000000001"/>
    <n v="0"/>
    <s v="N/A"/>
    <s v="N/A"/>
    <x v="34"/>
  </r>
  <r>
    <n v="2025"/>
    <x v="2"/>
    <x v="3"/>
    <n v="42077.120000000003"/>
    <n v="0"/>
    <s v="N/A"/>
    <s v="N/A"/>
    <x v="35"/>
  </r>
  <r>
    <n v="2025"/>
    <x v="3"/>
    <x v="0"/>
    <n v="89482.9"/>
    <n v="24509.907199999998"/>
    <n v="-64972.992799999993"/>
    <n v="-0.72609395538141919"/>
    <x v="36"/>
  </r>
  <r>
    <n v="2025"/>
    <x v="3"/>
    <x v="1"/>
    <n v="66730.62"/>
    <n v="17692.7929"/>
    <n v="-49037.827099999995"/>
    <n v="-0.73486245294888608"/>
    <x v="37"/>
  </r>
  <r>
    <n v="2025"/>
    <x v="3"/>
    <x v="2"/>
    <n v="127969.04"/>
    <n v="0"/>
    <s v="N/A"/>
    <s v="N/A"/>
    <x v="38"/>
  </r>
  <r>
    <n v="2025"/>
    <x v="3"/>
    <x v="3"/>
    <n v="98859.83"/>
    <n v="0"/>
    <s v="N/A"/>
    <s v="N/A"/>
    <x v="39"/>
  </r>
  <r>
    <n v="2025"/>
    <x v="4"/>
    <x v="0"/>
    <n v="75571.7"/>
    <n v="20273.316199999997"/>
    <n v="-55298.383799999996"/>
    <n v="-0.73173401948083738"/>
    <x v="40"/>
  </r>
  <r>
    <n v="2025"/>
    <x v="4"/>
    <x v="1"/>
    <n v="130984.44"/>
    <n v="30844.409599999999"/>
    <n v="-100140.0304"/>
    <n v="-0.76451852143659205"/>
    <x v="41"/>
  </r>
  <r>
    <n v="2025"/>
    <x v="4"/>
    <x v="2"/>
    <n v="89085.04"/>
    <n v="0"/>
    <s v="N/A"/>
    <s v="N/A"/>
    <x v="42"/>
  </r>
  <r>
    <n v="2025"/>
    <x v="4"/>
    <x v="3"/>
    <n v="116081.08"/>
    <n v="0"/>
    <s v="N/A"/>
    <s v="N/A"/>
    <x v="43"/>
  </r>
  <r>
    <n v="2025"/>
    <x v="5"/>
    <x v="0"/>
    <n v="64640.45"/>
    <n v="17750.595400000002"/>
    <n v="-46889.854599999991"/>
    <n v="-0.72539492840783126"/>
    <x v="44"/>
  </r>
  <r>
    <n v="2025"/>
    <x v="5"/>
    <x v="1"/>
    <n v="21211.21"/>
    <n v="11603.7572"/>
    <n v="-9607.4527999999991"/>
    <n v="-0.45294223196130723"/>
    <x v="45"/>
  </r>
  <r>
    <n v="2025"/>
    <x v="5"/>
    <x v="2"/>
    <n v="37532.769999999997"/>
    <n v="0"/>
    <s v="N/A"/>
    <s v="N/A"/>
    <x v="46"/>
  </r>
  <r>
    <n v="2025"/>
    <x v="5"/>
    <x v="3"/>
    <n v="28580.31"/>
    <n v="0"/>
    <s v="N/A"/>
    <s v="N/A"/>
    <x v="4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L30000"/>
    <s v="E1084"/>
    <d v="2024-08-14T00:00:00"/>
    <x v="0"/>
    <s v="Travel expense"/>
    <n v="497.28"/>
    <s v="CAD"/>
    <s v="Paid"/>
    <s v="MgrC"/>
    <d v="2024-08-29T00:00:00"/>
    <n v="0.73"/>
    <n v="363.01439999999997"/>
  </r>
  <r>
    <s v="CL30001"/>
    <s v="E1087"/>
    <d v="2024-06-13T00:00:00"/>
    <x v="0"/>
    <s v="Travel expense"/>
    <n v="149.22"/>
    <s v="EUR"/>
    <s v="Submitted"/>
    <s v="MgrC"/>
    <m/>
    <n v="1.08"/>
    <n v="161.1576"/>
  </r>
  <r>
    <s v="CL30002"/>
    <s v="E1083"/>
    <d v="2023-09-17T00:00:00"/>
    <x v="1"/>
    <s v="Travel expense"/>
    <n v="465.42"/>
    <s v="GBP"/>
    <s v="Approved"/>
    <s v="MgrC"/>
    <m/>
    <n v="1.27"/>
    <n v="591.08339999999998"/>
  </r>
  <r>
    <s v="CL30003"/>
    <s v="E1080"/>
    <d v="2023-09-03T00:00:00"/>
    <x v="2"/>
    <s v="Travel expense"/>
    <n v="262.72000000000003"/>
    <s v="CAD"/>
    <s v="Paid"/>
    <s v="MgrC"/>
    <d v="2023-09-18T00:00:00"/>
    <n v="0.73"/>
    <n v="191.78560000000002"/>
  </r>
  <r>
    <s v="CL30004"/>
    <s v="E1040"/>
    <d v="2023-01-09T00:00:00"/>
    <x v="3"/>
    <s v="Travel expense"/>
    <n v="363.86"/>
    <s v="USD"/>
    <s v="Submitted"/>
    <s v="MgrB"/>
    <m/>
    <n v="1"/>
    <n v="363.86"/>
  </r>
  <r>
    <s v="CL30005"/>
    <s v="E1039"/>
    <d v="2024-07-28T00:00:00"/>
    <x v="2"/>
    <s v="Travel expense"/>
    <n v="760.13"/>
    <s v="AUD"/>
    <s v="Submitted"/>
    <s v="MgrC"/>
    <m/>
    <n v="0.66"/>
    <n v="501.68580000000003"/>
  </r>
  <r>
    <s v="CL30006"/>
    <s v="E1006"/>
    <d v="2023-11-18T00:00:00"/>
    <x v="2"/>
    <s v="Travel expense"/>
    <n v="134.1"/>
    <s v="GBP"/>
    <s v="Approved"/>
    <s v="MgrB"/>
    <m/>
    <n v="1.27"/>
    <n v="170.30699999999999"/>
  </r>
  <r>
    <s v="CL30007"/>
    <s v="E1109"/>
    <d v="2023-05-09T00:00:00"/>
    <x v="1"/>
    <s v="Travel expense"/>
    <n v="320.63"/>
    <s v="GBP"/>
    <s v="Approved"/>
    <s v="MgrB"/>
    <m/>
    <n v="1.27"/>
    <n v="407.20010000000002"/>
  </r>
  <r>
    <s v="CL30008"/>
    <s v="E1077"/>
    <d v="2025-06-19T00:00:00"/>
    <x v="0"/>
    <s v="Travel expense"/>
    <n v="247.74"/>
    <s v="EUR"/>
    <s v="Approved"/>
    <s v="MgrC"/>
    <m/>
    <n v="1.08"/>
    <n v="267.55920000000003"/>
  </r>
  <r>
    <s v="CL30009"/>
    <s v="E1013"/>
    <d v="2025-01-30T00:00:00"/>
    <x v="0"/>
    <s v="Travel expense"/>
    <n v="764.36"/>
    <s v="USD"/>
    <s v="Approved"/>
    <s v="MgrC"/>
    <m/>
    <n v="1"/>
    <n v="764.36"/>
  </r>
  <r>
    <s v="CL30010"/>
    <s v="E1106"/>
    <d v="2024-01-13T00:00:00"/>
    <x v="2"/>
    <s v="Travel expense"/>
    <n v="762.2"/>
    <s v="GBP"/>
    <s v="Paid"/>
    <s v="MgrB"/>
    <d v="2024-01-28T00:00:00"/>
    <n v="1.27"/>
    <n v="967.99400000000003"/>
  </r>
  <r>
    <s v="CL30011"/>
    <s v="E1065"/>
    <d v="2024-10-08T00:00:00"/>
    <x v="0"/>
    <s v="Travel expense"/>
    <n v="256.72000000000003"/>
    <s v="CAD"/>
    <s v="Submitted"/>
    <s v="MgrC"/>
    <m/>
    <n v="0.73"/>
    <n v="187.40560000000002"/>
  </r>
  <r>
    <s v="CL30012"/>
    <s v="E1021"/>
    <d v="2024-11-10T00:00:00"/>
    <x v="0"/>
    <s v="Travel expense"/>
    <n v="338.15"/>
    <s v="GBP"/>
    <s v="Submitted"/>
    <s v="MgrA"/>
    <m/>
    <n v="1.27"/>
    <n v="429.45049999999998"/>
  </r>
  <r>
    <s v="CL30013"/>
    <s v="E1058"/>
    <d v="2023-12-15T00:00:00"/>
    <x v="2"/>
    <s v="Travel expense"/>
    <n v="144.30000000000001"/>
    <s v="CAD"/>
    <s v="Submitted"/>
    <s v="MgrB"/>
    <m/>
    <n v="0.73"/>
    <n v="105.339"/>
  </r>
  <r>
    <s v="CL30014"/>
    <s v="E1068"/>
    <d v="2024-05-29T00:00:00"/>
    <x v="1"/>
    <s v="Travel expense"/>
    <n v="191.95"/>
    <s v="USD"/>
    <s v="Paid"/>
    <s v="MgrC"/>
    <d v="2024-06-13T00:00:00"/>
    <n v="1"/>
    <n v="191.95"/>
  </r>
  <r>
    <s v="CL30015"/>
    <s v="E1030"/>
    <d v="2023-09-15T00:00:00"/>
    <x v="3"/>
    <s v="Travel expense"/>
    <n v="742.94"/>
    <s v="USD"/>
    <s v="Submitted"/>
    <s v="MgrB"/>
    <m/>
    <n v="1"/>
    <n v="742.94"/>
  </r>
  <r>
    <s v="CL30016"/>
    <s v="E1056"/>
    <d v="2025-04-27T00:00:00"/>
    <x v="4"/>
    <s v="Travel expense"/>
    <n v="563.82000000000005"/>
    <s v="EUR"/>
    <s v="Rejected"/>
    <s v="MgrA"/>
    <m/>
    <n v="1.08"/>
    <n v="608.92560000000014"/>
  </r>
  <r>
    <s v="CL30017"/>
    <s v="E1091"/>
    <d v="2023-12-07T00:00:00"/>
    <x v="2"/>
    <s v="Travel expense"/>
    <n v="168.88"/>
    <s v="USD"/>
    <s v="Approved"/>
    <s v="MgrC"/>
    <m/>
    <n v="1"/>
    <n v="168.88"/>
  </r>
  <r>
    <s v="CL30018"/>
    <s v="E1047"/>
    <d v="2023-08-04T00:00:00"/>
    <x v="2"/>
    <s v="Travel expense"/>
    <n v="763.43"/>
    <s v="EUR"/>
    <s v="Rejected"/>
    <s v="MgrA"/>
    <m/>
    <n v="1.08"/>
    <n v="824.50440000000003"/>
  </r>
  <r>
    <s v="CL30019"/>
    <s v="E1046"/>
    <d v="2024-10-30T00:00:00"/>
    <x v="4"/>
    <s v="Travel expense"/>
    <n v="658.07"/>
    <s v="EUR"/>
    <s v="Paid"/>
    <s v="MgrB"/>
    <d v="2024-11-14T00:00:00"/>
    <n v="1.08"/>
    <n v="710.71560000000011"/>
  </r>
  <r>
    <s v="CL30020"/>
    <s v="E1058"/>
    <d v="2024-01-28T00:00:00"/>
    <x v="4"/>
    <s v="Travel expense"/>
    <n v="656.07"/>
    <s v="AUD"/>
    <s v="Paid"/>
    <s v="MgrB"/>
    <d v="2024-02-12T00:00:00"/>
    <n v="0.66"/>
    <n v="433.00620000000004"/>
  </r>
  <r>
    <s v="CL30021"/>
    <s v="E1100"/>
    <d v="2023-01-10T00:00:00"/>
    <x v="4"/>
    <s v="Travel expense"/>
    <n v="736.31"/>
    <s v="CAD"/>
    <s v="Rejected"/>
    <s v="MgrC"/>
    <m/>
    <n v="0.73"/>
    <n v="537.5062999999999"/>
  </r>
  <r>
    <s v="CL30022"/>
    <s v="E1037"/>
    <d v="2024-04-01T00:00:00"/>
    <x v="2"/>
    <s v="Travel expense"/>
    <n v="182.58"/>
    <s v="USD"/>
    <s v="Rejected"/>
    <s v="MgrA"/>
    <m/>
    <n v="1"/>
    <n v="182.58"/>
  </r>
  <r>
    <s v="CL30023"/>
    <s v="E1039"/>
    <d v="2023-05-16T00:00:00"/>
    <x v="3"/>
    <s v="Travel expense"/>
    <n v="265.19"/>
    <s v="USD"/>
    <s v="Submitted"/>
    <s v="MgrC"/>
    <m/>
    <n v="1"/>
    <n v="265.19"/>
  </r>
  <r>
    <s v="CL30024"/>
    <s v="E1040"/>
    <d v="2024-01-22T00:00:00"/>
    <x v="1"/>
    <s v="Travel expense"/>
    <n v="629.23"/>
    <s v="AUD"/>
    <s v="Submitted"/>
    <s v="MgrB"/>
    <m/>
    <n v="0.66"/>
    <n v="415.29180000000002"/>
  </r>
  <r>
    <s v="CL30025"/>
    <s v="E1103"/>
    <d v="2024-11-22T00:00:00"/>
    <x v="0"/>
    <s v="Travel expense"/>
    <n v="408.85"/>
    <s v="GBP"/>
    <s v="Paid"/>
    <s v="MgrB"/>
    <d v="2024-12-07T00:00:00"/>
    <n v="1.27"/>
    <n v="519.23950000000002"/>
  </r>
  <r>
    <s v="CL30026"/>
    <s v="E1056"/>
    <d v="2023-09-16T00:00:00"/>
    <x v="2"/>
    <s v="Travel expense"/>
    <n v="783.12"/>
    <s v="CAD"/>
    <s v="Rejected"/>
    <s v="MgrC"/>
    <m/>
    <n v="0.73"/>
    <n v="571.67759999999998"/>
  </r>
  <r>
    <s v="CL30027"/>
    <s v="E1067"/>
    <d v="2025-02-21T00:00:00"/>
    <x v="2"/>
    <s v="Travel expense"/>
    <n v="762.02"/>
    <s v="CAD"/>
    <s v="Approved"/>
    <s v="MgrB"/>
    <m/>
    <n v="0.73"/>
    <n v="556.27459999999996"/>
  </r>
  <r>
    <s v="CL30028"/>
    <s v="E1095"/>
    <d v="2023-04-26T00:00:00"/>
    <x v="0"/>
    <s v="Travel expense"/>
    <n v="158.06"/>
    <s v="EUR"/>
    <s v="Paid"/>
    <s v="MgrC"/>
    <d v="2023-05-11T00:00:00"/>
    <n v="1.08"/>
    <n v="170.70480000000001"/>
  </r>
  <r>
    <s v="CL30029"/>
    <s v="E1084"/>
    <d v="2023-04-22T00:00:00"/>
    <x v="0"/>
    <s v="Travel expense"/>
    <n v="218.44"/>
    <s v="EUR"/>
    <s v="Submitted"/>
    <s v="MgrB"/>
    <m/>
    <n v="1.08"/>
    <n v="235.91520000000003"/>
  </r>
  <r>
    <s v="CL30030"/>
    <s v="E1041"/>
    <d v="2023-10-26T00:00:00"/>
    <x v="0"/>
    <s v="Travel expense"/>
    <n v="682.85"/>
    <s v="USD"/>
    <s v="Submitted"/>
    <s v="MgrB"/>
    <m/>
    <n v="1"/>
    <n v="682.85"/>
  </r>
  <r>
    <s v="CL30031"/>
    <s v="E1073"/>
    <d v="2024-10-10T00:00:00"/>
    <x v="3"/>
    <s v="Travel expense"/>
    <n v="118.8"/>
    <s v="AUD"/>
    <s v="Approved"/>
    <s v="MgrC"/>
    <m/>
    <n v="0.66"/>
    <n v="78.408000000000001"/>
  </r>
  <r>
    <s v="CL30032"/>
    <s v="E1063"/>
    <d v="2025-06-29T00:00:00"/>
    <x v="3"/>
    <s v="Travel expense"/>
    <n v="101.52"/>
    <s v="USD"/>
    <s v="Rejected"/>
    <s v="MgrC"/>
    <m/>
    <n v="1"/>
    <n v="101.52"/>
  </r>
  <r>
    <s v="CL30033"/>
    <s v="E1119"/>
    <d v="2023-12-08T00:00:00"/>
    <x v="1"/>
    <s v="Travel expense"/>
    <n v="201.77"/>
    <s v="AUD"/>
    <s v="Paid"/>
    <s v="MgrB"/>
    <d v="2023-12-23T00:00:00"/>
    <n v="0.66"/>
    <n v="133.16820000000001"/>
  </r>
  <r>
    <s v="CL30034"/>
    <s v="E1106"/>
    <d v="2023-09-16T00:00:00"/>
    <x v="2"/>
    <s v="Travel expense"/>
    <n v="398.29"/>
    <s v="EUR"/>
    <s v="Rejected"/>
    <s v="MgrB"/>
    <m/>
    <n v="1.08"/>
    <n v="430.15320000000003"/>
  </r>
  <r>
    <s v="CL30035"/>
    <s v="E1050"/>
    <d v="2023-06-08T00:00:00"/>
    <x v="2"/>
    <s v="Travel expense"/>
    <n v="323.77"/>
    <s v="USD"/>
    <s v="Paid"/>
    <s v="MgrC"/>
    <d v="2023-06-23T00:00:00"/>
    <n v="1"/>
    <n v="323.77"/>
  </r>
  <r>
    <s v="CL30036"/>
    <s v="E1109"/>
    <d v="2024-06-25T00:00:00"/>
    <x v="4"/>
    <s v="Travel expense"/>
    <n v="639.22"/>
    <s v="USD"/>
    <s v="Submitted"/>
    <s v="MgrC"/>
    <m/>
    <n v="1"/>
    <n v="639.22"/>
  </r>
  <r>
    <s v="CL30037"/>
    <s v="E1005"/>
    <d v="2023-03-28T00:00:00"/>
    <x v="1"/>
    <s v="Travel expense"/>
    <n v="210.05"/>
    <s v="USD"/>
    <s v="Approved"/>
    <s v="MgrC"/>
    <m/>
    <n v="1"/>
    <n v="210.05"/>
  </r>
  <r>
    <s v="CL30038"/>
    <s v="E1001"/>
    <d v="2023-07-23T00:00:00"/>
    <x v="2"/>
    <s v="Travel expense"/>
    <n v="359.73"/>
    <s v="EUR"/>
    <s v="Submitted"/>
    <s v="MgrB"/>
    <m/>
    <n v="1.08"/>
    <n v="388.50840000000005"/>
  </r>
  <r>
    <s v="CL30039"/>
    <s v="E1036"/>
    <d v="2024-02-22T00:00:00"/>
    <x v="2"/>
    <s v="Travel expense"/>
    <n v="282.16000000000003"/>
    <s v="USD"/>
    <s v="Paid"/>
    <s v="MgrB"/>
    <d v="2024-03-08T00:00:00"/>
    <n v="1"/>
    <n v="282.16000000000003"/>
  </r>
  <r>
    <s v="CL30040"/>
    <s v="E1069"/>
    <d v="2024-11-28T00:00:00"/>
    <x v="0"/>
    <s v="Travel expense"/>
    <n v="131.02000000000001"/>
    <s v="GBP"/>
    <s v="Rejected"/>
    <s v="MgrB"/>
    <m/>
    <n v="1.27"/>
    <n v="166.39540000000002"/>
  </r>
  <r>
    <s v="CL30041"/>
    <s v="E1053"/>
    <d v="2023-08-24T00:00:00"/>
    <x v="2"/>
    <s v="Travel expense"/>
    <n v="431.46"/>
    <s v="AUD"/>
    <s v="Approved"/>
    <s v="MgrC"/>
    <m/>
    <n v="0.66"/>
    <n v="284.7636"/>
  </r>
  <r>
    <s v="CL30042"/>
    <s v="E1053"/>
    <d v="2024-03-13T00:00:00"/>
    <x v="4"/>
    <s v="Travel expense"/>
    <n v="177.1"/>
    <s v="GBP"/>
    <s v="Approved"/>
    <s v="MgrA"/>
    <m/>
    <n v="1.27"/>
    <n v="224.917"/>
  </r>
  <r>
    <s v="CL30043"/>
    <s v="E1048"/>
    <d v="2023-10-07T00:00:00"/>
    <x v="1"/>
    <s v="Travel expense"/>
    <n v="685.39"/>
    <s v="AUD"/>
    <s v="Rejected"/>
    <s v="MgrC"/>
    <m/>
    <n v="0.66"/>
    <n v="452.35739999999998"/>
  </r>
  <r>
    <s v="CL30044"/>
    <s v="E1057"/>
    <d v="2024-05-05T00:00:00"/>
    <x v="2"/>
    <s v="Travel expense"/>
    <n v="643.66999999999996"/>
    <s v="GBP"/>
    <s v="Paid"/>
    <s v="MgrC"/>
    <d v="2024-05-20T00:00:00"/>
    <n v="1.27"/>
    <n v="817.46089999999992"/>
  </r>
  <r>
    <s v="CL30045"/>
    <s v="E1048"/>
    <d v="2024-12-14T00:00:00"/>
    <x v="3"/>
    <s v="Travel expense"/>
    <n v="492"/>
    <s v="GBP"/>
    <s v="Approved"/>
    <s v="MgrC"/>
    <m/>
    <n v="1.27"/>
    <n v="624.84"/>
  </r>
  <r>
    <s v="CL30046"/>
    <s v="E1042"/>
    <d v="2023-01-15T00:00:00"/>
    <x v="3"/>
    <s v="Travel expense"/>
    <n v="97.94"/>
    <s v="USD"/>
    <s v="Approved"/>
    <s v="MgrA"/>
    <m/>
    <n v="1"/>
    <n v="97.94"/>
  </r>
  <r>
    <s v="CL30047"/>
    <s v="E1082"/>
    <d v="2024-10-14T00:00:00"/>
    <x v="3"/>
    <s v="Travel expense"/>
    <n v="229.16"/>
    <s v="GBP"/>
    <s v="Paid"/>
    <s v="MgrC"/>
    <d v="2024-10-29T00:00:00"/>
    <n v="1.27"/>
    <n v="291.03320000000002"/>
  </r>
  <r>
    <s v="CL30048"/>
    <s v="E1022"/>
    <d v="2024-04-02T00:00:00"/>
    <x v="4"/>
    <s v="Travel expense"/>
    <n v="53.54"/>
    <s v="USD"/>
    <s v="Rejected"/>
    <s v="MgrB"/>
    <m/>
    <n v="1"/>
    <n v="53.54"/>
  </r>
  <r>
    <s v="CL30049"/>
    <s v="E1020"/>
    <d v="2025-03-06T00:00:00"/>
    <x v="2"/>
    <s v="Travel expense"/>
    <n v="387.83"/>
    <s v="CAD"/>
    <s v="Approved"/>
    <s v="MgrB"/>
    <m/>
    <n v="0.73"/>
    <n v="283.11589999999995"/>
  </r>
  <r>
    <s v="CL30050"/>
    <s v="E1098"/>
    <d v="2023-07-01T00:00:00"/>
    <x v="3"/>
    <s v="Travel expense"/>
    <n v="225.87"/>
    <s v="USD"/>
    <s v="Approved"/>
    <s v="MgrA"/>
    <m/>
    <n v="1"/>
    <n v="225.87"/>
  </r>
  <r>
    <s v="CL30051"/>
    <s v="E1112"/>
    <d v="2023-01-23T00:00:00"/>
    <x v="1"/>
    <s v="Travel expense"/>
    <n v="318.31"/>
    <s v="GBP"/>
    <s v="Submitted"/>
    <s v="MgrB"/>
    <m/>
    <n v="1.27"/>
    <n v="404.25369999999998"/>
  </r>
  <r>
    <s v="CL30052"/>
    <s v="E1069"/>
    <d v="2023-07-24T00:00:00"/>
    <x v="2"/>
    <s v="Travel expense"/>
    <n v="528.54999999999995"/>
    <s v="AUD"/>
    <s v="Paid"/>
    <s v="MgrC"/>
    <d v="2023-08-08T00:00:00"/>
    <n v="0.66"/>
    <n v="348.84299999999996"/>
  </r>
  <r>
    <s v="CL30053"/>
    <s v="E1068"/>
    <d v="2025-02-09T00:00:00"/>
    <x v="1"/>
    <s v="Travel expense"/>
    <n v="699.42"/>
    <s v="CAD"/>
    <s v="Submitted"/>
    <s v="MgrB"/>
    <m/>
    <n v="0.73"/>
    <n v="510.57659999999998"/>
  </r>
  <r>
    <s v="CL30054"/>
    <s v="E1116"/>
    <d v="2025-01-27T00:00:00"/>
    <x v="3"/>
    <s v="Travel expense"/>
    <n v="155.6"/>
    <s v="USD"/>
    <s v="Approved"/>
    <s v="MgrB"/>
    <m/>
    <n v="1"/>
    <n v="155.6"/>
  </r>
  <r>
    <s v="CL30055"/>
    <s v="E1055"/>
    <d v="2023-12-06T00:00:00"/>
    <x v="0"/>
    <s v="Travel expense"/>
    <n v="642.98"/>
    <s v="USD"/>
    <s v="Paid"/>
    <s v="MgrB"/>
    <d v="2023-12-21T00:00:00"/>
    <n v="1"/>
    <n v="642.98"/>
  </r>
  <r>
    <s v="CL30056"/>
    <s v="E1066"/>
    <d v="2023-02-09T00:00:00"/>
    <x v="2"/>
    <s v="Travel expense"/>
    <n v="231.54"/>
    <s v="USD"/>
    <s v="Approved"/>
    <s v="MgrB"/>
    <m/>
    <n v="1"/>
    <n v="231.54"/>
  </r>
  <r>
    <s v="CL30057"/>
    <s v="E1050"/>
    <d v="2024-07-18T00:00:00"/>
    <x v="3"/>
    <s v="Travel expense"/>
    <n v="184.95"/>
    <s v="USD"/>
    <s v="Paid"/>
    <s v="MgrB"/>
    <d v="2024-08-02T00:00:00"/>
    <n v="1"/>
    <n v="184.95"/>
  </r>
  <r>
    <s v="CL30058"/>
    <s v="E1094"/>
    <d v="2024-05-23T00:00:00"/>
    <x v="4"/>
    <s v="Travel expense"/>
    <n v="176.02"/>
    <s v="CAD"/>
    <s v="Submitted"/>
    <s v="MgrC"/>
    <m/>
    <n v="0.73"/>
    <n v="128.49459999999999"/>
  </r>
  <r>
    <s v="CL30059"/>
    <s v="E1091"/>
    <d v="2024-01-15T00:00:00"/>
    <x v="1"/>
    <s v="Travel expense"/>
    <n v="348.76"/>
    <s v="AUD"/>
    <s v="Approved"/>
    <s v="MgrA"/>
    <m/>
    <n v="0.66"/>
    <n v="230.1816"/>
  </r>
  <r>
    <s v="CL30060"/>
    <s v="E1095"/>
    <d v="2023-02-27T00:00:00"/>
    <x v="3"/>
    <s v="Travel expense"/>
    <n v="540.05999999999995"/>
    <s v="CAD"/>
    <s v="Paid"/>
    <s v="MgrB"/>
    <d v="2023-03-14T00:00:00"/>
    <n v="0.73"/>
    <n v="394.24379999999996"/>
  </r>
  <r>
    <s v="CL30061"/>
    <s v="E1054"/>
    <d v="2023-04-09T00:00:00"/>
    <x v="0"/>
    <s v="Travel expense"/>
    <n v="47.17"/>
    <s v="EUR"/>
    <s v="Paid"/>
    <s v="MgrA"/>
    <d v="2023-04-24T00:00:00"/>
    <n v="1.08"/>
    <n v="50.943600000000004"/>
  </r>
  <r>
    <s v="CL30062"/>
    <s v="E1040"/>
    <d v="2023-11-04T00:00:00"/>
    <x v="4"/>
    <s v="Travel expense"/>
    <n v="662.85"/>
    <s v="USD"/>
    <s v="Rejected"/>
    <s v="MgrB"/>
    <m/>
    <n v="1"/>
    <n v="662.85"/>
  </r>
  <r>
    <s v="CL30063"/>
    <s v="E1023"/>
    <d v="2023-02-01T00:00:00"/>
    <x v="0"/>
    <s v="Travel expense"/>
    <n v="404.69"/>
    <s v="AUD"/>
    <s v="Approved"/>
    <s v="MgrA"/>
    <m/>
    <n v="0.66"/>
    <n v="267.09539999999998"/>
  </r>
  <r>
    <s v="CL30064"/>
    <s v="E1043"/>
    <d v="2023-11-23T00:00:00"/>
    <x v="4"/>
    <s v="Travel expense"/>
    <n v="536.12"/>
    <s v="USD"/>
    <s v="Submitted"/>
    <s v="MgrB"/>
    <m/>
    <n v="1"/>
    <n v="536.12"/>
  </r>
  <r>
    <s v="CL30065"/>
    <s v="E1003"/>
    <d v="2024-07-18T00:00:00"/>
    <x v="3"/>
    <s v="Travel expense"/>
    <n v="588.82000000000005"/>
    <s v="EUR"/>
    <s v="Rejected"/>
    <s v="MgrA"/>
    <m/>
    <n v="1.08"/>
    <n v="635.92560000000014"/>
  </r>
  <r>
    <s v="CL30066"/>
    <s v="E1024"/>
    <d v="2024-11-11T00:00:00"/>
    <x v="1"/>
    <s v="Travel expense"/>
    <n v="391.97"/>
    <s v="USD"/>
    <s v="Rejected"/>
    <s v="MgrC"/>
    <m/>
    <n v="1"/>
    <n v="391.97"/>
  </r>
  <r>
    <s v="CL30067"/>
    <s v="E1092"/>
    <d v="2023-02-20T00:00:00"/>
    <x v="2"/>
    <s v="Travel expense"/>
    <n v="614.89"/>
    <s v="EUR"/>
    <s v="Paid"/>
    <s v="MgrC"/>
    <d v="2023-03-07T00:00:00"/>
    <n v="1.08"/>
    <n v="664.08120000000008"/>
  </r>
  <r>
    <s v="CL30068"/>
    <s v="E1054"/>
    <d v="2025-01-13T00:00:00"/>
    <x v="4"/>
    <s v="Travel expense"/>
    <n v="509.1"/>
    <s v="CAD"/>
    <s v="Approved"/>
    <s v="MgrA"/>
    <m/>
    <n v="0.73"/>
    <n v="371.64300000000003"/>
  </r>
  <r>
    <s v="CL30069"/>
    <s v="E1060"/>
    <d v="2024-12-08T00:00:00"/>
    <x v="0"/>
    <s v="Travel expense"/>
    <n v="57.6"/>
    <s v="USD"/>
    <s v="Paid"/>
    <s v="MgrA"/>
    <d v="2024-12-23T00:00:00"/>
    <n v="1"/>
    <n v="57.6"/>
  </r>
  <r>
    <s v="CL30070"/>
    <s v="E1116"/>
    <d v="2024-02-13T00:00:00"/>
    <x v="2"/>
    <s v="Travel expense"/>
    <n v="430.33"/>
    <s v="CAD"/>
    <s v="Approved"/>
    <s v="MgrA"/>
    <m/>
    <n v="0.73"/>
    <n v="314.14089999999999"/>
  </r>
  <r>
    <s v="CL30071"/>
    <s v="E1071"/>
    <d v="2024-12-06T00:00:00"/>
    <x v="4"/>
    <s v="Travel expense"/>
    <n v="36.85"/>
    <s v="USD"/>
    <s v="Approved"/>
    <s v="MgrC"/>
    <m/>
    <n v="1"/>
    <n v="36.85"/>
  </r>
  <r>
    <s v="CL30072"/>
    <s v="E1021"/>
    <d v="2023-06-17T00:00:00"/>
    <x v="4"/>
    <s v="Travel expense"/>
    <n v="781.78"/>
    <s v="GBP"/>
    <s v="Rejected"/>
    <s v="MgrA"/>
    <m/>
    <n v="1.27"/>
    <n v="992.86059999999998"/>
  </r>
  <r>
    <s v="CL30073"/>
    <s v="E1115"/>
    <d v="2023-02-17T00:00:00"/>
    <x v="3"/>
    <s v="Travel expense"/>
    <n v="314.82"/>
    <s v="EUR"/>
    <s v="Submitted"/>
    <s v="MgrC"/>
    <m/>
    <n v="1.08"/>
    <n v="340.00560000000002"/>
  </r>
  <r>
    <s v="CL30074"/>
    <s v="E1067"/>
    <d v="2023-11-27T00:00:00"/>
    <x v="4"/>
    <s v="Travel expense"/>
    <n v="688.72"/>
    <s v="CAD"/>
    <s v="Submitted"/>
    <s v="MgrB"/>
    <m/>
    <n v="0.73"/>
    <n v="502.76560000000001"/>
  </r>
  <r>
    <s v="CL30075"/>
    <s v="E1013"/>
    <d v="2023-03-19T00:00:00"/>
    <x v="1"/>
    <s v="Travel expense"/>
    <n v="207.18"/>
    <s v="GBP"/>
    <s v="Paid"/>
    <s v="MgrA"/>
    <d v="2023-04-03T00:00:00"/>
    <n v="1.27"/>
    <n v="263.11860000000001"/>
  </r>
  <r>
    <s v="CL30076"/>
    <s v="E1017"/>
    <d v="2024-11-03T00:00:00"/>
    <x v="0"/>
    <s v="Travel expense"/>
    <n v="224.43"/>
    <s v="GBP"/>
    <s v="Submitted"/>
    <s v="MgrB"/>
    <m/>
    <n v="1.27"/>
    <n v="285.02609999999999"/>
  </r>
  <r>
    <s v="CL30077"/>
    <s v="E1113"/>
    <d v="2023-01-05T00:00:00"/>
    <x v="4"/>
    <s v="Travel expense"/>
    <n v="387.38"/>
    <s v="CAD"/>
    <s v="Approved"/>
    <s v="MgrB"/>
    <m/>
    <n v="0.73"/>
    <n v="282.78739999999999"/>
  </r>
  <r>
    <s v="CL30078"/>
    <s v="E1042"/>
    <d v="2025-02-02T00:00:00"/>
    <x v="1"/>
    <s v="Travel expense"/>
    <n v="198.87"/>
    <s v="AUD"/>
    <s v="Submitted"/>
    <s v="MgrA"/>
    <m/>
    <n v="0.66"/>
    <n v="131.2542"/>
  </r>
  <r>
    <s v="CL30079"/>
    <s v="E1014"/>
    <d v="2023-11-25T00:00:00"/>
    <x v="1"/>
    <s v="Travel expense"/>
    <n v="650.79"/>
    <s v="EUR"/>
    <s v="Approved"/>
    <s v="MgrB"/>
    <m/>
    <n v="1.08"/>
    <n v="702.85320000000002"/>
  </r>
  <r>
    <s v="CL30080"/>
    <s v="E1075"/>
    <d v="2024-12-21T00:00:00"/>
    <x v="3"/>
    <s v="Travel expense"/>
    <n v="589.39"/>
    <s v="CAD"/>
    <s v="Approved"/>
    <s v="MgrA"/>
    <m/>
    <n v="0.73"/>
    <n v="430.25469999999996"/>
  </r>
  <r>
    <s v="CL30081"/>
    <s v="E1107"/>
    <d v="2023-10-22T00:00:00"/>
    <x v="0"/>
    <s v="Travel expense"/>
    <n v="119"/>
    <s v="USD"/>
    <s v="Approved"/>
    <s v="MgrC"/>
    <m/>
    <n v="1"/>
    <n v="119"/>
  </r>
  <r>
    <s v="CL30082"/>
    <s v="E1083"/>
    <d v="2023-06-10T00:00:00"/>
    <x v="3"/>
    <s v="Travel expense"/>
    <n v="373.33"/>
    <s v="USD"/>
    <s v="Submitted"/>
    <s v="MgrC"/>
    <m/>
    <n v="1"/>
    <n v="373.33"/>
  </r>
  <r>
    <s v="CL30083"/>
    <s v="E1073"/>
    <d v="2023-02-17T00:00:00"/>
    <x v="0"/>
    <s v="Travel expense"/>
    <n v="642.72"/>
    <s v="GBP"/>
    <s v="Approved"/>
    <s v="MgrC"/>
    <m/>
    <n v="1.27"/>
    <n v="816.25440000000003"/>
  </r>
  <r>
    <s v="CL30084"/>
    <s v="E1036"/>
    <d v="2023-05-08T00:00:00"/>
    <x v="2"/>
    <s v="Travel expense"/>
    <n v="303.82"/>
    <s v="GBP"/>
    <s v="Submitted"/>
    <s v="MgrC"/>
    <m/>
    <n v="1.27"/>
    <n v="385.85140000000001"/>
  </r>
  <r>
    <s v="CL30085"/>
    <s v="E1050"/>
    <d v="2024-03-25T00:00:00"/>
    <x v="1"/>
    <s v="Travel expense"/>
    <n v="219.81"/>
    <s v="USD"/>
    <s v="Submitted"/>
    <s v="MgrB"/>
    <m/>
    <n v="1"/>
    <n v="219.81"/>
  </r>
  <r>
    <s v="CL30086"/>
    <s v="E1055"/>
    <d v="2023-12-23T00:00:00"/>
    <x v="0"/>
    <s v="Travel expense"/>
    <n v="417.37"/>
    <s v="USD"/>
    <s v="Rejected"/>
    <s v="MgrA"/>
    <m/>
    <n v="1"/>
    <n v="417.37"/>
  </r>
  <r>
    <s v="CL30087"/>
    <s v="E1087"/>
    <d v="2025-05-20T00:00:00"/>
    <x v="3"/>
    <s v="Travel expense"/>
    <n v="413.5"/>
    <s v="CAD"/>
    <s v="Paid"/>
    <s v="MgrA"/>
    <d v="2025-06-04T00:00:00"/>
    <n v="0.73"/>
    <n v="301.85500000000002"/>
  </r>
  <r>
    <s v="CL30088"/>
    <s v="E1054"/>
    <d v="2024-06-22T00:00:00"/>
    <x v="0"/>
    <s v="Travel expense"/>
    <n v="138.9"/>
    <s v="CAD"/>
    <s v="Submitted"/>
    <s v="MgrA"/>
    <m/>
    <n v="0.73"/>
    <n v="101.39700000000001"/>
  </r>
  <r>
    <s v="CL30089"/>
    <s v="E1056"/>
    <d v="2025-06-13T00:00:00"/>
    <x v="3"/>
    <s v="Travel expense"/>
    <n v="759.59"/>
    <s v="EUR"/>
    <s v="Rejected"/>
    <s v="MgrB"/>
    <m/>
    <n v="1.08"/>
    <n v="820.35720000000003"/>
  </r>
  <r>
    <s v="CL30090"/>
    <s v="E1057"/>
    <d v="2023-12-26T00:00:00"/>
    <x v="4"/>
    <s v="Travel expense"/>
    <n v="776.86"/>
    <s v="USD"/>
    <s v="Submitted"/>
    <s v="MgrC"/>
    <m/>
    <n v="1"/>
    <n v="776.86"/>
  </r>
  <r>
    <s v="CL30091"/>
    <s v="E1013"/>
    <d v="2023-10-08T00:00:00"/>
    <x v="3"/>
    <s v="Travel expense"/>
    <n v="797.04"/>
    <s v="EUR"/>
    <s v="Paid"/>
    <s v="MgrC"/>
    <d v="2023-10-23T00:00:00"/>
    <n v="1.08"/>
    <n v="860.80320000000006"/>
  </r>
  <r>
    <s v="CL30092"/>
    <s v="E1013"/>
    <d v="2025-04-20T00:00:00"/>
    <x v="3"/>
    <s v="Travel expense"/>
    <n v="68.489999999999995"/>
    <s v="AUD"/>
    <s v="Submitted"/>
    <s v="MgrB"/>
    <m/>
    <n v="0.66"/>
    <n v="45.203400000000002"/>
  </r>
  <r>
    <s v="CL30093"/>
    <s v="E1026"/>
    <d v="2023-08-26T00:00:00"/>
    <x v="1"/>
    <s v="Travel expense"/>
    <n v="107.46"/>
    <s v="CAD"/>
    <s v="Rejected"/>
    <s v="MgrB"/>
    <m/>
    <n v="0.73"/>
    <n v="78.445799999999991"/>
  </r>
  <r>
    <s v="CL30094"/>
    <s v="E1013"/>
    <d v="2025-06-17T00:00:00"/>
    <x v="4"/>
    <s v="Travel expense"/>
    <n v="547.54"/>
    <s v="GBP"/>
    <s v="Submitted"/>
    <s v="MgrA"/>
    <m/>
    <n v="1.27"/>
    <n v="695.37579999999991"/>
  </r>
  <r>
    <s v="CL30095"/>
    <s v="E1071"/>
    <d v="2023-10-06T00:00:00"/>
    <x v="0"/>
    <s v="Travel expense"/>
    <n v="456.94"/>
    <s v="USD"/>
    <s v="Rejected"/>
    <s v="MgrB"/>
    <m/>
    <n v="1"/>
    <n v="456.94"/>
  </r>
  <r>
    <s v="CL30096"/>
    <s v="E1005"/>
    <d v="2024-08-08T00:00:00"/>
    <x v="2"/>
    <s v="Travel expense"/>
    <n v="796.01"/>
    <s v="EUR"/>
    <s v="Submitted"/>
    <s v="MgrB"/>
    <m/>
    <n v="1.08"/>
    <n v="859.69080000000008"/>
  </r>
  <r>
    <s v="CL30097"/>
    <s v="E1023"/>
    <d v="2023-11-01T00:00:00"/>
    <x v="2"/>
    <s v="Travel expense"/>
    <n v="336.83"/>
    <s v="GBP"/>
    <s v="Paid"/>
    <s v="MgrC"/>
    <d v="2023-11-16T00:00:00"/>
    <n v="1.27"/>
    <n v="427.77409999999998"/>
  </r>
  <r>
    <s v="CL30098"/>
    <s v="E1033"/>
    <d v="2024-05-16T00:00:00"/>
    <x v="0"/>
    <s v="Travel expense"/>
    <n v="655.66"/>
    <s v="EUR"/>
    <s v="Submitted"/>
    <s v="MgrA"/>
    <m/>
    <n v="1.08"/>
    <n v="708.11279999999999"/>
  </r>
  <r>
    <s v="CL30099"/>
    <s v="E1054"/>
    <d v="2023-10-13T00:00:00"/>
    <x v="4"/>
    <s v="Travel expense"/>
    <n v="707.49"/>
    <s v="AUD"/>
    <s v="Paid"/>
    <s v="MgrB"/>
    <d v="2023-10-28T00:00:00"/>
    <n v="0.66"/>
    <n v="466.94340000000005"/>
  </r>
  <r>
    <s v="CL30100"/>
    <s v="E1005"/>
    <d v="2024-06-12T00:00:00"/>
    <x v="4"/>
    <s v="Travel expense"/>
    <n v="791.32"/>
    <s v="USD"/>
    <s v="Approved"/>
    <s v="MgrA"/>
    <m/>
    <n v="1"/>
    <n v="791.32"/>
  </r>
  <r>
    <s v="CL30101"/>
    <s v="E1068"/>
    <d v="2024-05-02T00:00:00"/>
    <x v="1"/>
    <s v="Travel expense"/>
    <n v="716.82"/>
    <s v="CAD"/>
    <s v="Approved"/>
    <s v="MgrB"/>
    <m/>
    <n v="0.73"/>
    <n v="523.27859999999998"/>
  </r>
  <r>
    <s v="CL30102"/>
    <s v="E1104"/>
    <d v="2023-04-10T00:00:00"/>
    <x v="1"/>
    <s v="Travel expense"/>
    <n v="31.13"/>
    <s v="CAD"/>
    <s v="Submitted"/>
    <s v="MgrB"/>
    <m/>
    <n v="0.73"/>
    <n v="22.724899999999998"/>
  </r>
  <r>
    <s v="CL30103"/>
    <s v="E1032"/>
    <d v="2023-03-16T00:00:00"/>
    <x v="1"/>
    <s v="Travel expense"/>
    <n v="323.47000000000003"/>
    <s v="AUD"/>
    <s v="Approved"/>
    <s v="MgrC"/>
    <m/>
    <n v="0.66"/>
    <n v="213.49020000000002"/>
  </r>
  <r>
    <s v="CL30104"/>
    <s v="E1112"/>
    <d v="2023-06-08T00:00:00"/>
    <x v="4"/>
    <s v="Travel expense"/>
    <n v="562.12"/>
    <s v="GBP"/>
    <s v="Approved"/>
    <s v="MgrB"/>
    <m/>
    <n v="1.27"/>
    <n v="713.89240000000007"/>
  </r>
  <r>
    <s v="CL30105"/>
    <s v="E1067"/>
    <d v="2023-09-16T00:00:00"/>
    <x v="0"/>
    <s v="Travel expense"/>
    <n v="630.76"/>
    <s v="USD"/>
    <s v="Submitted"/>
    <s v="MgrA"/>
    <m/>
    <n v="1"/>
    <n v="630.76"/>
  </r>
  <r>
    <s v="CL30106"/>
    <s v="E1119"/>
    <d v="2025-01-19T00:00:00"/>
    <x v="4"/>
    <s v="Travel expense"/>
    <n v="131.05000000000001"/>
    <s v="AUD"/>
    <s v="Approved"/>
    <s v="MgrA"/>
    <m/>
    <n v="0.66"/>
    <n v="86.493000000000009"/>
  </r>
  <r>
    <s v="CL30107"/>
    <s v="E1115"/>
    <d v="2023-09-27T00:00:00"/>
    <x v="2"/>
    <s v="Travel expense"/>
    <n v="221.45"/>
    <s v="AUD"/>
    <s v="Rejected"/>
    <s v="MgrB"/>
    <m/>
    <n v="0.66"/>
    <n v="146.15700000000001"/>
  </r>
  <r>
    <s v="CL30108"/>
    <s v="E1077"/>
    <d v="2025-03-27T00:00:00"/>
    <x v="0"/>
    <s v="Travel expense"/>
    <n v="431.36"/>
    <s v="CAD"/>
    <s v="Rejected"/>
    <s v="MgrC"/>
    <m/>
    <n v="0.73"/>
    <n v="314.89280000000002"/>
  </r>
  <r>
    <s v="CL30109"/>
    <s v="E1088"/>
    <d v="2024-01-17T00:00:00"/>
    <x v="3"/>
    <s v="Travel expense"/>
    <n v="645.15"/>
    <s v="GBP"/>
    <s v="Approved"/>
    <s v="MgrC"/>
    <m/>
    <n v="1.27"/>
    <n v="819.34050000000002"/>
  </r>
  <r>
    <s v="CL30110"/>
    <s v="E1046"/>
    <d v="2023-11-11T00:00:00"/>
    <x v="4"/>
    <s v="Travel expense"/>
    <n v="195.96"/>
    <s v="EUR"/>
    <s v="Submitted"/>
    <s v="MgrA"/>
    <m/>
    <n v="1.08"/>
    <n v="211.63680000000002"/>
  </r>
  <r>
    <s v="CL30111"/>
    <s v="E1111"/>
    <d v="2024-01-30T00:00:00"/>
    <x v="3"/>
    <s v="Travel expense"/>
    <n v="496.1"/>
    <s v="CAD"/>
    <s v="Paid"/>
    <s v="MgrA"/>
    <d v="2024-02-14T00:00:00"/>
    <n v="0.73"/>
    <n v="362.15300000000002"/>
  </r>
  <r>
    <s v="CL30112"/>
    <s v="E1002"/>
    <d v="2025-06-19T00:00:00"/>
    <x v="2"/>
    <s v="Travel expense"/>
    <n v="274.33"/>
    <s v="GBP"/>
    <s v="Approved"/>
    <s v="MgrB"/>
    <m/>
    <n v="1.27"/>
    <n v="348.39909999999998"/>
  </r>
  <r>
    <s v="CL30113"/>
    <s v="E1113"/>
    <d v="2024-02-07T00:00:00"/>
    <x v="1"/>
    <s v="Travel expense"/>
    <n v="666.62"/>
    <s v="USD"/>
    <s v="Rejected"/>
    <s v="MgrC"/>
    <m/>
    <n v="1"/>
    <n v="666.62"/>
  </r>
  <r>
    <s v="CL30114"/>
    <s v="E1082"/>
    <d v="2024-03-24T00:00:00"/>
    <x v="4"/>
    <s v="Travel expense"/>
    <n v="684.94"/>
    <s v="CAD"/>
    <s v="Submitted"/>
    <s v="MgrB"/>
    <m/>
    <n v="0.73"/>
    <n v="500.00620000000004"/>
  </r>
  <r>
    <s v="CL30115"/>
    <s v="E1103"/>
    <d v="2023-01-03T00:00:00"/>
    <x v="4"/>
    <s v="Travel expense"/>
    <n v="454.39"/>
    <s v="CAD"/>
    <s v="Rejected"/>
    <s v="MgrC"/>
    <m/>
    <n v="0.73"/>
    <n v="331.7047"/>
  </r>
  <r>
    <s v="CL30116"/>
    <s v="E1003"/>
    <d v="2023-09-13T00:00:00"/>
    <x v="4"/>
    <s v="Travel expense"/>
    <n v="126.56"/>
    <s v="USD"/>
    <s v="Rejected"/>
    <s v="MgrB"/>
    <m/>
    <n v="1"/>
    <n v="126.56"/>
  </r>
  <r>
    <s v="CL30117"/>
    <s v="E1055"/>
    <d v="2023-04-10T00:00:00"/>
    <x v="0"/>
    <s v="Travel expense"/>
    <n v="216.88"/>
    <s v="AUD"/>
    <s v="Paid"/>
    <s v="MgrB"/>
    <d v="2023-04-25T00:00:00"/>
    <n v="0.66"/>
    <n v="143.14080000000001"/>
  </r>
  <r>
    <s v="CL30118"/>
    <s v="E1016"/>
    <d v="2025-01-30T00:00:00"/>
    <x v="0"/>
    <s v="Travel expense"/>
    <n v="382.72"/>
    <s v="USD"/>
    <s v="Paid"/>
    <s v="MgrB"/>
    <d v="2025-02-14T00:00:00"/>
    <n v="1"/>
    <n v="382.72"/>
  </r>
  <r>
    <s v="CL30119"/>
    <s v="E1008"/>
    <d v="2023-08-04T00:00:00"/>
    <x v="4"/>
    <s v="Travel expense"/>
    <n v="402.05"/>
    <s v="USD"/>
    <s v="Submitted"/>
    <s v="MgrB"/>
    <m/>
    <n v="1"/>
    <n v="402.05"/>
  </r>
  <r>
    <s v="CL30120"/>
    <s v="E1035"/>
    <d v="2024-11-28T00:00:00"/>
    <x v="2"/>
    <s v="Travel expense"/>
    <n v="80.36"/>
    <s v="CAD"/>
    <s v="Rejected"/>
    <s v="MgrB"/>
    <m/>
    <n v="0.73"/>
    <n v="58.662799999999997"/>
  </r>
  <r>
    <s v="CL30121"/>
    <s v="E1032"/>
    <d v="2023-09-29T00:00:00"/>
    <x v="4"/>
    <s v="Travel expense"/>
    <n v="308.88"/>
    <s v="USD"/>
    <s v="Approved"/>
    <s v="MgrB"/>
    <m/>
    <n v="1"/>
    <n v="308.88"/>
  </r>
  <r>
    <s v="CL30122"/>
    <s v="E1064"/>
    <d v="2023-07-03T00:00:00"/>
    <x v="0"/>
    <s v="Travel expense"/>
    <n v="536.16"/>
    <s v="EUR"/>
    <s v="Approved"/>
    <s v="MgrB"/>
    <m/>
    <n v="1.08"/>
    <n v="579.05280000000005"/>
  </r>
  <r>
    <s v="CL30123"/>
    <s v="E1046"/>
    <d v="2023-01-10T00:00:00"/>
    <x v="3"/>
    <s v="Travel expense"/>
    <n v="300.85000000000002"/>
    <s v="AUD"/>
    <s v="Rejected"/>
    <s v="MgrB"/>
    <m/>
    <n v="0.66"/>
    <n v="198.56100000000004"/>
  </r>
  <r>
    <s v="CL30124"/>
    <s v="E1043"/>
    <d v="2024-01-31T00:00:00"/>
    <x v="2"/>
    <s v="Travel expense"/>
    <n v="729.59"/>
    <s v="EUR"/>
    <s v="Approved"/>
    <s v="MgrA"/>
    <m/>
    <n v="1.08"/>
    <n v="787.95720000000006"/>
  </r>
  <r>
    <s v="CL30125"/>
    <s v="E1032"/>
    <d v="2024-04-11T00:00:00"/>
    <x v="2"/>
    <s v="Travel expense"/>
    <n v="728.43"/>
    <s v="CAD"/>
    <s v="Submitted"/>
    <s v="MgrB"/>
    <m/>
    <n v="0.73"/>
    <n v="531.75389999999993"/>
  </r>
  <r>
    <s v="CL30126"/>
    <s v="E1072"/>
    <d v="2023-06-10T00:00:00"/>
    <x v="1"/>
    <s v="Travel expense"/>
    <n v="255.21"/>
    <s v="AUD"/>
    <s v="Rejected"/>
    <s v="MgrC"/>
    <m/>
    <n v="0.66"/>
    <n v="168.43860000000001"/>
  </r>
  <r>
    <s v="CL30127"/>
    <s v="E1050"/>
    <d v="2023-06-22T00:00:00"/>
    <x v="2"/>
    <s v="Travel expense"/>
    <n v="353.07"/>
    <s v="CAD"/>
    <s v="Rejected"/>
    <s v="MgrB"/>
    <m/>
    <n v="0.73"/>
    <n v="257.74109999999996"/>
  </r>
  <r>
    <s v="CL30128"/>
    <s v="E1003"/>
    <d v="2024-08-17T00:00:00"/>
    <x v="1"/>
    <s v="Travel expense"/>
    <n v="132.77000000000001"/>
    <s v="AUD"/>
    <s v="Submitted"/>
    <s v="MgrA"/>
    <m/>
    <n v="0.66"/>
    <n v="87.628200000000007"/>
  </r>
  <r>
    <s v="CL30129"/>
    <s v="E1012"/>
    <d v="2024-06-07T00:00:00"/>
    <x v="0"/>
    <s v="Travel expense"/>
    <n v="480.47"/>
    <s v="EUR"/>
    <s v="Approved"/>
    <s v="MgrA"/>
    <m/>
    <n v="1.08"/>
    <n v="518.90760000000012"/>
  </r>
  <r>
    <s v="CL30130"/>
    <s v="E1093"/>
    <d v="2024-10-25T00:00:00"/>
    <x v="2"/>
    <s v="Travel expense"/>
    <n v="68.2"/>
    <s v="USD"/>
    <s v="Submitted"/>
    <s v="MgrC"/>
    <m/>
    <n v="1"/>
    <n v="68.2"/>
  </r>
  <r>
    <s v="CL30131"/>
    <s v="E1111"/>
    <d v="2024-03-25T00:00:00"/>
    <x v="4"/>
    <s v="Travel expense"/>
    <n v="489.12"/>
    <s v="AUD"/>
    <s v="Submitted"/>
    <s v="MgrA"/>
    <m/>
    <n v="0.66"/>
    <n v="322.81920000000002"/>
  </r>
  <r>
    <s v="CL30132"/>
    <s v="E1001"/>
    <d v="2023-09-18T00:00:00"/>
    <x v="1"/>
    <s v="Travel expense"/>
    <n v="36.57"/>
    <s v="GBP"/>
    <s v="Approved"/>
    <s v="MgrC"/>
    <m/>
    <n v="1.27"/>
    <n v="46.443899999999999"/>
  </r>
  <r>
    <s v="CL30133"/>
    <s v="E1038"/>
    <d v="2024-09-05T00:00:00"/>
    <x v="1"/>
    <s v="Travel expense"/>
    <n v="230.07"/>
    <s v="EUR"/>
    <s v="Rejected"/>
    <s v="MgrC"/>
    <m/>
    <n v="1.08"/>
    <n v="248.47560000000001"/>
  </r>
  <r>
    <s v="CL30134"/>
    <s v="E1075"/>
    <d v="2024-03-16T00:00:00"/>
    <x v="1"/>
    <s v="Travel expense"/>
    <n v="623.36"/>
    <s v="AUD"/>
    <s v="Rejected"/>
    <s v="MgrA"/>
    <m/>
    <n v="0.66"/>
    <n v="411.41760000000005"/>
  </r>
  <r>
    <s v="CL30135"/>
    <s v="E1116"/>
    <d v="2023-10-07T00:00:00"/>
    <x v="2"/>
    <s v="Travel expense"/>
    <n v="562.78"/>
    <s v="CAD"/>
    <s v="Submitted"/>
    <s v="MgrA"/>
    <m/>
    <n v="0.73"/>
    <n v="410.82939999999996"/>
  </r>
  <r>
    <s v="CL30136"/>
    <s v="E1008"/>
    <d v="2024-03-21T00:00:00"/>
    <x v="2"/>
    <s v="Travel expense"/>
    <n v="123.35"/>
    <s v="USD"/>
    <s v="Approved"/>
    <s v="MgrB"/>
    <m/>
    <n v="1"/>
    <n v="123.35"/>
  </r>
  <r>
    <s v="CL30137"/>
    <s v="E1056"/>
    <d v="2023-08-10T00:00:00"/>
    <x v="3"/>
    <s v="Travel expense"/>
    <n v="620.17999999999995"/>
    <s v="CAD"/>
    <s v="Rejected"/>
    <s v="MgrB"/>
    <m/>
    <n v="0.73"/>
    <n v="452.73139999999995"/>
  </r>
  <r>
    <s v="CL30138"/>
    <s v="E1017"/>
    <d v="2025-06-07T00:00:00"/>
    <x v="3"/>
    <s v="Travel expense"/>
    <n v="317.8"/>
    <s v="EUR"/>
    <s v="Approved"/>
    <s v="MgrB"/>
    <m/>
    <n v="1.08"/>
    <n v="343.22400000000005"/>
  </r>
  <r>
    <s v="CL30139"/>
    <s v="E1010"/>
    <d v="2025-03-06T00:00:00"/>
    <x v="3"/>
    <s v="Travel expense"/>
    <n v="338.95"/>
    <s v="CAD"/>
    <s v="Rejected"/>
    <s v="MgrC"/>
    <m/>
    <n v="0.73"/>
    <n v="247.43349999999998"/>
  </r>
  <r>
    <s v="CL30140"/>
    <s v="E1069"/>
    <d v="2023-09-27T00:00:00"/>
    <x v="3"/>
    <s v="Travel expense"/>
    <n v="22.58"/>
    <s v="USD"/>
    <s v="Paid"/>
    <s v="MgrA"/>
    <d v="2023-10-12T00:00:00"/>
    <n v="1"/>
    <n v="22.58"/>
  </r>
  <r>
    <s v="CL30141"/>
    <s v="E1022"/>
    <d v="2023-08-23T00:00:00"/>
    <x v="2"/>
    <s v="Travel expense"/>
    <n v="437.96"/>
    <s v="CAD"/>
    <s v="Submitted"/>
    <s v="MgrC"/>
    <m/>
    <n v="0.73"/>
    <n v="319.71079999999995"/>
  </r>
  <r>
    <s v="CL30142"/>
    <s v="E1098"/>
    <d v="2023-08-10T00:00:00"/>
    <x v="3"/>
    <s v="Travel expense"/>
    <n v="349.41"/>
    <s v="AUD"/>
    <s v="Submitted"/>
    <s v="MgrA"/>
    <m/>
    <n v="0.66"/>
    <n v="230.61060000000003"/>
  </r>
  <r>
    <s v="CL30143"/>
    <s v="E1066"/>
    <d v="2023-06-22T00:00:00"/>
    <x v="2"/>
    <s v="Travel expense"/>
    <n v="338.93"/>
    <s v="EUR"/>
    <s v="Rejected"/>
    <s v="MgrB"/>
    <m/>
    <n v="1.08"/>
    <n v="366.04440000000005"/>
  </r>
  <r>
    <s v="CL30144"/>
    <s v="E1109"/>
    <d v="2023-08-23T00:00:00"/>
    <x v="2"/>
    <s v="Travel expense"/>
    <n v="135.24"/>
    <s v="GBP"/>
    <s v="Approved"/>
    <s v="MgrC"/>
    <m/>
    <n v="1.27"/>
    <n v="171.75480000000002"/>
  </r>
  <r>
    <s v="CL30145"/>
    <s v="E1047"/>
    <d v="2023-01-16T00:00:00"/>
    <x v="3"/>
    <s v="Travel expense"/>
    <n v="460.95"/>
    <s v="CAD"/>
    <s v="Paid"/>
    <s v="MgrC"/>
    <d v="2023-01-31T00:00:00"/>
    <n v="0.73"/>
    <n v="336.49349999999998"/>
  </r>
  <r>
    <s v="CL30146"/>
    <s v="E1064"/>
    <d v="2024-03-04T00:00:00"/>
    <x v="4"/>
    <s v="Travel expense"/>
    <n v="783.51"/>
    <s v="CAD"/>
    <s v="Submitted"/>
    <s v="MgrB"/>
    <m/>
    <n v="0.73"/>
    <n v="571.96230000000003"/>
  </r>
  <r>
    <s v="CL30147"/>
    <s v="E1056"/>
    <d v="2024-12-14T00:00:00"/>
    <x v="3"/>
    <s v="Travel expense"/>
    <n v="259.25"/>
    <s v="EUR"/>
    <s v="Submitted"/>
    <s v="MgrC"/>
    <m/>
    <n v="1.08"/>
    <n v="279.99"/>
  </r>
  <r>
    <s v="CL30148"/>
    <s v="E1107"/>
    <d v="2024-06-26T00:00:00"/>
    <x v="4"/>
    <s v="Travel expense"/>
    <n v="795.64"/>
    <s v="USD"/>
    <s v="Rejected"/>
    <s v="MgrC"/>
    <m/>
    <n v="1"/>
    <n v="795.64"/>
  </r>
  <r>
    <s v="CL30149"/>
    <s v="E1033"/>
    <d v="2024-07-03T00:00:00"/>
    <x v="2"/>
    <s v="Travel expense"/>
    <n v="150.08000000000001"/>
    <s v="USD"/>
    <s v="Paid"/>
    <s v="MgrC"/>
    <d v="2024-07-18T00:00:00"/>
    <n v="1"/>
    <n v="150.08000000000001"/>
  </r>
  <r>
    <s v="CL30150"/>
    <s v="E1075"/>
    <d v="2025-01-09T00:00:00"/>
    <x v="1"/>
    <s v="Travel expense"/>
    <n v="468.66"/>
    <s v="GBP"/>
    <s v="Rejected"/>
    <s v="MgrA"/>
    <m/>
    <n v="1.27"/>
    <n v="595.19820000000004"/>
  </r>
  <r>
    <s v="CL30151"/>
    <s v="E1054"/>
    <d v="2025-05-06T00:00:00"/>
    <x v="0"/>
    <s v="Travel expense"/>
    <n v="215.09"/>
    <s v="GBP"/>
    <s v="Rejected"/>
    <s v="MgrB"/>
    <m/>
    <n v="1.27"/>
    <n v="273.16430000000003"/>
  </r>
  <r>
    <s v="CL30152"/>
    <s v="E1017"/>
    <d v="2023-08-17T00:00:00"/>
    <x v="2"/>
    <s v="Travel expense"/>
    <n v="249.65"/>
    <s v="AUD"/>
    <s v="Approved"/>
    <s v="MgrB"/>
    <m/>
    <n v="0.66"/>
    <n v="164.76900000000001"/>
  </r>
  <r>
    <s v="CL30153"/>
    <s v="E1034"/>
    <d v="2023-08-29T00:00:00"/>
    <x v="3"/>
    <s v="Travel expense"/>
    <n v="20.149999999999999"/>
    <s v="EUR"/>
    <s v="Paid"/>
    <s v="MgrA"/>
    <d v="2023-09-13T00:00:00"/>
    <n v="1.08"/>
    <n v="21.762"/>
  </r>
  <r>
    <s v="CL30154"/>
    <s v="E1082"/>
    <d v="2023-03-28T00:00:00"/>
    <x v="1"/>
    <s v="Travel expense"/>
    <n v="603.91"/>
    <s v="USD"/>
    <s v="Rejected"/>
    <s v="MgrC"/>
    <m/>
    <n v="1"/>
    <n v="603.91"/>
  </r>
  <r>
    <s v="CL30155"/>
    <s v="E1003"/>
    <d v="2024-12-30T00:00:00"/>
    <x v="3"/>
    <s v="Travel expense"/>
    <n v="283.74"/>
    <s v="AUD"/>
    <s v="Submitted"/>
    <s v="MgrA"/>
    <m/>
    <n v="0.66"/>
    <n v="187.26840000000001"/>
  </r>
  <r>
    <s v="CL30156"/>
    <s v="E1104"/>
    <d v="2024-07-11T00:00:00"/>
    <x v="1"/>
    <s v="Travel expense"/>
    <n v="239.94"/>
    <s v="EUR"/>
    <s v="Paid"/>
    <s v="MgrC"/>
    <d v="2024-07-26T00:00:00"/>
    <n v="1.08"/>
    <n v="259.1352"/>
  </r>
  <r>
    <s v="CL30157"/>
    <s v="E1000"/>
    <d v="2023-08-15T00:00:00"/>
    <x v="4"/>
    <s v="Travel expense"/>
    <n v="246.02"/>
    <s v="CAD"/>
    <s v="Approved"/>
    <s v="MgrB"/>
    <m/>
    <n v="0.73"/>
    <n v="179.59460000000001"/>
  </r>
  <r>
    <s v="CL30158"/>
    <s v="E1081"/>
    <d v="2024-11-26T00:00:00"/>
    <x v="2"/>
    <s v="Travel expense"/>
    <n v="81.08"/>
    <s v="CAD"/>
    <s v="Submitted"/>
    <s v="MgrB"/>
    <m/>
    <n v="0.73"/>
    <n v="59.188399999999994"/>
  </r>
  <r>
    <s v="CL30159"/>
    <s v="E1028"/>
    <d v="2023-10-18T00:00:00"/>
    <x v="2"/>
    <s v="Travel expense"/>
    <n v="380.52"/>
    <s v="GBP"/>
    <s v="Rejected"/>
    <s v="MgrC"/>
    <m/>
    <n v="1.27"/>
    <n v="483.2604"/>
  </r>
  <r>
    <s v="CL30160"/>
    <s v="E1102"/>
    <d v="2025-01-06T00:00:00"/>
    <x v="2"/>
    <s v="Travel expense"/>
    <n v="338.32"/>
    <s v="GBP"/>
    <s v="Submitted"/>
    <s v="MgrC"/>
    <m/>
    <n v="1.27"/>
    <n v="429.66640000000001"/>
  </r>
  <r>
    <s v="CL30161"/>
    <s v="E1052"/>
    <d v="2024-02-22T00:00:00"/>
    <x v="2"/>
    <s v="Travel expense"/>
    <n v="429.51"/>
    <s v="CAD"/>
    <s v="Submitted"/>
    <s v="MgrA"/>
    <m/>
    <n v="0.73"/>
    <n v="313.54230000000001"/>
  </r>
  <r>
    <s v="CL30162"/>
    <s v="E1000"/>
    <d v="2025-04-05T00:00:00"/>
    <x v="3"/>
    <s v="Travel expense"/>
    <n v="656.13"/>
    <s v="EUR"/>
    <s v="Paid"/>
    <s v="MgrA"/>
    <d v="2025-04-20T00:00:00"/>
    <n v="1.08"/>
    <n v="708.62040000000002"/>
  </r>
  <r>
    <s v="CL30163"/>
    <s v="E1021"/>
    <d v="2023-06-01T00:00:00"/>
    <x v="2"/>
    <s v="Travel expense"/>
    <n v="744.38"/>
    <s v="USD"/>
    <s v="Rejected"/>
    <s v="MgrC"/>
    <m/>
    <n v="1"/>
    <n v="744.38"/>
  </r>
  <r>
    <s v="CL30164"/>
    <s v="E1013"/>
    <d v="2025-06-18T00:00:00"/>
    <x v="0"/>
    <s v="Travel expense"/>
    <n v="761.69"/>
    <s v="AUD"/>
    <s v="Paid"/>
    <s v="MgrC"/>
    <d v="2025-07-03T00:00:00"/>
    <n v="0.66"/>
    <n v="502.71540000000005"/>
  </r>
  <r>
    <s v="CL30165"/>
    <s v="E1082"/>
    <d v="2025-05-04T00:00:00"/>
    <x v="3"/>
    <s v="Travel expense"/>
    <n v="518.87"/>
    <s v="GBP"/>
    <s v="Approved"/>
    <s v="MgrA"/>
    <m/>
    <n v="1.27"/>
    <n v="658.96490000000006"/>
  </r>
  <r>
    <s v="CL30166"/>
    <s v="E1063"/>
    <d v="2024-10-22T00:00:00"/>
    <x v="2"/>
    <s v="Travel expense"/>
    <n v="81.7"/>
    <s v="USD"/>
    <s v="Rejected"/>
    <s v="MgrA"/>
    <m/>
    <n v="1"/>
    <n v="81.7"/>
  </r>
  <r>
    <s v="CL30167"/>
    <s v="E1046"/>
    <d v="2023-02-02T00:00:00"/>
    <x v="1"/>
    <s v="Travel expense"/>
    <n v="106.77"/>
    <s v="CAD"/>
    <s v="Submitted"/>
    <s v="MgrC"/>
    <m/>
    <n v="0.73"/>
    <n v="77.942099999999996"/>
  </r>
  <r>
    <s v="CL30168"/>
    <s v="E1067"/>
    <d v="2024-07-10T00:00:00"/>
    <x v="1"/>
    <s v="Travel expense"/>
    <n v="425.64"/>
    <s v="CAD"/>
    <s v="Paid"/>
    <s v="MgrA"/>
    <d v="2024-07-25T00:00:00"/>
    <n v="0.73"/>
    <n v="310.71719999999999"/>
  </r>
  <r>
    <s v="CL30169"/>
    <s v="E1108"/>
    <d v="2024-01-06T00:00:00"/>
    <x v="3"/>
    <s v="Travel expense"/>
    <n v="312.12"/>
    <s v="USD"/>
    <s v="Rejected"/>
    <s v="MgrA"/>
    <m/>
    <n v="1"/>
    <n v="312.12"/>
  </r>
  <r>
    <s v="CL30170"/>
    <s v="E1083"/>
    <d v="2025-05-25T00:00:00"/>
    <x v="4"/>
    <s v="Travel expense"/>
    <n v="389.97"/>
    <s v="AUD"/>
    <s v="Submitted"/>
    <s v="MgrC"/>
    <m/>
    <n v="0.66"/>
    <n v="257.3802"/>
  </r>
  <r>
    <s v="CL30171"/>
    <s v="E1014"/>
    <d v="2023-04-13T00:00:00"/>
    <x v="4"/>
    <s v="Travel expense"/>
    <n v="367.46"/>
    <s v="USD"/>
    <s v="Rejected"/>
    <s v="MgrA"/>
    <m/>
    <n v="1"/>
    <n v="367.46"/>
  </r>
  <r>
    <s v="CL30172"/>
    <s v="E1090"/>
    <d v="2023-06-26T00:00:00"/>
    <x v="1"/>
    <s v="Travel expense"/>
    <n v="448.83"/>
    <s v="AUD"/>
    <s v="Approved"/>
    <s v="MgrA"/>
    <m/>
    <n v="0.66"/>
    <n v="296.2278"/>
  </r>
  <r>
    <s v="CL30173"/>
    <s v="E1012"/>
    <d v="2023-11-23T00:00:00"/>
    <x v="3"/>
    <s v="Travel expense"/>
    <n v="367.26"/>
    <s v="USD"/>
    <s v="Submitted"/>
    <s v="MgrA"/>
    <m/>
    <n v="1"/>
    <n v="367.26"/>
  </r>
  <r>
    <s v="CL30174"/>
    <s v="E1096"/>
    <d v="2023-08-28T00:00:00"/>
    <x v="0"/>
    <s v="Travel expense"/>
    <n v="218.52"/>
    <s v="GBP"/>
    <s v="Paid"/>
    <s v="MgrC"/>
    <d v="2023-09-12T00:00:00"/>
    <n v="1.27"/>
    <n v="277.5204"/>
  </r>
  <r>
    <s v="CL30175"/>
    <s v="E1091"/>
    <d v="2023-07-19T00:00:00"/>
    <x v="3"/>
    <s v="Travel expense"/>
    <n v="631.04999999999995"/>
    <s v="GBP"/>
    <s v="Rejected"/>
    <s v="MgrB"/>
    <m/>
    <n v="1.27"/>
    <n v="801.43349999999998"/>
  </r>
  <r>
    <s v="CL30176"/>
    <s v="E1052"/>
    <d v="2024-07-28T00:00:00"/>
    <x v="2"/>
    <s v="Travel expense"/>
    <n v="436.02"/>
    <s v="EUR"/>
    <s v="Approved"/>
    <s v="MgrA"/>
    <m/>
    <n v="1.08"/>
    <n v="470.90160000000003"/>
  </r>
  <r>
    <s v="CL30177"/>
    <s v="E1113"/>
    <d v="2023-10-29T00:00:00"/>
    <x v="4"/>
    <s v="Travel expense"/>
    <n v="205.16"/>
    <s v="CAD"/>
    <s v="Rejected"/>
    <s v="MgrC"/>
    <m/>
    <n v="0.73"/>
    <n v="149.76679999999999"/>
  </r>
  <r>
    <s v="CL30178"/>
    <s v="E1067"/>
    <d v="2025-04-16T00:00:00"/>
    <x v="1"/>
    <s v="Travel expense"/>
    <n v="116.81"/>
    <s v="AUD"/>
    <s v="Rejected"/>
    <s v="MgrC"/>
    <m/>
    <n v="0.66"/>
    <n v="77.0946"/>
  </r>
  <r>
    <s v="CL30179"/>
    <s v="E1070"/>
    <d v="2023-10-01T00:00:00"/>
    <x v="4"/>
    <s v="Travel expense"/>
    <n v="599.91"/>
    <s v="AUD"/>
    <s v="Submitted"/>
    <s v="MgrA"/>
    <m/>
    <n v="0.66"/>
    <n v="395.94060000000002"/>
  </r>
  <r>
    <s v="CL30180"/>
    <s v="E1106"/>
    <d v="2023-02-15T00:00:00"/>
    <x v="1"/>
    <s v="Travel expense"/>
    <n v="687.09"/>
    <s v="EUR"/>
    <s v="Approved"/>
    <s v="MgrA"/>
    <m/>
    <n v="1.08"/>
    <n v="742.05720000000008"/>
  </r>
  <r>
    <s v="CL30181"/>
    <s v="E1042"/>
    <d v="2025-04-03T00:00:00"/>
    <x v="0"/>
    <s v="Travel expense"/>
    <n v="492.19"/>
    <s v="EUR"/>
    <s v="Submitted"/>
    <s v="MgrB"/>
    <m/>
    <n v="1.08"/>
    <n v="531.5652"/>
  </r>
  <r>
    <s v="CL30182"/>
    <s v="E1069"/>
    <d v="2023-08-29T00:00:00"/>
    <x v="4"/>
    <s v="Travel expense"/>
    <n v="623.15"/>
    <s v="AUD"/>
    <s v="Paid"/>
    <s v="MgrB"/>
    <d v="2023-09-13T00:00:00"/>
    <n v="0.66"/>
    <n v="411.279"/>
  </r>
  <r>
    <s v="CL30183"/>
    <s v="E1013"/>
    <d v="2025-05-10T00:00:00"/>
    <x v="0"/>
    <s v="Travel expense"/>
    <n v="614.44000000000005"/>
    <s v="USD"/>
    <s v="Rejected"/>
    <s v="MgrC"/>
    <m/>
    <n v="1"/>
    <n v="614.44000000000005"/>
  </r>
  <r>
    <s v="CL30184"/>
    <s v="E1072"/>
    <d v="2025-05-28T00:00:00"/>
    <x v="4"/>
    <s v="Travel expense"/>
    <n v="211.2"/>
    <s v="CAD"/>
    <s v="Approved"/>
    <s v="MgrB"/>
    <m/>
    <n v="0.73"/>
    <n v="154.17599999999999"/>
  </r>
  <r>
    <s v="CL30185"/>
    <s v="E1069"/>
    <d v="2025-05-02T00:00:00"/>
    <x v="1"/>
    <s v="Travel expense"/>
    <n v="89.63"/>
    <s v="AUD"/>
    <s v="Submitted"/>
    <s v="MgrA"/>
    <m/>
    <n v="0.66"/>
    <n v="59.155799999999999"/>
  </r>
  <r>
    <s v="CL30186"/>
    <s v="E1115"/>
    <d v="2025-06-04T00:00:00"/>
    <x v="0"/>
    <s v="Travel expense"/>
    <n v="692.25"/>
    <s v="EUR"/>
    <s v="Paid"/>
    <s v="MgrA"/>
    <d v="2025-06-19T00:00:00"/>
    <n v="1.08"/>
    <n v="747.63"/>
  </r>
  <r>
    <s v="CL30187"/>
    <s v="E1067"/>
    <d v="2024-06-21T00:00:00"/>
    <x v="4"/>
    <s v="Travel expense"/>
    <n v="366.9"/>
    <s v="EUR"/>
    <s v="Rejected"/>
    <s v="MgrA"/>
    <m/>
    <n v="1.08"/>
    <n v="396.25200000000001"/>
  </r>
  <r>
    <s v="CL30188"/>
    <s v="E1024"/>
    <d v="2023-09-05T00:00:00"/>
    <x v="0"/>
    <s v="Travel expense"/>
    <n v="617.77"/>
    <s v="USD"/>
    <s v="Rejected"/>
    <s v="MgrA"/>
    <m/>
    <n v="1"/>
    <n v="617.77"/>
  </r>
  <r>
    <s v="CL30189"/>
    <s v="E1111"/>
    <d v="2025-03-02T00:00:00"/>
    <x v="4"/>
    <s v="Travel expense"/>
    <n v="690.48"/>
    <s v="AUD"/>
    <s v="Submitted"/>
    <s v="MgrB"/>
    <m/>
    <n v="0.66"/>
    <n v="455.71680000000003"/>
  </r>
  <r>
    <s v="CL30190"/>
    <s v="E1077"/>
    <d v="2023-04-10T00:00:00"/>
    <x v="4"/>
    <s v="Travel expense"/>
    <n v="592.89"/>
    <s v="CAD"/>
    <s v="Paid"/>
    <s v="MgrB"/>
    <d v="2023-04-25T00:00:00"/>
    <n v="0.73"/>
    <n v="432.80969999999996"/>
  </r>
  <r>
    <s v="CL30191"/>
    <s v="E1010"/>
    <d v="2023-10-13T00:00:00"/>
    <x v="2"/>
    <s v="Travel expense"/>
    <n v="217.3"/>
    <s v="AUD"/>
    <s v="Submitted"/>
    <s v="MgrA"/>
    <m/>
    <n v="0.66"/>
    <n v="143.41800000000001"/>
  </r>
  <r>
    <s v="CL30192"/>
    <s v="E1008"/>
    <d v="2024-11-09T00:00:00"/>
    <x v="0"/>
    <s v="Travel expense"/>
    <n v="576.16"/>
    <s v="CAD"/>
    <s v="Approved"/>
    <s v="MgrB"/>
    <m/>
    <n v="0.73"/>
    <n v="420.59679999999997"/>
  </r>
  <r>
    <s v="CL30193"/>
    <s v="E1004"/>
    <d v="2023-05-21T00:00:00"/>
    <x v="1"/>
    <s v="Travel expense"/>
    <n v="70.19"/>
    <s v="CAD"/>
    <s v="Approved"/>
    <s v="MgrC"/>
    <m/>
    <n v="0.73"/>
    <n v="51.238699999999994"/>
  </r>
  <r>
    <s v="CL30194"/>
    <s v="E1067"/>
    <d v="2025-03-13T00:00:00"/>
    <x v="1"/>
    <s v="Travel expense"/>
    <n v="242.47"/>
    <s v="GBP"/>
    <s v="Submitted"/>
    <s v="MgrC"/>
    <m/>
    <n v="1.27"/>
    <n v="307.93689999999998"/>
  </r>
  <r>
    <s v="CL30195"/>
    <s v="E1107"/>
    <d v="2024-01-22T00:00:00"/>
    <x v="1"/>
    <s v="Travel expense"/>
    <n v="541.55999999999995"/>
    <s v="CAD"/>
    <s v="Rejected"/>
    <s v="MgrC"/>
    <m/>
    <n v="0.73"/>
    <n v="395.33879999999994"/>
  </r>
  <r>
    <s v="CL30196"/>
    <s v="E1112"/>
    <d v="2025-01-08T00:00:00"/>
    <x v="1"/>
    <s v="Travel expense"/>
    <n v="509.64"/>
    <s v="EUR"/>
    <s v="Approved"/>
    <s v="MgrA"/>
    <m/>
    <n v="1.08"/>
    <n v="550.41120000000001"/>
  </r>
  <r>
    <s v="CL30197"/>
    <s v="E1078"/>
    <d v="2023-12-15T00:00:00"/>
    <x v="3"/>
    <s v="Travel expense"/>
    <n v="515.85"/>
    <s v="CAD"/>
    <s v="Approved"/>
    <s v="MgrA"/>
    <m/>
    <n v="0.73"/>
    <n v="376.57049999999998"/>
  </r>
  <r>
    <s v="CL30198"/>
    <s v="E1036"/>
    <d v="2023-12-30T00:00:00"/>
    <x v="1"/>
    <s v="Travel expense"/>
    <n v="250.57"/>
    <s v="EUR"/>
    <s v="Approved"/>
    <s v="MgrC"/>
    <m/>
    <n v="1.08"/>
    <n v="270.61560000000003"/>
  </r>
  <r>
    <s v="CL30199"/>
    <s v="E1050"/>
    <d v="2025-03-13T00:00:00"/>
    <x v="3"/>
    <s v="Travel expense"/>
    <n v="361.67"/>
    <s v="GBP"/>
    <s v="Submitted"/>
    <s v="MgrB"/>
    <m/>
    <n v="1.27"/>
    <n v="459.32090000000005"/>
  </r>
  <r>
    <s v="CL30200"/>
    <s v="E1107"/>
    <d v="2023-01-05T00:00:00"/>
    <x v="4"/>
    <s v="Travel expense"/>
    <n v="390.47"/>
    <s v="CAD"/>
    <s v="Submitted"/>
    <s v="MgrB"/>
    <m/>
    <n v="0.73"/>
    <n v="285.04310000000004"/>
  </r>
  <r>
    <s v="CL30201"/>
    <s v="E1113"/>
    <d v="2025-03-31T00:00:00"/>
    <x v="1"/>
    <s v="Travel expense"/>
    <n v="510.18"/>
    <s v="GBP"/>
    <s v="Rejected"/>
    <s v="MgrA"/>
    <m/>
    <n v="1.27"/>
    <n v="647.92860000000007"/>
  </r>
  <r>
    <s v="CL30202"/>
    <s v="E1103"/>
    <d v="2025-06-07T00:00:00"/>
    <x v="4"/>
    <s v="Travel expense"/>
    <n v="470.56"/>
    <s v="CAD"/>
    <s v="Submitted"/>
    <s v="MgrC"/>
    <m/>
    <n v="0.73"/>
    <n v="343.50880000000001"/>
  </r>
  <r>
    <s v="CL30203"/>
    <s v="E1071"/>
    <d v="2024-04-14T00:00:00"/>
    <x v="0"/>
    <s v="Travel expense"/>
    <n v="556.15"/>
    <s v="EUR"/>
    <s v="Rejected"/>
    <s v="MgrC"/>
    <m/>
    <n v="1.08"/>
    <n v="600.64200000000005"/>
  </r>
  <r>
    <s v="CL30204"/>
    <s v="E1021"/>
    <d v="2024-01-09T00:00:00"/>
    <x v="1"/>
    <s v="Travel expense"/>
    <n v="94.66"/>
    <s v="EUR"/>
    <s v="Submitted"/>
    <s v="MgrA"/>
    <m/>
    <n v="1.08"/>
    <n v="102.2328"/>
  </r>
  <r>
    <s v="CL30205"/>
    <s v="E1057"/>
    <d v="2024-06-29T00:00:00"/>
    <x v="4"/>
    <s v="Travel expense"/>
    <n v="613.88"/>
    <s v="AUD"/>
    <s v="Rejected"/>
    <s v="MgrA"/>
    <m/>
    <n v="0.66"/>
    <n v="405.16079999999999"/>
  </r>
  <r>
    <s v="CL30206"/>
    <s v="E1108"/>
    <d v="2025-02-27T00:00:00"/>
    <x v="2"/>
    <s v="Travel expense"/>
    <n v="467.78"/>
    <s v="USD"/>
    <s v="Paid"/>
    <s v="MgrA"/>
    <d v="2025-03-14T00:00:00"/>
    <n v="1"/>
    <n v="467.78"/>
  </r>
  <r>
    <s v="CL30207"/>
    <s v="E1057"/>
    <d v="2025-01-16T00:00:00"/>
    <x v="0"/>
    <s v="Travel expense"/>
    <n v="487.62"/>
    <s v="EUR"/>
    <s v="Approved"/>
    <s v="MgrB"/>
    <m/>
    <n v="1.08"/>
    <n v="526.6296000000001"/>
  </r>
  <r>
    <s v="CL30208"/>
    <s v="E1015"/>
    <d v="2024-06-22T00:00:00"/>
    <x v="1"/>
    <s v="Travel expense"/>
    <n v="483.87"/>
    <s v="AUD"/>
    <s v="Paid"/>
    <s v="MgrA"/>
    <d v="2024-07-07T00:00:00"/>
    <n v="0.66"/>
    <n v="319.35419999999999"/>
  </r>
  <r>
    <s v="CL30209"/>
    <s v="E1091"/>
    <d v="2024-04-11T00:00:00"/>
    <x v="1"/>
    <s v="Travel expense"/>
    <n v="559.13"/>
    <s v="CAD"/>
    <s v="Rejected"/>
    <s v="MgrC"/>
    <m/>
    <n v="0.73"/>
    <n v="408.16489999999999"/>
  </r>
  <r>
    <s v="CL30210"/>
    <s v="E1105"/>
    <d v="2024-10-26T00:00:00"/>
    <x v="3"/>
    <s v="Travel expense"/>
    <n v="769.66"/>
    <s v="USD"/>
    <s v="Rejected"/>
    <s v="MgrB"/>
    <m/>
    <n v="1"/>
    <n v="769.66"/>
  </r>
  <r>
    <s v="CL30211"/>
    <s v="E1001"/>
    <d v="2025-02-11T00:00:00"/>
    <x v="4"/>
    <s v="Travel expense"/>
    <n v="146.13999999999999"/>
    <s v="AUD"/>
    <s v="Approved"/>
    <s v="MgrC"/>
    <m/>
    <n v="0.66"/>
    <n v="96.452399999999997"/>
  </r>
  <r>
    <s v="CL30212"/>
    <s v="E1079"/>
    <d v="2024-03-04T00:00:00"/>
    <x v="0"/>
    <s v="Travel expense"/>
    <n v="370.23"/>
    <s v="USD"/>
    <s v="Rejected"/>
    <s v="MgrC"/>
    <m/>
    <n v="1"/>
    <n v="370.23"/>
  </r>
  <r>
    <s v="CL30213"/>
    <s v="E1008"/>
    <d v="2024-11-04T00:00:00"/>
    <x v="3"/>
    <s v="Travel expense"/>
    <n v="391.7"/>
    <s v="EUR"/>
    <s v="Submitted"/>
    <s v="MgrB"/>
    <m/>
    <n v="1.08"/>
    <n v="423.036"/>
  </r>
  <r>
    <s v="CL30214"/>
    <s v="E1027"/>
    <d v="2024-07-18T00:00:00"/>
    <x v="0"/>
    <s v="Travel expense"/>
    <n v="176.82"/>
    <s v="EUR"/>
    <s v="Approved"/>
    <s v="MgrA"/>
    <m/>
    <n v="1.08"/>
    <n v="190.96559999999999"/>
  </r>
  <r>
    <s v="CL30215"/>
    <s v="E1021"/>
    <d v="2023-12-11T00:00:00"/>
    <x v="4"/>
    <s v="Travel expense"/>
    <n v="158.19999999999999"/>
    <s v="CAD"/>
    <s v="Rejected"/>
    <s v="MgrB"/>
    <m/>
    <n v="0.73"/>
    <n v="115.48599999999999"/>
  </r>
  <r>
    <s v="CL30216"/>
    <s v="E1058"/>
    <d v="2024-04-09T00:00:00"/>
    <x v="3"/>
    <s v="Travel expense"/>
    <n v="621.23"/>
    <s v="USD"/>
    <s v="Rejected"/>
    <s v="MgrC"/>
    <m/>
    <n v="1"/>
    <n v="621.23"/>
  </r>
  <r>
    <s v="CL30217"/>
    <s v="E1037"/>
    <d v="2024-02-27T00:00:00"/>
    <x v="0"/>
    <s v="Travel expense"/>
    <n v="629.16"/>
    <s v="GBP"/>
    <s v="Rejected"/>
    <s v="MgrC"/>
    <m/>
    <n v="1.27"/>
    <n v="799.03319999999997"/>
  </r>
  <r>
    <s v="CL30218"/>
    <s v="E1023"/>
    <d v="2023-04-18T00:00:00"/>
    <x v="2"/>
    <s v="Travel expense"/>
    <n v="262.25"/>
    <s v="USD"/>
    <s v="Submitted"/>
    <s v="MgrB"/>
    <m/>
    <n v="1"/>
    <n v="262.25"/>
  </r>
  <r>
    <s v="CL30219"/>
    <s v="E1026"/>
    <d v="2023-05-10T00:00:00"/>
    <x v="1"/>
    <s v="Travel expense"/>
    <n v="489.85"/>
    <s v="GBP"/>
    <s v="Submitted"/>
    <s v="MgrA"/>
    <m/>
    <n v="1.27"/>
    <n v="622.10950000000003"/>
  </r>
  <r>
    <s v="CL30220"/>
    <s v="E1085"/>
    <d v="2024-05-01T00:00:00"/>
    <x v="2"/>
    <s v="Travel expense"/>
    <n v="667.2"/>
    <s v="AUD"/>
    <s v="Approved"/>
    <s v="MgrB"/>
    <m/>
    <n v="0.66"/>
    <n v="440.35200000000003"/>
  </r>
  <r>
    <s v="CL30221"/>
    <s v="E1050"/>
    <d v="2023-12-09T00:00:00"/>
    <x v="4"/>
    <s v="Travel expense"/>
    <n v="731.1"/>
    <s v="AUD"/>
    <s v="Paid"/>
    <s v="MgrB"/>
    <d v="2023-12-24T00:00:00"/>
    <n v="0.66"/>
    <n v="482.52600000000001"/>
  </r>
  <r>
    <s v="CL30222"/>
    <s v="E1103"/>
    <d v="2023-05-16T00:00:00"/>
    <x v="1"/>
    <s v="Travel expense"/>
    <n v="459.04"/>
    <s v="USD"/>
    <s v="Rejected"/>
    <s v="MgrA"/>
    <m/>
    <n v="1"/>
    <n v="459.04"/>
  </r>
  <r>
    <s v="CL30223"/>
    <s v="E1024"/>
    <d v="2025-05-19T00:00:00"/>
    <x v="0"/>
    <s v="Travel expense"/>
    <n v="729.86"/>
    <s v="AUD"/>
    <s v="Rejected"/>
    <s v="MgrA"/>
    <m/>
    <n v="0.66"/>
    <n v="481.70760000000001"/>
  </r>
  <r>
    <s v="CL30224"/>
    <s v="E1082"/>
    <d v="2025-03-17T00:00:00"/>
    <x v="0"/>
    <s v="Travel expense"/>
    <n v="47.25"/>
    <s v="AUD"/>
    <s v="Rejected"/>
    <s v="MgrC"/>
    <m/>
    <n v="0.66"/>
    <n v="31.185000000000002"/>
  </r>
  <r>
    <s v="CL30225"/>
    <s v="E1002"/>
    <d v="2023-09-11T00:00:00"/>
    <x v="1"/>
    <s v="Travel expense"/>
    <n v="66.55"/>
    <s v="EUR"/>
    <s v="Rejected"/>
    <s v="MgrB"/>
    <m/>
    <n v="1.08"/>
    <n v="71.873999999999995"/>
  </r>
  <r>
    <s v="CL30226"/>
    <s v="E1009"/>
    <d v="2024-07-16T00:00:00"/>
    <x v="4"/>
    <s v="Travel expense"/>
    <n v="445.39"/>
    <s v="AUD"/>
    <s v="Rejected"/>
    <s v="MgrC"/>
    <m/>
    <n v="0.66"/>
    <n v="293.95740000000001"/>
  </r>
  <r>
    <s v="CL30227"/>
    <s v="E1074"/>
    <d v="2024-12-10T00:00:00"/>
    <x v="1"/>
    <s v="Travel expense"/>
    <n v="223.78"/>
    <s v="CAD"/>
    <s v="Paid"/>
    <s v="MgrC"/>
    <d v="2024-12-25T00:00:00"/>
    <n v="0.73"/>
    <n v="163.35939999999999"/>
  </r>
  <r>
    <s v="CL30228"/>
    <s v="E1077"/>
    <d v="2024-07-22T00:00:00"/>
    <x v="4"/>
    <s v="Travel expense"/>
    <n v="766.5"/>
    <s v="GBP"/>
    <s v="Approved"/>
    <s v="MgrA"/>
    <m/>
    <n v="1.27"/>
    <n v="973.45500000000004"/>
  </r>
  <r>
    <s v="CL30229"/>
    <s v="E1055"/>
    <d v="2023-09-18T00:00:00"/>
    <x v="4"/>
    <s v="Travel expense"/>
    <n v="91.87"/>
    <s v="USD"/>
    <s v="Submitted"/>
    <s v="MgrA"/>
    <m/>
    <n v="1"/>
    <n v="91.87"/>
  </r>
  <r>
    <s v="CL30230"/>
    <s v="E1080"/>
    <d v="2023-04-11T00:00:00"/>
    <x v="1"/>
    <s v="Travel expense"/>
    <n v="60.99"/>
    <s v="GBP"/>
    <s v="Submitted"/>
    <s v="MgrB"/>
    <m/>
    <n v="1.27"/>
    <n v="77.457300000000004"/>
  </r>
  <r>
    <s v="CL30231"/>
    <s v="E1010"/>
    <d v="2024-06-22T00:00:00"/>
    <x v="0"/>
    <s v="Travel expense"/>
    <n v="714.11"/>
    <s v="EUR"/>
    <s v="Submitted"/>
    <s v="MgrA"/>
    <m/>
    <n v="1.08"/>
    <n v="771.23880000000008"/>
  </r>
  <r>
    <s v="CL30232"/>
    <s v="E1019"/>
    <d v="2023-04-05T00:00:00"/>
    <x v="1"/>
    <s v="Travel expense"/>
    <n v="391.49"/>
    <s v="GBP"/>
    <s v="Rejected"/>
    <s v="MgrB"/>
    <m/>
    <n v="1.27"/>
    <n v="497.19230000000005"/>
  </r>
  <r>
    <s v="CL30233"/>
    <s v="E1032"/>
    <d v="2023-02-17T00:00:00"/>
    <x v="2"/>
    <s v="Travel expense"/>
    <n v="206.85"/>
    <s v="GBP"/>
    <s v="Approved"/>
    <s v="MgrB"/>
    <m/>
    <n v="1.27"/>
    <n v="262.6995"/>
  </r>
  <r>
    <s v="CL30234"/>
    <s v="E1019"/>
    <d v="2023-03-17T00:00:00"/>
    <x v="1"/>
    <s v="Travel expense"/>
    <n v="622.08000000000004"/>
    <s v="USD"/>
    <s v="Paid"/>
    <s v="MgrC"/>
    <d v="2023-04-01T00:00:00"/>
    <n v="1"/>
    <n v="622.08000000000004"/>
  </r>
  <r>
    <s v="CL30235"/>
    <s v="E1112"/>
    <d v="2024-09-29T00:00:00"/>
    <x v="4"/>
    <s v="Travel expense"/>
    <n v="86.62"/>
    <s v="GBP"/>
    <s v="Paid"/>
    <s v="MgrA"/>
    <d v="2024-10-14T00:00:00"/>
    <n v="1.27"/>
    <n v="110.0074"/>
  </r>
  <r>
    <s v="CL30236"/>
    <s v="E1054"/>
    <d v="2025-01-15T00:00:00"/>
    <x v="0"/>
    <s v="Travel expense"/>
    <n v="722.72"/>
    <s v="USD"/>
    <s v="Paid"/>
    <s v="MgrA"/>
    <d v="2025-01-30T00:00:00"/>
    <n v="1"/>
    <n v="722.72"/>
  </r>
  <r>
    <s v="CL30237"/>
    <s v="E1009"/>
    <d v="2025-04-15T00:00:00"/>
    <x v="1"/>
    <s v="Travel expense"/>
    <n v="731.85"/>
    <s v="USD"/>
    <s v="Approved"/>
    <s v="MgrA"/>
    <m/>
    <n v="1"/>
    <n v="731.85"/>
  </r>
  <r>
    <s v="CL30238"/>
    <s v="E1019"/>
    <d v="2023-04-19T00:00:00"/>
    <x v="0"/>
    <s v="Travel expense"/>
    <n v="341.81"/>
    <s v="EUR"/>
    <s v="Submitted"/>
    <s v="MgrA"/>
    <m/>
    <n v="1.08"/>
    <n v="369.15480000000002"/>
  </r>
  <r>
    <s v="CL30239"/>
    <s v="E1093"/>
    <d v="2024-08-02T00:00:00"/>
    <x v="4"/>
    <s v="Travel expense"/>
    <n v="580.91999999999996"/>
    <s v="CAD"/>
    <s v="Submitted"/>
    <s v="MgrB"/>
    <m/>
    <n v="0.73"/>
    <n v="424.07159999999993"/>
  </r>
  <r>
    <s v="CL30240"/>
    <s v="E1119"/>
    <d v="2023-12-17T00:00:00"/>
    <x v="4"/>
    <s v="Travel expense"/>
    <n v="466.05"/>
    <s v="USD"/>
    <s v="Approved"/>
    <s v="MgrA"/>
    <m/>
    <n v="1"/>
    <n v="466.05"/>
  </r>
  <r>
    <s v="CL30241"/>
    <s v="E1070"/>
    <d v="2024-05-21T00:00:00"/>
    <x v="4"/>
    <s v="Travel expense"/>
    <n v="24.54"/>
    <s v="GBP"/>
    <s v="Rejected"/>
    <s v="MgrC"/>
    <m/>
    <n v="1.27"/>
    <n v="31.165800000000001"/>
  </r>
  <r>
    <s v="CL30242"/>
    <s v="E1087"/>
    <d v="2023-12-25T00:00:00"/>
    <x v="0"/>
    <s v="Travel expense"/>
    <n v="717.15"/>
    <s v="AUD"/>
    <s v="Paid"/>
    <s v="MgrC"/>
    <d v="2024-01-09T00:00:00"/>
    <n v="0.66"/>
    <n v="473.31900000000002"/>
  </r>
  <r>
    <s v="CL30243"/>
    <s v="E1007"/>
    <d v="2024-10-06T00:00:00"/>
    <x v="1"/>
    <s v="Travel expense"/>
    <n v="255.61"/>
    <s v="EUR"/>
    <s v="Rejected"/>
    <s v="MgrC"/>
    <m/>
    <n v="1.08"/>
    <n v="276.05880000000002"/>
  </r>
  <r>
    <s v="CL30244"/>
    <s v="E1116"/>
    <d v="2024-08-29T00:00:00"/>
    <x v="2"/>
    <s v="Travel expense"/>
    <n v="404.76"/>
    <s v="AUD"/>
    <s v="Approved"/>
    <s v="MgrC"/>
    <m/>
    <n v="0.66"/>
    <n v="267.14159999999998"/>
  </r>
  <r>
    <s v="CL30245"/>
    <s v="E1096"/>
    <d v="2023-02-21T00:00:00"/>
    <x v="3"/>
    <s v="Travel expense"/>
    <n v="82.29"/>
    <s v="GBP"/>
    <s v="Rejected"/>
    <s v="MgrB"/>
    <m/>
    <n v="1.27"/>
    <n v="104.50830000000001"/>
  </r>
  <r>
    <s v="CL30246"/>
    <s v="E1102"/>
    <d v="2023-01-12T00:00:00"/>
    <x v="2"/>
    <s v="Travel expense"/>
    <n v="28.88"/>
    <s v="USD"/>
    <s v="Rejected"/>
    <s v="MgrB"/>
    <m/>
    <n v="1"/>
    <n v="28.88"/>
  </r>
  <r>
    <s v="CL30247"/>
    <s v="E1046"/>
    <d v="2023-03-29T00:00:00"/>
    <x v="2"/>
    <s v="Travel expense"/>
    <n v="796.21"/>
    <s v="EUR"/>
    <s v="Approved"/>
    <s v="MgrC"/>
    <m/>
    <n v="1.08"/>
    <n v="859.90680000000009"/>
  </r>
  <r>
    <s v="CL30248"/>
    <s v="E1013"/>
    <d v="2023-08-06T00:00:00"/>
    <x v="3"/>
    <s v="Travel expense"/>
    <n v="391.87"/>
    <s v="USD"/>
    <s v="Submitted"/>
    <s v="MgrA"/>
    <m/>
    <n v="1"/>
    <n v="391.87"/>
  </r>
  <r>
    <s v="CL30249"/>
    <s v="E1035"/>
    <d v="2024-03-10T00:00:00"/>
    <x v="3"/>
    <s v="Travel expense"/>
    <n v="259.58"/>
    <s v="AUD"/>
    <s v="Paid"/>
    <s v="MgrB"/>
    <d v="2024-03-25T00:00:00"/>
    <n v="0.66"/>
    <n v="171.3228"/>
  </r>
  <r>
    <s v="CL30250"/>
    <s v="E1093"/>
    <d v="2023-06-03T00:00:00"/>
    <x v="0"/>
    <s v="Travel expense"/>
    <n v="708.18"/>
    <s v="CAD"/>
    <s v="Paid"/>
    <s v="MgrC"/>
    <d v="2023-06-18T00:00:00"/>
    <n v="0.73"/>
    <n v="516.9713999999999"/>
  </r>
  <r>
    <s v="CL30251"/>
    <s v="E1040"/>
    <d v="2023-02-14T00:00:00"/>
    <x v="4"/>
    <s v="Travel expense"/>
    <n v="371.53"/>
    <s v="EUR"/>
    <s v="Paid"/>
    <s v="MgrC"/>
    <d v="2023-03-01T00:00:00"/>
    <n v="1.08"/>
    <n v="401.25240000000002"/>
  </r>
  <r>
    <s v="CL30252"/>
    <s v="E1013"/>
    <d v="2023-09-27T00:00:00"/>
    <x v="1"/>
    <s v="Travel expense"/>
    <n v="116.51"/>
    <s v="CAD"/>
    <s v="Approved"/>
    <s v="MgrC"/>
    <m/>
    <n v="0.73"/>
    <n v="85.052300000000002"/>
  </r>
  <r>
    <s v="CL30253"/>
    <s v="E1026"/>
    <d v="2023-03-11T00:00:00"/>
    <x v="0"/>
    <s v="Travel expense"/>
    <n v="136.32"/>
    <s v="EUR"/>
    <s v="Submitted"/>
    <s v="MgrC"/>
    <m/>
    <n v="1.08"/>
    <n v="147.22560000000001"/>
  </r>
  <r>
    <s v="CL30254"/>
    <s v="E1082"/>
    <d v="2023-12-30T00:00:00"/>
    <x v="0"/>
    <s v="Travel expense"/>
    <n v="271.47000000000003"/>
    <s v="EUR"/>
    <s v="Submitted"/>
    <s v="MgrB"/>
    <m/>
    <n v="1.08"/>
    <n v="293.18760000000003"/>
  </r>
  <r>
    <s v="CL30255"/>
    <s v="E1050"/>
    <d v="2024-05-28T00:00:00"/>
    <x v="4"/>
    <s v="Travel expense"/>
    <n v="289.69"/>
    <s v="USD"/>
    <s v="Submitted"/>
    <s v="MgrA"/>
    <m/>
    <n v="1"/>
    <n v="289.69"/>
  </r>
  <r>
    <s v="CL30256"/>
    <s v="E1062"/>
    <d v="2023-06-15T00:00:00"/>
    <x v="3"/>
    <s v="Travel expense"/>
    <n v="402.59"/>
    <s v="EUR"/>
    <s v="Paid"/>
    <s v="MgrB"/>
    <d v="2023-06-30T00:00:00"/>
    <n v="1.08"/>
    <n v="434.79719999999998"/>
  </r>
  <r>
    <s v="CL30257"/>
    <s v="E1059"/>
    <d v="2025-04-15T00:00:00"/>
    <x v="4"/>
    <s v="Travel expense"/>
    <n v="653.5"/>
    <s v="AUD"/>
    <s v="Approved"/>
    <s v="MgrB"/>
    <m/>
    <n v="0.66"/>
    <n v="431.31"/>
  </r>
  <r>
    <s v="CL30258"/>
    <s v="E1113"/>
    <d v="2023-11-12T00:00:00"/>
    <x v="0"/>
    <s v="Travel expense"/>
    <n v="259.08"/>
    <s v="GBP"/>
    <s v="Rejected"/>
    <s v="MgrC"/>
    <m/>
    <n v="1.27"/>
    <n v="329.03159999999997"/>
  </r>
  <r>
    <s v="CL30259"/>
    <s v="E1088"/>
    <d v="2023-01-30T00:00:00"/>
    <x v="3"/>
    <s v="Travel expense"/>
    <n v="176.23"/>
    <s v="GBP"/>
    <s v="Rejected"/>
    <s v="MgrB"/>
    <m/>
    <n v="1.27"/>
    <n v="223.81209999999999"/>
  </r>
  <r>
    <s v="CL30260"/>
    <s v="E1100"/>
    <d v="2023-03-27T00:00:00"/>
    <x v="3"/>
    <s v="Travel expense"/>
    <n v="339.08"/>
    <s v="AUD"/>
    <s v="Submitted"/>
    <s v="MgrB"/>
    <m/>
    <n v="0.66"/>
    <n v="223.7928"/>
  </r>
  <r>
    <s v="CL30261"/>
    <s v="E1090"/>
    <d v="2024-01-17T00:00:00"/>
    <x v="2"/>
    <s v="Travel expense"/>
    <n v="324.38"/>
    <s v="USD"/>
    <s v="Approved"/>
    <s v="MgrC"/>
    <m/>
    <n v="1"/>
    <n v="324.38"/>
  </r>
  <r>
    <s v="CL30262"/>
    <s v="E1059"/>
    <d v="2024-02-21T00:00:00"/>
    <x v="3"/>
    <s v="Travel expense"/>
    <n v="572.25"/>
    <s v="EUR"/>
    <s v="Submitted"/>
    <s v="MgrA"/>
    <m/>
    <n v="1.08"/>
    <n v="618.03000000000009"/>
  </r>
  <r>
    <s v="CL30263"/>
    <s v="E1018"/>
    <d v="2024-05-05T00:00:00"/>
    <x v="4"/>
    <s v="Travel expense"/>
    <n v="32.46"/>
    <s v="CAD"/>
    <s v="Approved"/>
    <s v="MgrB"/>
    <m/>
    <n v="0.73"/>
    <n v="23.695799999999998"/>
  </r>
  <r>
    <s v="CL30264"/>
    <s v="E1045"/>
    <d v="2024-03-02T00:00:00"/>
    <x v="2"/>
    <s v="Travel expense"/>
    <n v="247.84"/>
    <s v="GBP"/>
    <s v="Rejected"/>
    <s v="MgrB"/>
    <m/>
    <n v="1.27"/>
    <n v="314.7568"/>
  </r>
  <r>
    <s v="CL30265"/>
    <s v="E1045"/>
    <d v="2024-08-05T00:00:00"/>
    <x v="1"/>
    <s v="Travel expense"/>
    <n v="93.91"/>
    <s v="EUR"/>
    <s v="Submitted"/>
    <s v="MgrA"/>
    <m/>
    <n v="1.08"/>
    <n v="101.42280000000001"/>
  </r>
  <r>
    <s v="CL30266"/>
    <s v="E1001"/>
    <d v="2025-03-18T00:00:00"/>
    <x v="0"/>
    <s v="Travel expense"/>
    <n v="59.5"/>
    <s v="AUD"/>
    <s v="Approved"/>
    <s v="MgrB"/>
    <m/>
    <n v="0.66"/>
    <n v="39.270000000000003"/>
  </r>
  <r>
    <s v="CL30267"/>
    <s v="E1040"/>
    <d v="2023-12-11T00:00:00"/>
    <x v="1"/>
    <s v="Travel expense"/>
    <n v="407.25"/>
    <s v="AUD"/>
    <s v="Approved"/>
    <s v="MgrB"/>
    <m/>
    <n v="0.66"/>
    <n v="268.78500000000003"/>
  </r>
  <r>
    <s v="CL30268"/>
    <s v="E1103"/>
    <d v="2023-01-06T00:00:00"/>
    <x v="3"/>
    <s v="Travel expense"/>
    <n v="64.959999999999994"/>
    <s v="CAD"/>
    <s v="Rejected"/>
    <s v="MgrA"/>
    <m/>
    <n v="0.73"/>
    <n v="47.420799999999993"/>
  </r>
  <r>
    <s v="CL30269"/>
    <s v="E1015"/>
    <d v="2024-11-11T00:00:00"/>
    <x v="4"/>
    <s v="Travel expense"/>
    <n v="525.55999999999995"/>
    <s v="EUR"/>
    <s v="Paid"/>
    <s v="MgrA"/>
    <d v="2024-11-26T00:00:00"/>
    <n v="1.08"/>
    <n v="567.60479999999995"/>
  </r>
  <r>
    <s v="CL30270"/>
    <s v="E1062"/>
    <d v="2024-09-07T00:00:00"/>
    <x v="1"/>
    <s v="Travel expense"/>
    <n v="763.36"/>
    <s v="EUR"/>
    <s v="Approved"/>
    <s v="MgrB"/>
    <m/>
    <n v="1.08"/>
    <n v="824.42880000000002"/>
  </r>
  <r>
    <s v="CL30271"/>
    <s v="E1070"/>
    <d v="2025-03-16T00:00:00"/>
    <x v="2"/>
    <s v="Travel expense"/>
    <n v="616.5"/>
    <s v="GBP"/>
    <s v="Approved"/>
    <s v="MgrB"/>
    <m/>
    <n v="1.27"/>
    <n v="782.95500000000004"/>
  </r>
  <r>
    <s v="CL30272"/>
    <s v="E1043"/>
    <d v="2025-03-15T00:00:00"/>
    <x v="4"/>
    <s v="Travel expense"/>
    <n v="163.71"/>
    <s v="EUR"/>
    <s v="Submitted"/>
    <s v="MgrB"/>
    <m/>
    <n v="1.08"/>
    <n v="176.80680000000001"/>
  </r>
  <r>
    <s v="CL30273"/>
    <s v="E1047"/>
    <d v="2024-08-15T00:00:00"/>
    <x v="4"/>
    <s v="Travel expense"/>
    <n v="407.96"/>
    <s v="CAD"/>
    <s v="Submitted"/>
    <s v="MgrB"/>
    <m/>
    <n v="0.73"/>
    <n v="297.81079999999997"/>
  </r>
  <r>
    <s v="CL30274"/>
    <s v="E1007"/>
    <d v="2023-08-02T00:00:00"/>
    <x v="3"/>
    <s v="Travel expense"/>
    <n v="445.15"/>
    <s v="GBP"/>
    <s v="Paid"/>
    <s v="MgrC"/>
    <d v="2023-08-17T00:00:00"/>
    <n v="1.27"/>
    <n v="565.34050000000002"/>
  </r>
  <r>
    <s v="CL30275"/>
    <s v="E1117"/>
    <d v="2025-06-27T00:00:00"/>
    <x v="0"/>
    <s v="Travel expense"/>
    <n v="674.86"/>
    <s v="AUD"/>
    <s v="Submitted"/>
    <s v="MgrA"/>
    <m/>
    <n v="0.66"/>
    <n v="445.4076"/>
  </r>
  <r>
    <s v="CL30276"/>
    <s v="E1109"/>
    <d v="2023-10-08T00:00:00"/>
    <x v="4"/>
    <s v="Travel expense"/>
    <n v="337.92"/>
    <s v="EUR"/>
    <s v="Approved"/>
    <s v="MgrB"/>
    <m/>
    <n v="1.08"/>
    <n v="364.95360000000005"/>
  </r>
  <r>
    <s v="CL30277"/>
    <s v="E1067"/>
    <d v="2024-08-13T00:00:00"/>
    <x v="2"/>
    <s v="Travel expense"/>
    <n v="454.43"/>
    <s v="AUD"/>
    <s v="Approved"/>
    <s v="MgrA"/>
    <m/>
    <n v="0.66"/>
    <n v="299.92380000000003"/>
  </r>
  <r>
    <s v="CL30278"/>
    <s v="E1050"/>
    <d v="2023-01-08T00:00:00"/>
    <x v="1"/>
    <s v="Travel expense"/>
    <n v="683.74"/>
    <s v="AUD"/>
    <s v="Submitted"/>
    <s v="MgrC"/>
    <m/>
    <n v="0.66"/>
    <n v="451.26840000000004"/>
  </r>
  <r>
    <s v="CL30279"/>
    <s v="E1107"/>
    <d v="2023-06-27T00:00:00"/>
    <x v="1"/>
    <s v="Travel expense"/>
    <n v="304.27"/>
    <s v="CAD"/>
    <s v="Paid"/>
    <s v="MgrC"/>
    <d v="2023-07-12T00:00:00"/>
    <n v="0.73"/>
    <n v="222.11709999999999"/>
  </r>
  <r>
    <s v="CL30280"/>
    <s v="E1051"/>
    <d v="2023-06-13T00:00:00"/>
    <x v="4"/>
    <s v="Travel expense"/>
    <n v="198.48"/>
    <s v="CAD"/>
    <s v="Approved"/>
    <s v="MgrB"/>
    <m/>
    <n v="0.73"/>
    <n v="144.8904"/>
  </r>
  <r>
    <s v="CL30281"/>
    <s v="E1097"/>
    <d v="2024-01-19T00:00:00"/>
    <x v="4"/>
    <s v="Travel expense"/>
    <n v="64.66"/>
    <s v="USD"/>
    <s v="Submitted"/>
    <s v="MgrA"/>
    <m/>
    <n v="1"/>
    <n v="64.66"/>
  </r>
  <r>
    <s v="CL30282"/>
    <s v="E1104"/>
    <d v="2023-08-01T00:00:00"/>
    <x v="0"/>
    <s v="Travel expense"/>
    <n v="398.39"/>
    <s v="GBP"/>
    <s v="Approved"/>
    <s v="MgrB"/>
    <m/>
    <n v="1.27"/>
    <n v="505.95529999999997"/>
  </r>
  <r>
    <s v="CL30283"/>
    <s v="E1099"/>
    <d v="2023-11-13T00:00:00"/>
    <x v="1"/>
    <s v="Travel expense"/>
    <n v="448.63"/>
    <s v="GBP"/>
    <s v="Submitted"/>
    <s v="MgrB"/>
    <m/>
    <n v="1.27"/>
    <n v="569.76009999999997"/>
  </r>
  <r>
    <s v="CL30284"/>
    <s v="E1022"/>
    <d v="2023-04-09T00:00:00"/>
    <x v="3"/>
    <s v="Travel expense"/>
    <n v="322.81"/>
    <s v="CAD"/>
    <s v="Approved"/>
    <s v="MgrC"/>
    <m/>
    <n v="0.73"/>
    <n v="235.65129999999999"/>
  </r>
  <r>
    <s v="CL30285"/>
    <s v="E1032"/>
    <d v="2024-03-22T00:00:00"/>
    <x v="3"/>
    <s v="Travel expense"/>
    <n v="185.43"/>
    <s v="USD"/>
    <s v="Rejected"/>
    <s v="MgrC"/>
    <m/>
    <n v="1"/>
    <n v="185.43"/>
  </r>
  <r>
    <s v="CL30286"/>
    <s v="E1068"/>
    <d v="2024-11-07T00:00:00"/>
    <x v="1"/>
    <s v="Travel expense"/>
    <n v="588.23"/>
    <s v="USD"/>
    <s v="Approved"/>
    <s v="MgrB"/>
    <m/>
    <n v="1"/>
    <n v="588.23"/>
  </r>
  <r>
    <s v="CL30287"/>
    <s v="E1040"/>
    <d v="2025-05-17T00:00:00"/>
    <x v="4"/>
    <s v="Travel expense"/>
    <n v="798.77"/>
    <s v="USD"/>
    <s v="Submitted"/>
    <s v="MgrA"/>
    <m/>
    <n v="1"/>
    <n v="798.77"/>
  </r>
  <r>
    <s v="CL30288"/>
    <s v="E1035"/>
    <d v="2024-08-31T00:00:00"/>
    <x v="2"/>
    <s v="Travel expense"/>
    <n v="312.02"/>
    <s v="USD"/>
    <s v="Submitted"/>
    <s v="MgrB"/>
    <m/>
    <n v="1"/>
    <n v="312.02"/>
  </r>
  <r>
    <s v="CL30289"/>
    <s v="E1109"/>
    <d v="2024-03-05T00:00:00"/>
    <x v="2"/>
    <s v="Travel expense"/>
    <n v="354.85"/>
    <s v="CAD"/>
    <s v="Rejected"/>
    <s v="MgrA"/>
    <m/>
    <n v="0.73"/>
    <n v="259.04050000000001"/>
  </r>
  <r>
    <s v="CL30290"/>
    <s v="E1065"/>
    <d v="2023-05-01T00:00:00"/>
    <x v="1"/>
    <s v="Travel expense"/>
    <n v="46.28"/>
    <s v="USD"/>
    <s v="Approved"/>
    <s v="MgrB"/>
    <m/>
    <n v="1"/>
    <n v="46.28"/>
  </r>
  <r>
    <s v="CL30291"/>
    <s v="E1045"/>
    <d v="2023-07-28T00:00:00"/>
    <x v="1"/>
    <s v="Travel expense"/>
    <n v="128.09"/>
    <s v="USD"/>
    <s v="Paid"/>
    <s v="MgrB"/>
    <d v="2023-08-12T00:00:00"/>
    <n v="1"/>
    <n v="128.09"/>
  </r>
  <r>
    <s v="CL30292"/>
    <s v="E1006"/>
    <d v="2025-05-03T00:00:00"/>
    <x v="1"/>
    <s v="Travel expense"/>
    <n v="794.56"/>
    <s v="EUR"/>
    <s v="Approved"/>
    <s v="MgrB"/>
    <m/>
    <n v="1.08"/>
    <n v="858.12480000000005"/>
  </r>
  <r>
    <s v="CL30293"/>
    <s v="E1045"/>
    <d v="2024-05-05T00:00:00"/>
    <x v="3"/>
    <s v="Travel expense"/>
    <n v="95.22"/>
    <s v="EUR"/>
    <s v="Approved"/>
    <s v="MgrA"/>
    <m/>
    <n v="1.08"/>
    <n v="102.83760000000001"/>
  </r>
  <r>
    <s v="CL30294"/>
    <s v="E1084"/>
    <d v="2025-05-22T00:00:00"/>
    <x v="3"/>
    <s v="Travel expense"/>
    <n v="676.95"/>
    <s v="USD"/>
    <s v="Submitted"/>
    <s v="MgrB"/>
    <m/>
    <n v="1"/>
    <n v="676.95"/>
  </r>
  <r>
    <s v="CL30295"/>
    <s v="E1055"/>
    <d v="2024-07-10T00:00:00"/>
    <x v="4"/>
    <s v="Travel expense"/>
    <n v="560.11"/>
    <s v="EUR"/>
    <s v="Submitted"/>
    <s v="MgrB"/>
    <m/>
    <n v="1.08"/>
    <n v="604.91880000000003"/>
  </r>
  <r>
    <s v="CL30296"/>
    <s v="E1075"/>
    <d v="2023-07-05T00:00:00"/>
    <x v="4"/>
    <s v="Travel expense"/>
    <n v="320.61"/>
    <s v="GBP"/>
    <s v="Paid"/>
    <s v="MgrC"/>
    <d v="2023-07-20T00:00:00"/>
    <n v="1.27"/>
    <n v="407.17470000000003"/>
  </r>
  <r>
    <s v="CL30297"/>
    <s v="E1004"/>
    <d v="2023-01-30T00:00:00"/>
    <x v="0"/>
    <s v="Travel expense"/>
    <n v="586.84"/>
    <s v="USD"/>
    <s v="Paid"/>
    <s v="MgrB"/>
    <d v="2023-02-14T00:00:00"/>
    <n v="1"/>
    <n v="586.84"/>
  </r>
  <r>
    <s v="CL30298"/>
    <s v="E1048"/>
    <d v="2023-12-22T00:00:00"/>
    <x v="0"/>
    <s v="Travel expense"/>
    <n v="140.75"/>
    <s v="USD"/>
    <s v="Submitted"/>
    <s v="MgrC"/>
    <m/>
    <n v="1"/>
    <n v="140.75"/>
  </r>
  <r>
    <s v="CL30299"/>
    <s v="E1038"/>
    <d v="2024-11-02T00:00:00"/>
    <x v="3"/>
    <s v="Travel expense"/>
    <n v="609.83000000000004"/>
    <s v="GBP"/>
    <s v="Approved"/>
    <s v="MgrB"/>
    <m/>
    <n v="1.27"/>
    <n v="774.48410000000001"/>
  </r>
  <r>
    <s v="CL30300"/>
    <s v="E1098"/>
    <d v="2023-06-23T00:00:00"/>
    <x v="3"/>
    <s v="Travel expense"/>
    <n v="247.87"/>
    <s v="GBP"/>
    <s v="Submitted"/>
    <s v="MgrA"/>
    <m/>
    <n v="1.27"/>
    <n v="314.79489999999998"/>
  </r>
  <r>
    <s v="CL30301"/>
    <s v="E1079"/>
    <d v="2024-07-30T00:00:00"/>
    <x v="3"/>
    <s v="Travel expense"/>
    <n v="472.51"/>
    <s v="CAD"/>
    <s v="Rejected"/>
    <s v="MgrB"/>
    <m/>
    <n v="0.73"/>
    <n v="344.9323"/>
  </r>
  <r>
    <s v="CL30302"/>
    <s v="E1055"/>
    <d v="2023-03-20T00:00:00"/>
    <x v="1"/>
    <s v="Travel expense"/>
    <n v="490.67"/>
    <s v="AUD"/>
    <s v="Submitted"/>
    <s v="MgrA"/>
    <m/>
    <n v="0.66"/>
    <n v="323.84220000000005"/>
  </r>
  <r>
    <s v="CL30303"/>
    <s v="E1032"/>
    <d v="2025-02-14T00:00:00"/>
    <x v="4"/>
    <s v="Travel expense"/>
    <n v="743.54"/>
    <s v="USD"/>
    <s v="Approved"/>
    <s v="MgrA"/>
    <m/>
    <n v="1"/>
    <n v="743.54"/>
  </r>
  <r>
    <s v="CL30304"/>
    <s v="E1025"/>
    <d v="2025-04-03T00:00:00"/>
    <x v="2"/>
    <s v="Travel expense"/>
    <n v="257.58999999999997"/>
    <s v="CAD"/>
    <s v="Rejected"/>
    <s v="MgrC"/>
    <m/>
    <n v="0.73"/>
    <n v="188.04069999999999"/>
  </r>
  <r>
    <s v="CL30305"/>
    <s v="E1029"/>
    <d v="2024-10-25T00:00:00"/>
    <x v="0"/>
    <s v="Travel expense"/>
    <n v="65.94"/>
    <s v="AUD"/>
    <s v="Submitted"/>
    <s v="MgrC"/>
    <m/>
    <n v="0.66"/>
    <n v="43.520400000000002"/>
  </r>
  <r>
    <s v="CL30306"/>
    <s v="E1119"/>
    <d v="2023-07-13T00:00:00"/>
    <x v="2"/>
    <s v="Travel expense"/>
    <n v="629.5"/>
    <s v="CAD"/>
    <s v="Rejected"/>
    <s v="MgrA"/>
    <m/>
    <n v="0.73"/>
    <n v="459.53499999999997"/>
  </r>
  <r>
    <s v="CL30307"/>
    <s v="E1054"/>
    <d v="2025-02-21T00:00:00"/>
    <x v="2"/>
    <s v="Travel expense"/>
    <n v="563.27"/>
    <s v="GBP"/>
    <s v="Submitted"/>
    <s v="MgrB"/>
    <m/>
    <n v="1.27"/>
    <n v="715.35289999999998"/>
  </r>
  <r>
    <s v="CL30308"/>
    <s v="E1081"/>
    <d v="2023-12-01T00:00:00"/>
    <x v="2"/>
    <s v="Travel expense"/>
    <n v="513.62"/>
    <s v="GBP"/>
    <s v="Rejected"/>
    <s v="MgrB"/>
    <m/>
    <n v="1.27"/>
    <n v="652.29740000000004"/>
  </r>
  <r>
    <s v="CL30309"/>
    <s v="E1005"/>
    <d v="2024-11-30T00:00:00"/>
    <x v="2"/>
    <s v="Travel expense"/>
    <n v="130.13"/>
    <s v="CAD"/>
    <s v="Paid"/>
    <s v="MgrA"/>
    <d v="2024-12-15T00:00:00"/>
    <n v="0.73"/>
    <n v="94.994900000000001"/>
  </r>
  <r>
    <s v="CL30310"/>
    <s v="E1038"/>
    <d v="2023-12-16T00:00:00"/>
    <x v="0"/>
    <s v="Travel expense"/>
    <n v="50.07"/>
    <s v="GBP"/>
    <s v="Submitted"/>
    <s v="MgrA"/>
    <m/>
    <n v="1.27"/>
    <n v="63.588900000000002"/>
  </r>
  <r>
    <s v="CL30311"/>
    <s v="E1068"/>
    <d v="2025-03-31T00:00:00"/>
    <x v="4"/>
    <s v="Travel expense"/>
    <n v="56.56"/>
    <s v="GBP"/>
    <s v="Approved"/>
    <s v="MgrB"/>
    <m/>
    <n v="1.27"/>
    <n v="71.83120000000001"/>
  </r>
  <r>
    <s v="CL30312"/>
    <s v="E1017"/>
    <d v="2024-08-18T00:00:00"/>
    <x v="0"/>
    <s v="Travel expense"/>
    <n v="327.33"/>
    <s v="EUR"/>
    <s v="Submitted"/>
    <s v="MgrB"/>
    <m/>
    <n v="1.08"/>
    <n v="353.51640000000003"/>
  </r>
  <r>
    <s v="CL30313"/>
    <s v="E1100"/>
    <d v="2023-03-10T00:00:00"/>
    <x v="1"/>
    <s v="Travel expense"/>
    <n v="33.83"/>
    <s v="CAD"/>
    <s v="Rejected"/>
    <s v="MgrA"/>
    <m/>
    <n v="0.73"/>
    <n v="24.695899999999998"/>
  </r>
  <r>
    <s v="CL30314"/>
    <s v="E1106"/>
    <d v="2025-03-08T00:00:00"/>
    <x v="0"/>
    <s v="Travel expense"/>
    <n v="724.38"/>
    <s v="AUD"/>
    <s v="Paid"/>
    <s v="MgrC"/>
    <d v="2025-03-23T00:00:00"/>
    <n v="0.66"/>
    <n v="478.0908"/>
  </r>
  <r>
    <s v="CL30315"/>
    <s v="E1034"/>
    <d v="2023-02-01T00:00:00"/>
    <x v="0"/>
    <s v="Travel expense"/>
    <n v="267.31"/>
    <s v="AUD"/>
    <s v="Rejected"/>
    <s v="MgrB"/>
    <m/>
    <n v="0.66"/>
    <n v="176.4246"/>
  </r>
  <r>
    <s v="CL30316"/>
    <s v="E1073"/>
    <d v="2024-01-02T00:00:00"/>
    <x v="1"/>
    <s v="Travel expense"/>
    <n v="633.9"/>
    <s v="EUR"/>
    <s v="Paid"/>
    <s v="MgrC"/>
    <d v="2024-01-17T00:00:00"/>
    <n v="1.08"/>
    <n v="684.61199999999997"/>
  </r>
  <r>
    <s v="CL30317"/>
    <s v="E1056"/>
    <d v="2023-09-29T00:00:00"/>
    <x v="1"/>
    <s v="Travel expense"/>
    <n v="397.15"/>
    <s v="CAD"/>
    <s v="Submitted"/>
    <s v="MgrB"/>
    <m/>
    <n v="0.73"/>
    <n v="289.91949999999997"/>
  </r>
  <r>
    <s v="CL30318"/>
    <s v="E1002"/>
    <d v="2023-06-05T00:00:00"/>
    <x v="1"/>
    <s v="Travel expense"/>
    <n v="248.75"/>
    <s v="CAD"/>
    <s v="Rejected"/>
    <s v="MgrA"/>
    <m/>
    <n v="0.73"/>
    <n v="181.58750000000001"/>
  </r>
  <r>
    <s v="CL30319"/>
    <s v="E1025"/>
    <d v="2025-03-22T00:00:00"/>
    <x v="4"/>
    <s v="Travel expense"/>
    <n v="320.19"/>
    <s v="GBP"/>
    <s v="Submitted"/>
    <s v="MgrC"/>
    <m/>
    <n v="1.27"/>
    <n v="406.6413"/>
  </r>
  <r>
    <s v="CL30320"/>
    <s v="E1057"/>
    <d v="2023-09-23T00:00:00"/>
    <x v="0"/>
    <s v="Travel expense"/>
    <n v="73.36"/>
    <s v="CAD"/>
    <s v="Paid"/>
    <s v="MgrA"/>
    <d v="2023-10-08T00:00:00"/>
    <n v="0.73"/>
    <n v="53.552799999999998"/>
  </r>
  <r>
    <s v="CL30321"/>
    <s v="E1059"/>
    <d v="2025-04-19T00:00:00"/>
    <x v="1"/>
    <s v="Travel expense"/>
    <n v="445.19"/>
    <s v="CAD"/>
    <s v="Paid"/>
    <s v="MgrB"/>
    <d v="2025-05-04T00:00:00"/>
    <n v="0.73"/>
    <n v="324.98869999999999"/>
  </r>
  <r>
    <s v="CL30322"/>
    <s v="E1024"/>
    <d v="2023-09-23T00:00:00"/>
    <x v="3"/>
    <s v="Travel expense"/>
    <n v="454.27"/>
    <s v="GBP"/>
    <s v="Rejected"/>
    <s v="MgrB"/>
    <m/>
    <n v="1.27"/>
    <n v="576.92290000000003"/>
  </r>
  <r>
    <s v="CL30323"/>
    <s v="E1099"/>
    <d v="2023-06-03T00:00:00"/>
    <x v="0"/>
    <s v="Travel expense"/>
    <n v="386.91"/>
    <s v="USD"/>
    <s v="Approved"/>
    <s v="MgrC"/>
    <m/>
    <n v="1"/>
    <n v="386.91"/>
  </r>
  <r>
    <s v="CL30324"/>
    <s v="E1049"/>
    <d v="2024-12-02T00:00:00"/>
    <x v="3"/>
    <s v="Travel expense"/>
    <n v="265.87"/>
    <s v="USD"/>
    <s v="Rejected"/>
    <s v="MgrC"/>
    <m/>
    <n v="1"/>
    <n v="265.87"/>
  </r>
  <r>
    <s v="CL30325"/>
    <s v="E1077"/>
    <d v="2024-10-13T00:00:00"/>
    <x v="1"/>
    <s v="Travel expense"/>
    <n v="364.35"/>
    <s v="EUR"/>
    <s v="Rejected"/>
    <s v="MgrB"/>
    <m/>
    <n v="1.08"/>
    <n v="393.49800000000005"/>
  </r>
  <r>
    <s v="CL30326"/>
    <s v="E1074"/>
    <d v="2024-10-11T00:00:00"/>
    <x v="3"/>
    <s v="Travel expense"/>
    <n v="89.12"/>
    <s v="AUD"/>
    <s v="Approved"/>
    <s v="MgrA"/>
    <m/>
    <n v="0.66"/>
    <n v="58.819200000000009"/>
  </r>
  <r>
    <s v="CL30327"/>
    <s v="E1103"/>
    <d v="2023-09-05T00:00:00"/>
    <x v="0"/>
    <s v="Travel expense"/>
    <n v="93.96"/>
    <s v="CAD"/>
    <s v="Paid"/>
    <s v="MgrB"/>
    <d v="2023-09-20T00:00:00"/>
    <n v="0.73"/>
    <n v="68.590799999999987"/>
  </r>
  <r>
    <s v="CL30328"/>
    <s v="E1005"/>
    <d v="2024-05-10T00:00:00"/>
    <x v="4"/>
    <s v="Travel expense"/>
    <n v="608.70000000000005"/>
    <s v="EUR"/>
    <s v="Submitted"/>
    <s v="MgrC"/>
    <m/>
    <n v="1.08"/>
    <n v="657.39600000000007"/>
  </r>
  <r>
    <s v="CL30329"/>
    <s v="E1057"/>
    <d v="2023-07-22T00:00:00"/>
    <x v="0"/>
    <s v="Travel expense"/>
    <n v="42.7"/>
    <s v="USD"/>
    <s v="Rejected"/>
    <s v="MgrC"/>
    <m/>
    <n v="1"/>
    <n v="42.7"/>
  </r>
  <r>
    <s v="CL30330"/>
    <s v="E1093"/>
    <d v="2025-04-06T00:00:00"/>
    <x v="4"/>
    <s v="Travel expense"/>
    <n v="343.5"/>
    <s v="CAD"/>
    <s v="Approved"/>
    <s v="MgrB"/>
    <m/>
    <n v="0.73"/>
    <n v="250.755"/>
  </r>
  <r>
    <s v="CL30331"/>
    <s v="E1019"/>
    <d v="2024-01-12T00:00:00"/>
    <x v="2"/>
    <s v="Travel expense"/>
    <n v="726.15"/>
    <s v="USD"/>
    <s v="Rejected"/>
    <s v="MgrA"/>
    <m/>
    <n v="1"/>
    <n v="726.15"/>
  </r>
  <r>
    <s v="CL30332"/>
    <s v="E1099"/>
    <d v="2023-05-24T00:00:00"/>
    <x v="1"/>
    <s v="Travel expense"/>
    <n v="548.04999999999995"/>
    <s v="AUD"/>
    <s v="Approved"/>
    <s v="MgrB"/>
    <m/>
    <n v="0.66"/>
    <n v="361.71299999999997"/>
  </r>
  <r>
    <s v="CL30333"/>
    <s v="E1092"/>
    <d v="2023-04-14T00:00:00"/>
    <x v="3"/>
    <s v="Travel expense"/>
    <n v="542.13"/>
    <s v="USD"/>
    <s v="Paid"/>
    <s v="MgrA"/>
    <d v="2023-04-29T00:00:00"/>
    <n v="1"/>
    <n v="542.13"/>
  </r>
  <r>
    <s v="CL30334"/>
    <s v="E1047"/>
    <d v="2024-05-13T00:00:00"/>
    <x v="3"/>
    <s v="Travel expense"/>
    <n v="445.19"/>
    <s v="GBP"/>
    <s v="Approved"/>
    <s v="MgrC"/>
    <m/>
    <n v="1.27"/>
    <n v="565.3913"/>
  </r>
  <r>
    <s v="CL30335"/>
    <s v="E1021"/>
    <d v="2023-08-30T00:00:00"/>
    <x v="0"/>
    <s v="Travel expense"/>
    <n v="171.94"/>
    <s v="USD"/>
    <s v="Approved"/>
    <s v="MgrC"/>
    <m/>
    <n v="1"/>
    <n v="171.94"/>
  </r>
  <r>
    <s v="CL30336"/>
    <s v="E1099"/>
    <d v="2024-07-30T00:00:00"/>
    <x v="2"/>
    <s v="Travel expense"/>
    <n v="411.72"/>
    <s v="USD"/>
    <s v="Submitted"/>
    <s v="MgrA"/>
    <m/>
    <n v="1"/>
    <n v="411.72"/>
  </r>
  <r>
    <s v="CL30337"/>
    <s v="E1112"/>
    <d v="2025-05-05T00:00:00"/>
    <x v="2"/>
    <s v="Travel expense"/>
    <n v="62.81"/>
    <s v="EUR"/>
    <s v="Approved"/>
    <s v="MgrA"/>
    <m/>
    <n v="1.08"/>
    <n v="67.834800000000001"/>
  </r>
  <r>
    <s v="CL30338"/>
    <s v="E1049"/>
    <d v="2024-01-31T00:00:00"/>
    <x v="0"/>
    <s v="Travel expense"/>
    <n v="544.24"/>
    <s v="CAD"/>
    <s v="Approved"/>
    <s v="MgrC"/>
    <m/>
    <n v="0.73"/>
    <n v="397.29520000000002"/>
  </r>
  <r>
    <s v="CL30339"/>
    <s v="E1080"/>
    <d v="2023-03-20T00:00:00"/>
    <x v="4"/>
    <s v="Travel expense"/>
    <n v="403.74"/>
    <s v="GBP"/>
    <s v="Approved"/>
    <s v="MgrB"/>
    <m/>
    <n v="1.27"/>
    <n v="512.74980000000005"/>
  </r>
  <r>
    <s v="CL30340"/>
    <s v="E1062"/>
    <d v="2023-02-18T00:00:00"/>
    <x v="0"/>
    <s v="Travel expense"/>
    <n v="333.4"/>
    <s v="AUD"/>
    <s v="Paid"/>
    <s v="MgrC"/>
    <d v="2023-03-05T00:00:00"/>
    <n v="0.66"/>
    <n v="220.04399999999998"/>
  </r>
  <r>
    <s v="CL30341"/>
    <s v="E1114"/>
    <d v="2024-12-23T00:00:00"/>
    <x v="3"/>
    <s v="Travel expense"/>
    <n v="234.67"/>
    <s v="AUD"/>
    <s v="Rejected"/>
    <s v="MgrC"/>
    <m/>
    <n v="0.66"/>
    <n v="154.88220000000001"/>
  </r>
  <r>
    <s v="CL30342"/>
    <s v="E1112"/>
    <d v="2023-08-22T00:00:00"/>
    <x v="4"/>
    <s v="Travel expense"/>
    <n v="605.37"/>
    <s v="AUD"/>
    <s v="Approved"/>
    <s v="MgrC"/>
    <m/>
    <n v="0.66"/>
    <n v="399.54420000000005"/>
  </r>
  <r>
    <s v="CL30343"/>
    <s v="E1008"/>
    <d v="2024-01-24T00:00:00"/>
    <x v="0"/>
    <s v="Travel expense"/>
    <n v="576.5"/>
    <s v="CAD"/>
    <s v="Approved"/>
    <s v="MgrC"/>
    <m/>
    <n v="0.73"/>
    <n v="420.84499999999997"/>
  </r>
  <r>
    <s v="CL30344"/>
    <s v="E1082"/>
    <d v="2025-01-21T00:00:00"/>
    <x v="3"/>
    <s v="Travel expense"/>
    <n v="780.13"/>
    <s v="AUD"/>
    <s v="Paid"/>
    <s v="MgrA"/>
    <d v="2025-02-05T00:00:00"/>
    <n v="0.66"/>
    <n v="514.88580000000002"/>
  </r>
  <r>
    <s v="CL30345"/>
    <s v="E1031"/>
    <d v="2024-05-09T00:00:00"/>
    <x v="0"/>
    <s v="Travel expense"/>
    <n v="158.72999999999999"/>
    <s v="CAD"/>
    <s v="Paid"/>
    <s v="MgrA"/>
    <d v="2024-05-24T00:00:00"/>
    <n v="0.73"/>
    <n v="115.87289999999999"/>
  </r>
  <r>
    <s v="CL30346"/>
    <s v="E1005"/>
    <d v="2023-02-16T00:00:00"/>
    <x v="0"/>
    <s v="Travel expense"/>
    <n v="54.53"/>
    <s v="GBP"/>
    <s v="Approved"/>
    <s v="MgrA"/>
    <m/>
    <n v="1.27"/>
    <n v="69.253100000000003"/>
  </r>
  <r>
    <s v="CL30347"/>
    <s v="E1057"/>
    <d v="2023-07-18T00:00:00"/>
    <x v="0"/>
    <s v="Travel expense"/>
    <n v="601.66"/>
    <s v="GBP"/>
    <s v="Approved"/>
    <s v="MgrA"/>
    <m/>
    <n v="1.27"/>
    <n v="764.10820000000001"/>
  </r>
  <r>
    <s v="CL30348"/>
    <s v="E1097"/>
    <d v="2023-01-05T00:00:00"/>
    <x v="4"/>
    <s v="Travel expense"/>
    <n v="407.6"/>
    <s v="AUD"/>
    <s v="Approved"/>
    <s v="MgrA"/>
    <m/>
    <n v="0.66"/>
    <n v="269.01600000000002"/>
  </r>
  <r>
    <s v="CL30349"/>
    <s v="E1086"/>
    <d v="2023-08-05T00:00:00"/>
    <x v="1"/>
    <s v="Travel expense"/>
    <n v="523.49"/>
    <s v="USD"/>
    <s v="Approved"/>
    <s v="MgrB"/>
    <m/>
    <n v="1"/>
    <n v="523.49"/>
  </r>
  <r>
    <s v="CL30350"/>
    <s v="E1064"/>
    <d v="2023-05-27T00:00:00"/>
    <x v="2"/>
    <s v="Travel expense"/>
    <n v="477.32"/>
    <s v="EUR"/>
    <s v="Submitted"/>
    <s v="MgrB"/>
    <m/>
    <n v="1.08"/>
    <n v="515.50560000000007"/>
  </r>
  <r>
    <s v="CL30351"/>
    <s v="E1011"/>
    <d v="2023-04-20T00:00:00"/>
    <x v="0"/>
    <s v="Travel expense"/>
    <n v="215.71"/>
    <s v="USD"/>
    <s v="Approved"/>
    <s v="MgrC"/>
    <m/>
    <n v="1"/>
    <n v="215.71"/>
  </r>
  <r>
    <s v="CL30352"/>
    <s v="E1052"/>
    <d v="2023-05-08T00:00:00"/>
    <x v="2"/>
    <s v="Travel expense"/>
    <n v="103.74"/>
    <s v="AUD"/>
    <s v="Rejected"/>
    <s v="MgrC"/>
    <m/>
    <n v="0.66"/>
    <n v="68.468400000000003"/>
  </r>
  <r>
    <s v="CL30353"/>
    <s v="E1083"/>
    <d v="2023-08-31T00:00:00"/>
    <x v="2"/>
    <s v="Travel expense"/>
    <n v="402.76"/>
    <s v="CAD"/>
    <s v="Approved"/>
    <s v="MgrC"/>
    <m/>
    <n v="0.73"/>
    <n v="294.01479999999998"/>
  </r>
  <r>
    <s v="CL30354"/>
    <s v="E1012"/>
    <d v="2023-04-26T00:00:00"/>
    <x v="4"/>
    <s v="Travel expense"/>
    <n v="295.49"/>
    <s v="CAD"/>
    <s v="Rejected"/>
    <s v="MgrA"/>
    <m/>
    <n v="0.73"/>
    <n v="215.70769999999999"/>
  </r>
  <r>
    <s v="CL30355"/>
    <s v="E1094"/>
    <d v="2025-03-26T00:00:00"/>
    <x v="0"/>
    <s v="Travel expense"/>
    <n v="105.85"/>
    <s v="USD"/>
    <s v="Rejected"/>
    <s v="MgrC"/>
    <m/>
    <n v="1"/>
    <n v="105.85"/>
  </r>
  <r>
    <s v="CL30356"/>
    <s v="E1115"/>
    <d v="2023-07-25T00:00:00"/>
    <x v="3"/>
    <s v="Travel expense"/>
    <n v="279.12"/>
    <s v="EUR"/>
    <s v="Paid"/>
    <s v="MgrA"/>
    <d v="2023-08-09T00:00:00"/>
    <n v="1.08"/>
    <n v="301.44960000000003"/>
  </r>
  <r>
    <s v="CL30357"/>
    <s v="E1116"/>
    <d v="2024-04-04T00:00:00"/>
    <x v="2"/>
    <s v="Travel expense"/>
    <n v="601.74"/>
    <s v="CAD"/>
    <s v="Submitted"/>
    <s v="MgrA"/>
    <m/>
    <n v="0.73"/>
    <n v="439.27019999999999"/>
  </r>
  <r>
    <s v="CL30358"/>
    <s v="E1068"/>
    <d v="2023-09-27T00:00:00"/>
    <x v="1"/>
    <s v="Travel expense"/>
    <n v="67.790000000000006"/>
    <s v="AUD"/>
    <s v="Submitted"/>
    <s v="MgrB"/>
    <m/>
    <n v="0.66"/>
    <n v="44.741400000000006"/>
  </r>
  <r>
    <s v="CL30359"/>
    <s v="E1086"/>
    <d v="2025-06-27T00:00:00"/>
    <x v="2"/>
    <s v="Travel expense"/>
    <n v="452.55"/>
    <s v="CAD"/>
    <s v="Rejected"/>
    <s v="MgrC"/>
    <m/>
    <n v="0.73"/>
    <n v="330.36149999999998"/>
  </r>
  <r>
    <s v="CL30360"/>
    <s v="E1116"/>
    <d v="2023-06-04T00:00:00"/>
    <x v="2"/>
    <s v="Travel expense"/>
    <n v="328.78"/>
    <s v="AUD"/>
    <s v="Paid"/>
    <s v="MgrC"/>
    <d v="2023-06-19T00:00:00"/>
    <n v="0.66"/>
    <n v="216.9948"/>
  </r>
  <r>
    <s v="CL30361"/>
    <s v="E1040"/>
    <d v="2024-10-19T00:00:00"/>
    <x v="1"/>
    <s v="Travel expense"/>
    <n v="139.41"/>
    <s v="CAD"/>
    <s v="Approved"/>
    <s v="MgrB"/>
    <m/>
    <n v="0.73"/>
    <n v="101.7693"/>
  </r>
  <r>
    <s v="CL30362"/>
    <s v="E1059"/>
    <d v="2023-03-03T00:00:00"/>
    <x v="2"/>
    <s v="Travel expense"/>
    <n v="330.9"/>
    <s v="USD"/>
    <s v="Submitted"/>
    <s v="MgrB"/>
    <m/>
    <n v="1"/>
    <n v="330.9"/>
  </r>
  <r>
    <s v="CL30363"/>
    <s v="E1011"/>
    <d v="2023-05-04T00:00:00"/>
    <x v="3"/>
    <s v="Travel expense"/>
    <n v="545.84"/>
    <s v="USD"/>
    <s v="Submitted"/>
    <s v="MgrB"/>
    <m/>
    <n v="1"/>
    <n v="545.84"/>
  </r>
  <r>
    <s v="CL30364"/>
    <s v="E1106"/>
    <d v="2023-05-25T00:00:00"/>
    <x v="0"/>
    <s v="Travel expense"/>
    <n v="744.83"/>
    <s v="AUD"/>
    <s v="Rejected"/>
    <s v="MgrC"/>
    <m/>
    <n v="0.66"/>
    <n v="491.58780000000007"/>
  </r>
  <r>
    <s v="CL30365"/>
    <s v="E1077"/>
    <d v="2024-04-10T00:00:00"/>
    <x v="1"/>
    <s v="Travel expense"/>
    <n v="261.86"/>
    <s v="CAD"/>
    <s v="Rejected"/>
    <s v="MgrB"/>
    <m/>
    <n v="0.73"/>
    <n v="191.15780000000001"/>
  </r>
  <r>
    <s v="CL30366"/>
    <s v="E1010"/>
    <d v="2025-04-11T00:00:00"/>
    <x v="4"/>
    <s v="Travel expense"/>
    <n v="331.98"/>
    <s v="EUR"/>
    <s v="Approved"/>
    <s v="MgrC"/>
    <m/>
    <n v="1.08"/>
    <n v="358.53840000000002"/>
  </r>
  <r>
    <s v="CL30367"/>
    <s v="E1053"/>
    <d v="2023-07-15T00:00:00"/>
    <x v="2"/>
    <s v="Travel expense"/>
    <n v="197.3"/>
    <s v="EUR"/>
    <s v="Submitted"/>
    <s v="MgrA"/>
    <m/>
    <n v="1.08"/>
    <n v="213.08400000000003"/>
  </r>
  <r>
    <s v="CL30368"/>
    <s v="E1017"/>
    <d v="2024-07-12T00:00:00"/>
    <x v="0"/>
    <s v="Travel expense"/>
    <n v="640.02"/>
    <s v="CAD"/>
    <s v="Submitted"/>
    <s v="MgrC"/>
    <m/>
    <n v="0.73"/>
    <n v="467.21459999999996"/>
  </r>
  <r>
    <s v="CL30369"/>
    <s v="E1089"/>
    <d v="2023-12-17T00:00:00"/>
    <x v="2"/>
    <s v="Travel expense"/>
    <n v="349.78"/>
    <s v="EUR"/>
    <s v="Approved"/>
    <s v="MgrB"/>
    <m/>
    <n v="1.08"/>
    <n v="377.76240000000001"/>
  </r>
  <r>
    <s v="CL30370"/>
    <s v="E1043"/>
    <d v="2025-05-27T00:00:00"/>
    <x v="3"/>
    <s v="Travel expense"/>
    <n v="683.58"/>
    <s v="AUD"/>
    <s v="Approved"/>
    <s v="MgrB"/>
    <m/>
    <n v="0.66"/>
    <n v="451.16280000000006"/>
  </r>
  <r>
    <s v="CL30371"/>
    <s v="E1086"/>
    <d v="2024-06-19T00:00:00"/>
    <x v="3"/>
    <s v="Travel expense"/>
    <n v="128.26"/>
    <s v="CAD"/>
    <s v="Approved"/>
    <s v="MgrB"/>
    <m/>
    <n v="0.73"/>
    <n v="93.629799999999989"/>
  </r>
  <r>
    <s v="CL30372"/>
    <s v="E1005"/>
    <d v="2023-03-10T00:00:00"/>
    <x v="1"/>
    <s v="Travel expense"/>
    <n v="405.35"/>
    <s v="GBP"/>
    <s v="Paid"/>
    <s v="MgrC"/>
    <d v="2023-03-25T00:00:00"/>
    <n v="1.27"/>
    <n v="514.79450000000008"/>
  </r>
  <r>
    <s v="CL30373"/>
    <s v="E1103"/>
    <d v="2024-09-03T00:00:00"/>
    <x v="1"/>
    <s v="Travel expense"/>
    <n v="557.52"/>
    <s v="GBP"/>
    <s v="Rejected"/>
    <s v="MgrC"/>
    <m/>
    <n v="1.27"/>
    <n v="708.05039999999997"/>
  </r>
  <r>
    <s v="CL30374"/>
    <s v="E1075"/>
    <d v="2023-01-08T00:00:00"/>
    <x v="0"/>
    <s v="Travel expense"/>
    <n v="404.27"/>
    <s v="AUD"/>
    <s v="Submitted"/>
    <s v="MgrA"/>
    <m/>
    <n v="0.66"/>
    <n v="266.81819999999999"/>
  </r>
  <r>
    <s v="CL30375"/>
    <s v="E1058"/>
    <d v="2023-12-02T00:00:00"/>
    <x v="1"/>
    <s v="Travel expense"/>
    <n v="637.79999999999995"/>
    <s v="GBP"/>
    <s v="Paid"/>
    <s v="MgrB"/>
    <d v="2023-12-17T00:00:00"/>
    <n v="1.27"/>
    <n v="810.00599999999997"/>
  </r>
  <r>
    <s v="CL30376"/>
    <s v="E1007"/>
    <d v="2023-01-01T00:00:00"/>
    <x v="0"/>
    <s v="Travel expense"/>
    <n v="573.75"/>
    <s v="USD"/>
    <s v="Submitted"/>
    <s v="MgrC"/>
    <m/>
    <n v="1"/>
    <n v="573.75"/>
  </r>
  <r>
    <s v="CL30377"/>
    <s v="E1083"/>
    <d v="2023-01-12T00:00:00"/>
    <x v="2"/>
    <s v="Travel expense"/>
    <n v="485.79"/>
    <s v="CAD"/>
    <s v="Paid"/>
    <s v="MgrA"/>
    <d v="2023-01-27T00:00:00"/>
    <n v="0.73"/>
    <n v="354.62670000000003"/>
  </r>
  <r>
    <s v="CL30378"/>
    <s v="E1051"/>
    <d v="2024-05-25T00:00:00"/>
    <x v="1"/>
    <s v="Travel expense"/>
    <n v="61.14"/>
    <s v="EUR"/>
    <s v="Paid"/>
    <s v="MgrC"/>
    <d v="2024-06-09T00:00:00"/>
    <n v="1.08"/>
    <n v="66.031199999999998"/>
  </r>
  <r>
    <s v="CL30379"/>
    <s v="E1118"/>
    <d v="2024-08-07T00:00:00"/>
    <x v="1"/>
    <s v="Travel expense"/>
    <n v="529.49"/>
    <s v="GBP"/>
    <s v="Rejected"/>
    <s v="MgrC"/>
    <m/>
    <n v="1.27"/>
    <n v="672.45230000000004"/>
  </r>
  <r>
    <s v="CL30380"/>
    <s v="E1119"/>
    <d v="2023-11-27T00:00:00"/>
    <x v="3"/>
    <s v="Travel expense"/>
    <n v="517.46"/>
    <s v="USD"/>
    <s v="Approved"/>
    <s v="MgrC"/>
    <m/>
    <n v="1"/>
    <n v="517.46"/>
  </r>
  <r>
    <s v="CL30381"/>
    <s v="E1112"/>
    <d v="2023-03-01T00:00:00"/>
    <x v="3"/>
    <s v="Travel expense"/>
    <n v="250.8"/>
    <s v="USD"/>
    <s v="Paid"/>
    <s v="MgrA"/>
    <d v="2023-03-16T00:00:00"/>
    <n v="1"/>
    <n v="250.8"/>
  </r>
  <r>
    <s v="CL30382"/>
    <s v="E1031"/>
    <d v="2024-08-04T00:00:00"/>
    <x v="2"/>
    <s v="Travel expense"/>
    <n v="157.99"/>
    <s v="USD"/>
    <s v="Paid"/>
    <s v="MgrC"/>
    <d v="2024-08-19T00:00:00"/>
    <n v="1"/>
    <n v="157.99"/>
  </r>
  <r>
    <s v="CL30383"/>
    <s v="E1045"/>
    <d v="2024-04-09T00:00:00"/>
    <x v="4"/>
    <s v="Travel expense"/>
    <n v="27.44"/>
    <s v="USD"/>
    <s v="Rejected"/>
    <s v="MgrC"/>
    <m/>
    <n v="1"/>
    <n v="27.44"/>
  </r>
  <r>
    <s v="CL30384"/>
    <s v="E1105"/>
    <d v="2024-06-22T00:00:00"/>
    <x v="1"/>
    <s v="Travel expense"/>
    <n v="136.22999999999999"/>
    <s v="AUD"/>
    <s v="Submitted"/>
    <s v="MgrB"/>
    <m/>
    <n v="0.66"/>
    <n v="89.911799999999999"/>
  </r>
  <r>
    <s v="CL30385"/>
    <s v="E1005"/>
    <d v="2023-04-23T00:00:00"/>
    <x v="3"/>
    <s v="Travel expense"/>
    <n v="239"/>
    <s v="GBP"/>
    <s v="Approved"/>
    <s v="MgrB"/>
    <m/>
    <n v="1.27"/>
    <n v="303.53000000000003"/>
  </r>
  <r>
    <s v="CL30386"/>
    <s v="E1098"/>
    <d v="2023-07-15T00:00:00"/>
    <x v="3"/>
    <s v="Travel expense"/>
    <n v="211.28"/>
    <s v="AUD"/>
    <s v="Rejected"/>
    <s v="MgrA"/>
    <m/>
    <n v="0.66"/>
    <n v="139.44480000000001"/>
  </r>
  <r>
    <s v="CL30387"/>
    <s v="E1089"/>
    <d v="2023-06-08T00:00:00"/>
    <x v="0"/>
    <s v="Travel expense"/>
    <n v="765.7"/>
    <s v="USD"/>
    <s v="Submitted"/>
    <s v="MgrC"/>
    <m/>
    <n v="1"/>
    <n v="765.7"/>
  </r>
  <r>
    <s v="CL30388"/>
    <s v="E1081"/>
    <d v="2024-12-14T00:00:00"/>
    <x v="4"/>
    <s v="Travel expense"/>
    <n v="113.92"/>
    <s v="AUD"/>
    <s v="Approved"/>
    <s v="MgrA"/>
    <m/>
    <n v="0.66"/>
    <n v="75.187200000000004"/>
  </r>
  <r>
    <s v="CL30389"/>
    <s v="E1110"/>
    <d v="2023-03-18T00:00:00"/>
    <x v="2"/>
    <s v="Travel expense"/>
    <n v="651.41999999999996"/>
    <s v="EUR"/>
    <s v="Submitted"/>
    <s v="MgrB"/>
    <m/>
    <n v="1.08"/>
    <n v="703.53359999999998"/>
  </r>
  <r>
    <s v="CL30390"/>
    <s v="E1039"/>
    <d v="2025-03-12T00:00:00"/>
    <x v="3"/>
    <s v="Travel expense"/>
    <n v="98.47"/>
    <s v="AUD"/>
    <s v="Approved"/>
    <s v="MgrC"/>
    <m/>
    <n v="0.66"/>
    <n v="64.990200000000002"/>
  </r>
  <r>
    <s v="CL30391"/>
    <s v="E1056"/>
    <d v="2025-03-25T00:00:00"/>
    <x v="4"/>
    <s v="Travel expense"/>
    <n v="370.84"/>
    <s v="GBP"/>
    <s v="Submitted"/>
    <s v="MgrA"/>
    <m/>
    <n v="1.27"/>
    <n v="470.96679999999998"/>
  </r>
  <r>
    <s v="CL30392"/>
    <s v="E1119"/>
    <d v="2023-01-13T00:00:00"/>
    <x v="2"/>
    <s v="Travel expense"/>
    <n v="144.97999999999999"/>
    <s v="USD"/>
    <s v="Paid"/>
    <s v="MgrB"/>
    <d v="2023-01-28T00:00:00"/>
    <n v="1"/>
    <n v="144.97999999999999"/>
  </r>
  <r>
    <s v="CL30393"/>
    <s v="E1078"/>
    <d v="2025-01-08T00:00:00"/>
    <x v="4"/>
    <s v="Travel expense"/>
    <n v="46.17"/>
    <s v="GBP"/>
    <s v="Paid"/>
    <s v="MgrB"/>
    <d v="2025-01-23T00:00:00"/>
    <n v="1.27"/>
    <n v="58.635899999999999"/>
  </r>
  <r>
    <s v="CL30394"/>
    <s v="E1016"/>
    <d v="2025-06-23T00:00:00"/>
    <x v="1"/>
    <s v="Travel expense"/>
    <n v="640.32000000000005"/>
    <s v="GBP"/>
    <s v="Rejected"/>
    <s v="MgrC"/>
    <m/>
    <n v="1.27"/>
    <n v="813.20640000000003"/>
  </r>
  <r>
    <s v="CL30395"/>
    <s v="E1060"/>
    <d v="2024-03-23T00:00:00"/>
    <x v="3"/>
    <s v="Travel expense"/>
    <n v="118.48"/>
    <s v="EUR"/>
    <s v="Rejected"/>
    <s v="MgrC"/>
    <m/>
    <n v="1.08"/>
    <n v="127.95840000000001"/>
  </r>
  <r>
    <s v="CL30396"/>
    <s v="E1008"/>
    <d v="2023-12-28T00:00:00"/>
    <x v="3"/>
    <s v="Travel expense"/>
    <n v="297.32"/>
    <s v="USD"/>
    <s v="Rejected"/>
    <s v="MgrB"/>
    <m/>
    <n v="1"/>
    <n v="297.32"/>
  </r>
  <r>
    <s v="CL30397"/>
    <s v="E1007"/>
    <d v="2023-11-09T00:00:00"/>
    <x v="1"/>
    <s v="Travel expense"/>
    <n v="729.73"/>
    <s v="GBP"/>
    <s v="Submitted"/>
    <s v="MgrB"/>
    <m/>
    <n v="1.27"/>
    <n v="926.75710000000004"/>
  </r>
  <r>
    <s v="CL30398"/>
    <s v="E1031"/>
    <d v="2025-06-25T00:00:00"/>
    <x v="2"/>
    <s v="Travel expense"/>
    <n v="124.58"/>
    <s v="AUD"/>
    <s v="Rejected"/>
    <s v="MgrA"/>
    <m/>
    <n v="0.66"/>
    <n v="82.222800000000007"/>
  </r>
  <r>
    <s v="CL30399"/>
    <s v="E1043"/>
    <d v="2023-03-29T00:00:00"/>
    <x v="1"/>
    <s v="Travel expense"/>
    <n v="373.91"/>
    <s v="EUR"/>
    <s v="Approved"/>
    <s v="MgrC"/>
    <m/>
    <n v="1.08"/>
    <n v="403.82280000000003"/>
  </r>
  <r>
    <s v="CL30400"/>
    <s v="E1008"/>
    <d v="2024-10-03T00:00:00"/>
    <x v="2"/>
    <s v="Travel expense"/>
    <n v="175.7"/>
    <s v="GBP"/>
    <s v="Submitted"/>
    <s v="MgrB"/>
    <m/>
    <n v="1.27"/>
    <n v="223.13899999999998"/>
  </r>
  <r>
    <s v="CL30401"/>
    <s v="E1051"/>
    <d v="2025-05-11T00:00:00"/>
    <x v="3"/>
    <s v="Travel expense"/>
    <n v="216.02"/>
    <s v="CAD"/>
    <s v="Approved"/>
    <s v="MgrC"/>
    <m/>
    <n v="0.73"/>
    <n v="157.69460000000001"/>
  </r>
  <r>
    <s v="CL30402"/>
    <s v="E1107"/>
    <d v="2023-09-21T00:00:00"/>
    <x v="4"/>
    <s v="Travel expense"/>
    <n v="156.12"/>
    <s v="CAD"/>
    <s v="Submitted"/>
    <s v="MgrB"/>
    <m/>
    <n v="0.73"/>
    <n v="113.9676"/>
  </r>
  <r>
    <s v="CL30403"/>
    <s v="E1086"/>
    <d v="2024-05-30T00:00:00"/>
    <x v="1"/>
    <s v="Travel expense"/>
    <n v="428.53"/>
    <s v="GBP"/>
    <s v="Rejected"/>
    <s v="MgrC"/>
    <m/>
    <n v="1.27"/>
    <n v="544.23309999999992"/>
  </r>
  <r>
    <s v="CL30404"/>
    <s v="E1107"/>
    <d v="2024-03-05T00:00:00"/>
    <x v="3"/>
    <s v="Travel expense"/>
    <n v="95.1"/>
    <s v="EUR"/>
    <s v="Rejected"/>
    <s v="MgrA"/>
    <m/>
    <n v="1.08"/>
    <n v="102.708"/>
  </r>
  <r>
    <s v="CL30405"/>
    <s v="E1043"/>
    <d v="2024-11-09T00:00:00"/>
    <x v="2"/>
    <s v="Travel expense"/>
    <n v="298.95999999999998"/>
    <s v="USD"/>
    <s v="Paid"/>
    <s v="MgrC"/>
    <d v="2024-11-24T00:00:00"/>
    <n v="1"/>
    <n v="298.95999999999998"/>
  </r>
  <r>
    <s v="CL30406"/>
    <s v="E1080"/>
    <d v="2023-03-06T00:00:00"/>
    <x v="1"/>
    <s v="Travel expense"/>
    <n v="793.8"/>
    <s v="EUR"/>
    <s v="Rejected"/>
    <s v="MgrA"/>
    <m/>
    <n v="1.08"/>
    <n v="857.30399999999997"/>
  </r>
  <r>
    <s v="CL30407"/>
    <s v="E1025"/>
    <d v="2023-01-09T00:00:00"/>
    <x v="3"/>
    <s v="Travel expense"/>
    <n v="459.04"/>
    <s v="AUD"/>
    <s v="Rejected"/>
    <s v="MgrA"/>
    <m/>
    <n v="0.66"/>
    <n v="302.96640000000002"/>
  </r>
  <r>
    <s v="CL30408"/>
    <s v="E1114"/>
    <d v="2025-02-12T00:00:00"/>
    <x v="3"/>
    <s v="Travel expense"/>
    <n v="489.63"/>
    <s v="EUR"/>
    <s v="Submitted"/>
    <s v="MgrB"/>
    <m/>
    <n v="1.08"/>
    <n v="528.80040000000008"/>
  </r>
  <r>
    <s v="CL30409"/>
    <s v="E1045"/>
    <d v="2023-03-01T00:00:00"/>
    <x v="4"/>
    <s v="Travel expense"/>
    <n v="285.58"/>
    <s v="AUD"/>
    <s v="Paid"/>
    <s v="MgrB"/>
    <d v="2023-03-16T00:00:00"/>
    <n v="0.66"/>
    <n v="188.4828"/>
  </r>
  <r>
    <s v="CL30410"/>
    <s v="E1057"/>
    <d v="2024-04-08T00:00:00"/>
    <x v="2"/>
    <s v="Travel expense"/>
    <n v="543.02"/>
    <s v="GBP"/>
    <s v="Paid"/>
    <s v="MgrB"/>
    <d v="2024-04-23T00:00:00"/>
    <n v="1.27"/>
    <n v="689.6354"/>
  </r>
  <r>
    <s v="CL30411"/>
    <s v="E1070"/>
    <d v="2025-04-07T00:00:00"/>
    <x v="1"/>
    <s v="Travel expense"/>
    <n v="790.05"/>
    <s v="AUD"/>
    <s v="Approved"/>
    <s v="MgrB"/>
    <m/>
    <n v="0.66"/>
    <n v="521.43299999999999"/>
  </r>
  <r>
    <s v="CL30412"/>
    <s v="E1021"/>
    <d v="2023-06-16T00:00:00"/>
    <x v="4"/>
    <s v="Travel expense"/>
    <n v="777.35"/>
    <s v="EUR"/>
    <s v="Rejected"/>
    <s v="MgrA"/>
    <m/>
    <n v="1.08"/>
    <n v="839.53800000000012"/>
  </r>
  <r>
    <s v="CL30413"/>
    <s v="E1022"/>
    <d v="2025-06-22T00:00:00"/>
    <x v="2"/>
    <s v="Travel expense"/>
    <n v="497.63"/>
    <s v="EUR"/>
    <s v="Submitted"/>
    <s v="MgrC"/>
    <m/>
    <n v="1.08"/>
    <n v="537.44040000000007"/>
  </r>
  <r>
    <s v="CL30414"/>
    <s v="E1037"/>
    <d v="2023-03-23T00:00:00"/>
    <x v="3"/>
    <s v="Travel expense"/>
    <n v="518.05999999999995"/>
    <s v="CAD"/>
    <s v="Rejected"/>
    <s v="MgrB"/>
    <m/>
    <n v="0.73"/>
    <n v="378.18379999999996"/>
  </r>
  <r>
    <s v="CL30415"/>
    <s v="E1053"/>
    <d v="2024-06-17T00:00:00"/>
    <x v="4"/>
    <s v="Travel expense"/>
    <n v="631.91"/>
    <s v="GBP"/>
    <s v="Paid"/>
    <s v="MgrC"/>
    <d v="2024-07-02T00:00:00"/>
    <n v="1.27"/>
    <n v="802.52569999999992"/>
  </r>
  <r>
    <s v="CL30416"/>
    <s v="E1112"/>
    <d v="2023-10-11T00:00:00"/>
    <x v="2"/>
    <s v="Travel expense"/>
    <n v="101.28"/>
    <s v="USD"/>
    <s v="Paid"/>
    <s v="MgrB"/>
    <d v="2023-10-26T00:00:00"/>
    <n v="1"/>
    <n v="101.28"/>
  </r>
  <r>
    <s v="CL30417"/>
    <s v="E1019"/>
    <d v="2023-05-17T00:00:00"/>
    <x v="2"/>
    <s v="Travel expense"/>
    <n v="725.79"/>
    <s v="CAD"/>
    <s v="Approved"/>
    <s v="MgrB"/>
    <m/>
    <n v="0.73"/>
    <n v="529.82669999999996"/>
  </r>
  <r>
    <s v="CL30418"/>
    <s v="E1028"/>
    <d v="2023-11-12T00:00:00"/>
    <x v="1"/>
    <s v="Travel expense"/>
    <n v="202.77"/>
    <s v="GBP"/>
    <s v="Paid"/>
    <s v="MgrA"/>
    <d v="2023-11-27T00:00:00"/>
    <n v="1.27"/>
    <n v="257.5179"/>
  </r>
  <r>
    <s v="CL30419"/>
    <s v="E1056"/>
    <d v="2023-03-19T00:00:00"/>
    <x v="2"/>
    <s v="Travel expense"/>
    <n v="323.31"/>
    <s v="CAD"/>
    <s v="Rejected"/>
    <s v="MgrC"/>
    <m/>
    <n v="0.73"/>
    <n v="236.0163"/>
  </r>
  <r>
    <s v="CL30420"/>
    <s v="E1014"/>
    <d v="2023-02-09T00:00:00"/>
    <x v="4"/>
    <s v="Travel expense"/>
    <n v="61.37"/>
    <s v="EUR"/>
    <s v="Submitted"/>
    <s v="MgrB"/>
    <m/>
    <n v="1.08"/>
    <n v="66.279600000000002"/>
  </r>
  <r>
    <s v="CL30421"/>
    <s v="E1099"/>
    <d v="2025-03-23T00:00:00"/>
    <x v="2"/>
    <s v="Travel expense"/>
    <n v="529.30999999999995"/>
    <s v="CAD"/>
    <s v="Submitted"/>
    <s v="MgrC"/>
    <m/>
    <n v="0.73"/>
    <n v="386.39629999999994"/>
  </r>
  <r>
    <s v="CL30422"/>
    <s v="E1038"/>
    <d v="2025-01-11T00:00:00"/>
    <x v="1"/>
    <s v="Travel expense"/>
    <n v="711.96"/>
    <s v="CAD"/>
    <s v="Rejected"/>
    <s v="MgrC"/>
    <m/>
    <n v="0.73"/>
    <n v="519.73080000000004"/>
  </r>
  <r>
    <s v="CL30423"/>
    <s v="E1054"/>
    <d v="2025-06-21T00:00:00"/>
    <x v="4"/>
    <s v="Travel expense"/>
    <n v="265.24"/>
    <s v="USD"/>
    <s v="Paid"/>
    <s v="MgrB"/>
    <d v="2025-07-06T00:00:00"/>
    <n v="1"/>
    <n v="265.24"/>
  </r>
  <r>
    <s v="CL30424"/>
    <s v="E1003"/>
    <d v="2023-11-28T00:00:00"/>
    <x v="1"/>
    <s v="Travel expense"/>
    <n v="125.52"/>
    <s v="CAD"/>
    <s v="Paid"/>
    <s v="MgrA"/>
    <d v="2023-12-13T00:00:00"/>
    <n v="0.73"/>
    <n v="91.629599999999996"/>
  </r>
  <r>
    <s v="CL30425"/>
    <s v="E1051"/>
    <d v="2023-01-22T00:00:00"/>
    <x v="2"/>
    <s v="Travel expense"/>
    <n v="389.17"/>
    <s v="USD"/>
    <s v="Submitted"/>
    <s v="MgrA"/>
    <m/>
    <n v="1"/>
    <n v="389.17"/>
  </r>
  <r>
    <s v="CL30426"/>
    <s v="E1059"/>
    <d v="2025-03-14T00:00:00"/>
    <x v="2"/>
    <s v="Travel expense"/>
    <n v="246.52"/>
    <s v="GBP"/>
    <s v="Rejected"/>
    <s v="MgrB"/>
    <m/>
    <n v="1.27"/>
    <n v="313.0804"/>
  </r>
  <r>
    <s v="CL30427"/>
    <s v="E1013"/>
    <d v="2023-06-28T00:00:00"/>
    <x v="1"/>
    <s v="Travel expense"/>
    <n v="312.08"/>
    <s v="USD"/>
    <s v="Approved"/>
    <s v="MgrC"/>
    <m/>
    <n v="1"/>
    <n v="312.08"/>
  </r>
  <r>
    <s v="CL30428"/>
    <s v="E1064"/>
    <d v="2025-05-06T00:00:00"/>
    <x v="1"/>
    <s v="Travel expense"/>
    <n v="329.88"/>
    <s v="GBP"/>
    <s v="Rejected"/>
    <s v="MgrB"/>
    <m/>
    <n v="1.27"/>
    <n v="418.94760000000002"/>
  </r>
  <r>
    <s v="CL30429"/>
    <s v="E1090"/>
    <d v="2023-02-24T00:00:00"/>
    <x v="3"/>
    <s v="Travel expense"/>
    <n v="660.18"/>
    <s v="AUD"/>
    <s v="Rejected"/>
    <s v="MgrA"/>
    <m/>
    <n v="0.66"/>
    <n v="435.71879999999999"/>
  </r>
  <r>
    <s v="CL30430"/>
    <s v="E1026"/>
    <d v="2025-06-17T00:00:00"/>
    <x v="3"/>
    <s v="Travel expense"/>
    <n v="417.67"/>
    <s v="CAD"/>
    <s v="Paid"/>
    <s v="MgrC"/>
    <d v="2025-07-02T00:00:00"/>
    <n v="0.73"/>
    <n v="304.89909999999998"/>
  </r>
  <r>
    <s v="CL30431"/>
    <s v="E1114"/>
    <d v="2024-11-23T00:00:00"/>
    <x v="4"/>
    <s v="Travel expense"/>
    <n v="168.71"/>
    <s v="AUD"/>
    <s v="Approved"/>
    <s v="MgrB"/>
    <m/>
    <n v="0.66"/>
    <n v="111.3486"/>
  </r>
  <r>
    <s v="CL30432"/>
    <s v="E1039"/>
    <d v="2023-12-08T00:00:00"/>
    <x v="1"/>
    <s v="Travel expense"/>
    <n v="639.70000000000005"/>
    <s v="USD"/>
    <s v="Rejected"/>
    <s v="MgrB"/>
    <m/>
    <n v="1"/>
    <n v="639.70000000000005"/>
  </r>
  <r>
    <s v="CL30433"/>
    <s v="E1096"/>
    <d v="2024-09-28T00:00:00"/>
    <x v="2"/>
    <s v="Travel expense"/>
    <n v="140.91999999999999"/>
    <s v="CAD"/>
    <s v="Approved"/>
    <s v="MgrB"/>
    <m/>
    <n v="0.73"/>
    <n v="102.87159999999999"/>
  </r>
  <r>
    <s v="CL30434"/>
    <s v="E1119"/>
    <d v="2025-02-28T00:00:00"/>
    <x v="1"/>
    <s v="Travel expense"/>
    <n v="442.52"/>
    <s v="GBP"/>
    <s v="Submitted"/>
    <s v="MgrA"/>
    <m/>
    <n v="1.27"/>
    <n v="562.00040000000001"/>
  </r>
  <r>
    <s v="CL30435"/>
    <s v="E1030"/>
    <d v="2025-02-09T00:00:00"/>
    <x v="1"/>
    <s v="Travel expense"/>
    <n v="73.36"/>
    <s v="AUD"/>
    <s v="Submitted"/>
    <s v="MgrB"/>
    <m/>
    <n v="0.66"/>
    <n v="48.4176"/>
  </r>
  <r>
    <s v="CL30436"/>
    <s v="E1053"/>
    <d v="2024-12-20T00:00:00"/>
    <x v="0"/>
    <s v="Travel expense"/>
    <n v="583.13"/>
    <s v="USD"/>
    <s v="Submitted"/>
    <s v="MgrB"/>
    <m/>
    <n v="1"/>
    <n v="583.13"/>
  </r>
  <r>
    <s v="CL30437"/>
    <s v="E1006"/>
    <d v="2023-05-02T00:00:00"/>
    <x v="0"/>
    <s v="Travel expense"/>
    <n v="725.39"/>
    <s v="USD"/>
    <s v="Paid"/>
    <s v="MgrB"/>
    <d v="2023-05-17T00:00:00"/>
    <n v="1"/>
    <n v="725.39"/>
  </r>
  <r>
    <s v="CL30438"/>
    <s v="E1000"/>
    <d v="2023-11-29T00:00:00"/>
    <x v="4"/>
    <s v="Travel expense"/>
    <n v="794.42"/>
    <s v="GBP"/>
    <s v="Paid"/>
    <s v="MgrA"/>
    <d v="2023-12-14T00:00:00"/>
    <n v="1.27"/>
    <n v="1008.9133999999999"/>
  </r>
  <r>
    <s v="CL30439"/>
    <s v="E1007"/>
    <d v="2024-09-02T00:00:00"/>
    <x v="1"/>
    <s v="Travel expense"/>
    <n v="716.14"/>
    <s v="AUD"/>
    <s v="Submitted"/>
    <s v="MgrC"/>
    <m/>
    <n v="0.66"/>
    <n v="472.6524"/>
  </r>
  <r>
    <s v="CL30440"/>
    <s v="E1112"/>
    <d v="2024-10-01T00:00:00"/>
    <x v="1"/>
    <s v="Travel expense"/>
    <n v="601.66"/>
    <s v="EUR"/>
    <s v="Paid"/>
    <s v="MgrB"/>
    <d v="2024-10-16T00:00:00"/>
    <n v="1.08"/>
    <n v="649.79280000000006"/>
  </r>
  <r>
    <s v="CL30441"/>
    <s v="E1010"/>
    <d v="2023-09-15T00:00:00"/>
    <x v="3"/>
    <s v="Travel expense"/>
    <n v="367.37"/>
    <s v="GBP"/>
    <s v="Approved"/>
    <s v="MgrB"/>
    <m/>
    <n v="1.27"/>
    <n v="466.55990000000003"/>
  </r>
  <r>
    <s v="CL30442"/>
    <s v="E1000"/>
    <d v="2025-03-13T00:00:00"/>
    <x v="1"/>
    <s v="Travel expense"/>
    <n v="149.94999999999999"/>
    <s v="GBP"/>
    <s v="Approved"/>
    <s v="MgrA"/>
    <m/>
    <n v="1.27"/>
    <n v="190.4365"/>
  </r>
  <r>
    <s v="CL30443"/>
    <s v="E1035"/>
    <d v="2024-12-14T00:00:00"/>
    <x v="4"/>
    <s v="Travel expense"/>
    <n v="268.95"/>
    <s v="GBP"/>
    <s v="Paid"/>
    <s v="MgrA"/>
    <d v="2024-12-29T00:00:00"/>
    <n v="1.27"/>
    <n v="341.56649999999996"/>
  </r>
  <r>
    <s v="CL30444"/>
    <s v="E1074"/>
    <d v="2023-08-25T00:00:00"/>
    <x v="4"/>
    <s v="Travel expense"/>
    <n v="312.64"/>
    <s v="AUD"/>
    <s v="Paid"/>
    <s v="MgrB"/>
    <d v="2023-09-09T00:00:00"/>
    <n v="0.66"/>
    <n v="206.3424"/>
  </r>
  <r>
    <s v="CL30445"/>
    <s v="E1044"/>
    <d v="2023-01-29T00:00:00"/>
    <x v="2"/>
    <s v="Travel expense"/>
    <n v="360.69"/>
    <s v="GBP"/>
    <s v="Submitted"/>
    <s v="MgrA"/>
    <m/>
    <n v="1.27"/>
    <n v="458.0763"/>
  </r>
  <r>
    <s v="CL30446"/>
    <s v="E1048"/>
    <d v="2025-03-23T00:00:00"/>
    <x v="0"/>
    <s v="Travel expense"/>
    <n v="358.25"/>
    <s v="CAD"/>
    <s v="Rejected"/>
    <s v="MgrB"/>
    <m/>
    <n v="0.73"/>
    <n v="261.52249999999998"/>
  </r>
  <r>
    <s v="CL30447"/>
    <s v="E1106"/>
    <d v="2025-01-28T00:00:00"/>
    <x v="1"/>
    <s v="Travel expense"/>
    <n v="285.45999999999998"/>
    <s v="EUR"/>
    <s v="Submitted"/>
    <s v="MgrA"/>
    <m/>
    <n v="1.08"/>
    <n v="308.29680000000002"/>
  </r>
  <r>
    <s v="CL30448"/>
    <s v="E1077"/>
    <d v="2025-03-26T00:00:00"/>
    <x v="0"/>
    <s v="Travel expense"/>
    <n v="322.39"/>
    <s v="EUR"/>
    <s v="Paid"/>
    <s v="MgrA"/>
    <d v="2025-04-10T00:00:00"/>
    <n v="1.08"/>
    <n v="348.18119999999999"/>
  </r>
  <r>
    <s v="CL30449"/>
    <s v="E1075"/>
    <d v="2025-05-27T00:00:00"/>
    <x v="2"/>
    <s v="Travel expense"/>
    <n v="511.52"/>
    <s v="USD"/>
    <s v="Paid"/>
    <s v="MgrA"/>
    <d v="2025-06-11T00:00:00"/>
    <n v="1"/>
    <n v="511.52"/>
  </r>
  <r>
    <s v="CL30450"/>
    <s v="E1088"/>
    <d v="2024-05-26T00:00:00"/>
    <x v="0"/>
    <s v="Travel expense"/>
    <n v="397.43"/>
    <s v="GBP"/>
    <s v="Submitted"/>
    <s v="MgrC"/>
    <m/>
    <n v="1.27"/>
    <n v="504.73610000000002"/>
  </r>
  <r>
    <s v="CL30451"/>
    <s v="E1095"/>
    <d v="2025-01-05T00:00:00"/>
    <x v="3"/>
    <s v="Travel expense"/>
    <n v="626.70000000000005"/>
    <s v="CAD"/>
    <s v="Rejected"/>
    <s v="MgrA"/>
    <m/>
    <n v="0.73"/>
    <n v="457.49100000000004"/>
  </r>
  <r>
    <s v="CL30452"/>
    <s v="E1040"/>
    <d v="2023-05-17T00:00:00"/>
    <x v="4"/>
    <s v="Travel expense"/>
    <n v="258.02999999999997"/>
    <s v="GBP"/>
    <s v="Submitted"/>
    <s v="MgrB"/>
    <m/>
    <n v="1.27"/>
    <n v="327.69809999999995"/>
  </r>
  <r>
    <s v="CL30453"/>
    <s v="E1025"/>
    <d v="2024-04-14T00:00:00"/>
    <x v="2"/>
    <s v="Travel expense"/>
    <n v="123.77"/>
    <s v="GBP"/>
    <s v="Approved"/>
    <s v="MgrC"/>
    <m/>
    <n v="1.27"/>
    <n v="157.18789999999998"/>
  </r>
  <r>
    <s v="CL30454"/>
    <s v="E1001"/>
    <d v="2024-12-26T00:00:00"/>
    <x v="3"/>
    <s v="Travel expense"/>
    <n v="271.73"/>
    <s v="EUR"/>
    <s v="Paid"/>
    <s v="MgrA"/>
    <d v="2025-01-10T00:00:00"/>
    <n v="1.08"/>
    <n v="293.46840000000003"/>
  </r>
  <r>
    <s v="CL30455"/>
    <s v="E1112"/>
    <d v="2024-07-06T00:00:00"/>
    <x v="0"/>
    <s v="Travel expense"/>
    <n v="531.79999999999995"/>
    <s v="CAD"/>
    <s v="Submitted"/>
    <s v="MgrB"/>
    <m/>
    <n v="0.73"/>
    <n v="388.21399999999994"/>
  </r>
  <r>
    <s v="CL30456"/>
    <s v="E1030"/>
    <d v="2023-06-28T00:00:00"/>
    <x v="3"/>
    <s v="Travel expense"/>
    <n v="299.85000000000002"/>
    <s v="USD"/>
    <s v="Paid"/>
    <s v="MgrB"/>
    <d v="2023-07-13T00:00:00"/>
    <n v="1"/>
    <n v="299.85000000000002"/>
  </r>
  <r>
    <s v="CL30457"/>
    <s v="E1057"/>
    <d v="2024-05-30T00:00:00"/>
    <x v="0"/>
    <s v="Travel expense"/>
    <n v="282.3"/>
    <s v="GBP"/>
    <s v="Submitted"/>
    <s v="MgrB"/>
    <m/>
    <n v="1.27"/>
    <n v="358.52100000000002"/>
  </r>
  <r>
    <s v="CL30458"/>
    <s v="E1077"/>
    <d v="2024-11-27T00:00:00"/>
    <x v="2"/>
    <s v="Travel expense"/>
    <n v="476.75"/>
    <s v="AUD"/>
    <s v="Rejected"/>
    <s v="MgrB"/>
    <m/>
    <n v="0.66"/>
    <n v="314.65500000000003"/>
  </r>
  <r>
    <s v="CL30459"/>
    <s v="E1001"/>
    <d v="2024-01-26T00:00:00"/>
    <x v="3"/>
    <s v="Travel expense"/>
    <n v="324.24"/>
    <s v="CAD"/>
    <s v="Submitted"/>
    <s v="MgrB"/>
    <m/>
    <n v="0.73"/>
    <n v="236.6952"/>
  </r>
  <r>
    <s v="CL30460"/>
    <s v="E1093"/>
    <d v="2024-12-23T00:00:00"/>
    <x v="4"/>
    <s v="Travel expense"/>
    <n v="383.65"/>
    <s v="USD"/>
    <s v="Rejected"/>
    <s v="MgrC"/>
    <m/>
    <n v="1"/>
    <n v="383.65"/>
  </r>
  <r>
    <s v="CL30461"/>
    <s v="E1109"/>
    <d v="2025-01-29T00:00:00"/>
    <x v="0"/>
    <s v="Travel expense"/>
    <n v="788.82"/>
    <s v="CAD"/>
    <s v="Rejected"/>
    <s v="MgrC"/>
    <m/>
    <n v="0.73"/>
    <n v="575.83860000000004"/>
  </r>
  <r>
    <s v="CL30462"/>
    <s v="E1070"/>
    <d v="2024-03-22T00:00:00"/>
    <x v="0"/>
    <s v="Travel expense"/>
    <n v="722.25"/>
    <s v="AUD"/>
    <s v="Approved"/>
    <s v="MgrB"/>
    <m/>
    <n v="0.66"/>
    <n v="476.685"/>
  </r>
  <r>
    <s v="CL30463"/>
    <s v="E1097"/>
    <d v="2023-03-22T00:00:00"/>
    <x v="3"/>
    <s v="Travel expense"/>
    <n v="392.37"/>
    <s v="EUR"/>
    <s v="Approved"/>
    <s v="MgrC"/>
    <m/>
    <n v="1.08"/>
    <n v="423.75960000000003"/>
  </r>
  <r>
    <s v="CL30464"/>
    <s v="E1099"/>
    <d v="2023-03-21T00:00:00"/>
    <x v="0"/>
    <s v="Travel expense"/>
    <n v="643.05999999999995"/>
    <s v="AUD"/>
    <s v="Approved"/>
    <s v="MgrA"/>
    <m/>
    <n v="0.66"/>
    <n v="424.4196"/>
  </r>
  <r>
    <s v="CL30465"/>
    <s v="E1002"/>
    <d v="2023-07-07T00:00:00"/>
    <x v="4"/>
    <s v="Travel expense"/>
    <n v="612.39"/>
    <s v="CAD"/>
    <s v="Approved"/>
    <s v="MgrA"/>
    <m/>
    <n v="0.73"/>
    <n v="447.04469999999998"/>
  </r>
  <r>
    <s v="CL30466"/>
    <s v="E1113"/>
    <d v="2024-12-15T00:00:00"/>
    <x v="0"/>
    <s v="Travel expense"/>
    <n v="243.16"/>
    <s v="CAD"/>
    <s v="Paid"/>
    <s v="MgrB"/>
    <d v="2024-12-30T00:00:00"/>
    <n v="0.73"/>
    <n v="177.5068"/>
  </r>
  <r>
    <s v="CL30467"/>
    <s v="E1055"/>
    <d v="2023-12-08T00:00:00"/>
    <x v="0"/>
    <s v="Travel expense"/>
    <n v="39.35"/>
    <s v="CAD"/>
    <s v="Submitted"/>
    <s v="MgrA"/>
    <m/>
    <n v="0.73"/>
    <n v="28.7255"/>
  </r>
  <r>
    <s v="CL30468"/>
    <s v="E1012"/>
    <d v="2024-04-02T00:00:00"/>
    <x v="0"/>
    <s v="Travel expense"/>
    <n v="622.29"/>
    <s v="USD"/>
    <s v="Submitted"/>
    <s v="MgrA"/>
    <m/>
    <n v="1"/>
    <n v="622.29"/>
  </r>
  <r>
    <s v="CL30469"/>
    <s v="E1061"/>
    <d v="2024-03-21T00:00:00"/>
    <x v="2"/>
    <s v="Travel expense"/>
    <n v="378.33"/>
    <s v="USD"/>
    <s v="Submitted"/>
    <s v="MgrC"/>
    <m/>
    <n v="1"/>
    <n v="378.33"/>
  </r>
  <r>
    <s v="CL30470"/>
    <s v="E1008"/>
    <d v="2024-05-28T00:00:00"/>
    <x v="0"/>
    <s v="Travel expense"/>
    <n v="84.1"/>
    <s v="EUR"/>
    <s v="Rejected"/>
    <s v="MgrC"/>
    <m/>
    <n v="1.08"/>
    <n v="90.828000000000003"/>
  </r>
  <r>
    <s v="CL30471"/>
    <s v="E1028"/>
    <d v="2023-12-17T00:00:00"/>
    <x v="2"/>
    <s v="Travel expense"/>
    <n v="453.7"/>
    <s v="USD"/>
    <s v="Paid"/>
    <s v="MgrB"/>
    <d v="2024-01-01T00:00:00"/>
    <n v="1"/>
    <n v="453.7"/>
  </r>
  <r>
    <s v="CL30472"/>
    <s v="E1087"/>
    <d v="2023-04-15T00:00:00"/>
    <x v="1"/>
    <s v="Travel expense"/>
    <n v="471.63"/>
    <s v="AUD"/>
    <s v="Rejected"/>
    <s v="MgrA"/>
    <m/>
    <n v="0.66"/>
    <n v="311.2758"/>
  </r>
  <r>
    <s v="CL30473"/>
    <s v="E1080"/>
    <d v="2023-10-07T00:00:00"/>
    <x v="1"/>
    <s v="Travel expense"/>
    <n v="355.89"/>
    <s v="CAD"/>
    <s v="Paid"/>
    <s v="MgrC"/>
    <d v="2023-10-22T00:00:00"/>
    <n v="0.73"/>
    <n v="259.79969999999997"/>
  </r>
  <r>
    <s v="CL30474"/>
    <s v="E1031"/>
    <d v="2024-08-09T00:00:00"/>
    <x v="4"/>
    <s v="Travel expense"/>
    <n v="736.57"/>
    <s v="EUR"/>
    <s v="Paid"/>
    <s v="MgrA"/>
    <d v="2024-08-24T00:00:00"/>
    <n v="1.08"/>
    <n v="795.49560000000008"/>
  </r>
  <r>
    <s v="CL30475"/>
    <s v="E1023"/>
    <d v="2023-10-31T00:00:00"/>
    <x v="1"/>
    <s v="Travel expense"/>
    <n v="485.15"/>
    <s v="GBP"/>
    <s v="Rejected"/>
    <s v="MgrC"/>
    <m/>
    <n v="1.27"/>
    <n v="616.14049999999997"/>
  </r>
  <r>
    <s v="CL30476"/>
    <s v="E1005"/>
    <d v="2025-05-21T00:00:00"/>
    <x v="2"/>
    <s v="Travel expense"/>
    <n v="794.54"/>
    <s v="AUD"/>
    <s v="Approved"/>
    <s v="MgrA"/>
    <m/>
    <n v="0.66"/>
    <n v="524.39639999999997"/>
  </r>
  <r>
    <s v="CL30477"/>
    <s v="E1074"/>
    <d v="2024-05-22T00:00:00"/>
    <x v="2"/>
    <s v="Travel expense"/>
    <n v="425.12"/>
    <s v="USD"/>
    <s v="Paid"/>
    <s v="MgrC"/>
    <d v="2024-06-06T00:00:00"/>
    <n v="1"/>
    <n v="425.12"/>
  </r>
  <r>
    <s v="CL30478"/>
    <s v="E1042"/>
    <d v="2024-04-06T00:00:00"/>
    <x v="2"/>
    <s v="Travel expense"/>
    <n v="544.86"/>
    <s v="EUR"/>
    <s v="Submitted"/>
    <s v="MgrA"/>
    <m/>
    <n v="1.08"/>
    <n v="588.44880000000001"/>
  </r>
  <r>
    <s v="CL30479"/>
    <s v="E1019"/>
    <d v="2024-11-02T00:00:00"/>
    <x v="0"/>
    <s v="Travel expense"/>
    <n v="694.97"/>
    <s v="USD"/>
    <s v="Submitted"/>
    <s v="MgrC"/>
    <m/>
    <n v="1"/>
    <n v="694.97"/>
  </r>
  <r>
    <s v="CL30480"/>
    <s v="E1113"/>
    <d v="2024-05-22T00:00:00"/>
    <x v="0"/>
    <s v="Travel expense"/>
    <n v="84.01"/>
    <s v="USD"/>
    <s v="Paid"/>
    <s v="MgrA"/>
    <d v="2024-06-06T00:00:00"/>
    <n v="1"/>
    <n v="84.01"/>
  </r>
  <r>
    <s v="CL30481"/>
    <s v="E1059"/>
    <d v="2024-01-23T00:00:00"/>
    <x v="4"/>
    <s v="Travel expense"/>
    <n v="796.12"/>
    <s v="CAD"/>
    <s v="Paid"/>
    <s v="MgrC"/>
    <d v="2024-02-07T00:00:00"/>
    <n v="0.73"/>
    <n v="581.16759999999999"/>
  </r>
  <r>
    <s v="CL30482"/>
    <s v="E1099"/>
    <d v="2024-10-04T00:00:00"/>
    <x v="1"/>
    <s v="Travel expense"/>
    <n v="459.71"/>
    <s v="USD"/>
    <s v="Approved"/>
    <s v="MgrA"/>
    <m/>
    <n v="1"/>
    <n v="459.71"/>
  </r>
  <r>
    <s v="CL30483"/>
    <s v="E1057"/>
    <d v="2025-04-19T00:00:00"/>
    <x v="3"/>
    <s v="Travel expense"/>
    <n v="437.28"/>
    <s v="USD"/>
    <s v="Rejected"/>
    <s v="MgrA"/>
    <m/>
    <n v="1"/>
    <n v="437.28"/>
  </r>
  <r>
    <s v="CL30484"/>
    <s v="E1005"/>
    <d v="2023-08-12T00:00:00"/>
    <x v="4"/>
    <s v="Travel expense"/>
    <n v="441.58"/>
    <s v="CAD"/>
    <s v="Paid"/>
    <s v="MgrA"/>
    <d v="2023-08-27T00:00:00"/>
    <n v="0.73"/>
    <n v="322.35339999999997"/>
  </r>
  <r>
    <s v="CL30485"/>
    <s v="E1004"/>
    <d v="2024-08-03T00:00:00"/>
    <x v="2"/>
    <s v="Travel expense"/>
    <n v="200.74"/>
    <s v="EUR"/>
    <s v="Approved"/>
    <s v="MgrC"/>
    <m/>
    <n v="1.08"/>
    <n v="216.79920000000001"/>
  </r>
  <r>
    <s v="CL30486"/>
    <s v="E1069"/>
    <d v="2024-05-12T00:00:00"/>
    <x v="1"/>
    <s v="Travel expense"/>
    <n v="562.29999999999995"/>
    <s v="GBP"/>
    <s v="Approved"/>
    <s v="MgrA"/>
    <m/>
    <n v="1.27"/>
    <n v="714.12099999999998"/>
  </r>
  <r>
    <s v="CL30487"/>
    <s v="E1095"/>
    <d v="2023-04-06T00:00:00"/>
    <x v="1"/>
    <s v="Travel expense"/>
    <n v="669.99"/>
    <s v="CAD"/>
    <s v="Submitted"/>
    <s v="MgrC"/>
    <m/>
    <n v="0.73"/>
    <n v="489.09269999999998"/>
  </r>
  <r>
    <s v="CL30488"/>
    <s v="E1098"/>
    <d v="2023-06-21T00:00:00"/>
    <x v="1"/>
    <s v="Travel expense"/>
    <n v="270.24"/>
    <s v="CAD"/>
    <s v="Submitted"/>
    <s v="MgrC"/>
    <m/>
    <n v="0.73"/>
    <n v="197.27520000000001"/>
  </r>
  <r>
    <s v="CL30489"/>
    <s v="E1048"/>
    <d v="2023-04-01T00:00:00"/>
    <x v="0"/>
    <s v="Travel expense"/>
    <n v="221.88"/>
    <s v="GBP"/>
    <s v="Submitted"/>
    <s v="MgrA"/>
    <m/>
    <n v="1.27"/>
    <n v="281.7876"/>
  </r>
  <r>
    <s v="CL30490"/>
    <s v="E1007"/>
    <d v="2023-04-17T00:00:00"/>
    <x v="4"/>
    <s v="Travel expense"/>
    <n v="39.700000000000003"/>
    <s v="AUD"/>
    <s v="Rejected"/>
    <s v="MgrA"/>
    <m/>
    <n v="0.66"/>
    <n v="26.202000000000002"/>
  </r>
  <r>
    <s v="CL30491"/>
    <s v="E1084"/>
    <d v="2023-07-16T00:00:00"/>
    <x v="4"/>
    <s v="Travel expense"/>
    <n v="457.5"/>
    <s v="AUD"/>
    <s v="Submitted"/>
    <s v="MgrB"/>
    <m/>
    <n v="0.66"/>
    <n v="301.95"/>
  </r>
  <r>
    <s v="CL30492"/>
    <s v="E1062"/>
    <d v="2024-09-20T00:00:00"/>
    <x v="3"/>
    <s v="Travel expense"/>
    <n v="777.5"/>
    <s v="EUR"/>
    <s v="Paid"/>
    <s v="MgrC"/>
    <d v="2024-10-05T00:00:00"/>
    <n v="1.08"/>
    <n v="839.7"/>
  </r>
  <r>
    <s v="CL30493"/>
    <s v="E1009"/>
    <d v="2023-12-31T00:00:00"/>
    <x v="2"/>
    <s v="Travel expense"/>
    <n v="742.49"/>
    <s v="GBP"/>
    <s v="Paid"/>
    <s v="MgrC"/>
    <d v="2024-01-15T00:00:00"/>
    <n v="1.27"/>
    <n v="942.96230000000003"/>
  </r>
  <r>
    <s v="CL30494"/>
    <s v="E1048"/>
    <d v="2023-04-19T00:00:00"/>
    <x v="2"/>
    <s v="Travel expense"/>
    <n v="183.02"/>
    <s v="GBP"/>
    <s v="Rejected"/>
    <s v="MgrB"/>
    <m/>
    <n v="1.27"/>
    <n v="232.43540000000002"/>
  </r>
  <r>
    <s v="CL30495"/>
    <s v="E1036"/>
    <d v="2025-02-19T00:00:00"/>
    <x v="2"/>
    <s v="Travel expense"/>
    <n v="763.71"/>
    <s v="AUD"/>
    <s v="Approved"/>
    <s v="MgrA"/>
    <m/>
    <n v="0.66"/>
    <n v="504.04860000000002"/>
  </r>
  <r>
    <s v="CL30496"/>
    <s v="E1050"/>
    <d v="2023-04-06T00:00:00"/>
    <x v="3"/>
    <s v="Travel expense"/>
    <n v="349.39"/>
    <s v="AUD"/>
    <s v="Approved"/>
    <s v="MgrC"/>
    <m/>
    <n v="0.66"/>
    <n v="230.59739999999999"/>
  </r>
  <r>
    <s v="CL30497"/>
    <s v="E1020"/>
    <d v="2024-03-04T00:00:00"/>
    <x v="0"/>
    <s v="Travel expense"/>
    <n v="669.63"/>
    <s v="EUR"/>
    <s v="Submitted"/>
    <s v="MgrB"/>
    <m/>
    <n v="1.08"/>
    <n v="723.20040000000006"/>
  </r>
  <r>
    <s v="CL30498"/>
    <s v="E1103"/>
    <d v="2024-08-29T00:00:00"/>
    <x v="0"/>
    <s v="Travel expense"/>
    <n v="656.17"/>
    <s v="GBP"/>
    <s v="Paid"/>
    <s v="MgrB"/>
    <d v="2024-09-13T00:00:00"/>
    <n v="1.27"/>
    <n v="833.33589999999992"/>
  </r>
  <r>
    <s v="CL30499"/>
    <s v="E1034"/>
    <d v="2023-11-27T00:00:00"/>
    <x v="3"/>
    <s v="Travel expense"/>
    <n v="352.63"/>
    <s v="USD"/>
    <s v="Submitted"/>
    <s v="MgrA"/>
    <m/>
    <n v="1"/>
    <n v="352.63"/>
  </r>
  <r>
    <s v="CL30500"/>
    <s v="E1051"/>
    <d v="2025-03-12T00:00:00"/>
    <x v="2"/>
    <s v="Travel expense"/>
    <n v="539.69000000000005"/>
    <s v="AUD"/>
    <s v="Submitted"/>
    <s v="MgrB"/>
    <m/>
    <n v="0.66"/>
    <n v="356.19540000000006"/>
  </r>
  <r>
    <s v="CL30501"/>
    <s v="E1033"/>
    <d v="2024-02-22T00:00:00"/>
    <x v="2"/>
    <s v="Travel expense"/>
    <n v="686.51"/>
    <s v="GBP"/>
    <s v="Paid"/>
    <s v="MgrB"/>
    <d v="2024-03-08T00:00:00"/>
    <n v="1.27"/>
    <n v="871.86770000000001"/>
  </r>
  <r>
    <s v="CL30502"/>
    <s v="E1064"/>
    <d v="2025-03-24T00:00:00"/>
    <x v="2"/>
    <s v="Travel expense"/>
    <n v="177.96"/>
    <s v="EUR"/>
    <s v="Rejected"/>
    <s v="MgrC"/>
    <m/>
    <n v="1.08"/>
    <n v="192.19680000000002"/>
  </r>
  <r>
    <s v="CL30503"/>
    <s v="E1039"/>
    <d v="2023-09-08T00:00:00"/>
    <x v="4"/>
    <s v="Travel expense"/>
    <n v="276.61"/>
    <s v="GBP"/>
    <s v="Paid"/>
    <s v="MgrB"/>
    <d v="2023-09-23T00:00:00"/>
    <n v="1.27"/>
    <n v="351.29470000000003"/>
  </r>
  <r>
    <s v="CL30504"/>
    <s v="E1037"/>
    <d v="2024-03-13T00:00:00"/>
    <x v="1"/>
    <s v="Travel expense"/>
    <n v="456.19"/>
    <s v="EUR"/>
    <s v="Rejected"/>
    <s v="MgrB"/>
    <m/>
    <n v="1.08"/>
    <n v="492.68520000000001"/>
  </r>
  <r>
    <s v="CL30505"/>
    <s v="E1088"/>
    <d v="2023-09-24T00:00:00"/>
    <x v="0"/>
    <s v="Travel expense"/>
    <n v="21.75"/>
    <s v="GBP"/>
    <s v="Paid"/>
    <s v="MgrB"/>
    <d v="2023-10-09T00:00:00"/>
    <n v="1.27"/>
    <n v="27.622499999999999"/>
  </r>
  <r>
    <s v="CL30506"/>
    <s v="E1046"/>
    <d v="2023-02-16T00:00:00"/>
    <x v="1"/>
    <s v="Travel expense"/>
    <n v="65.739999999999995"/>
    <s v="EUR"/>
    <s v="Paid"/>
    <s v="MgrA"/>
    <d v="2023-03-03T00:00:00"/>
    <n v="1.08"/>
    <n v="70.999200000000002"/>
  </r>
  <r>
    <s v="CL30507"/>
    <s v="E1005"/>
    <d v="2024-09-16T00:00:00"/>
    <x v="1"/>
    <s v="Travel expense"/>
    <n v="549.24"/>
    <s v="USD"/>
    <s v="Paid"/>
    <s v="MgrB"/>
    <d v="2024-10-01T00:00:00"/>
    <n v="1"/>
    <n v="549.24"/>
  </r>
  <r>
    <s v="CL30508"/>
    <s v="E1012"/>
    <d v="2023-12-13T00:00:00"/>
    <x v="0"/>
    <s v="Travel expense"/>
    <n v="715.77"/>
    <s v="GBP"/>
    <s v="Paid"/>
    <s v="MgrB"/>
    <d v="2023-12-28T00:00:00"/>
    <n v="1.27"/>
    <n v="909.02790000000005"/>
  </r>
  <r>
    <s v="CL30509"/>
    <s v="E1103"/>
    <d v="2023-12-18T00:00:00"/>
    <x v="3"/>
    <s v="Travel expense"/>
    <n v="465.65"/>
    <s v="CAD"/>
    <s v="Approved"/>
    <s v="MgrB"/>
    <m/>
    <n v="0.73"/>
    <n v="339.92449999999997"/>
  </r>
  <r>
    <s v="CL30510"/>
    <s v="E1067"/>
    <d v="2024-03-30T00:00:00"/>
    <x v="2"/>
    <s v="Travel expense"/>
    <n v="239.66"/>
    <s v="CAD"/>
    <s v="Approved"/>
    <s v="MgrC"/>
    <m/>
    <n v="0.73"/>
    <n v="174.95179999999999"/>
  </r>
  <r>
    <s v="CL30511"/>
    <s v="E1023"/>
    <d v="2024-08-02T00:00:00"/>
    <x v="4"/>
    <s v="Travel expense"/>
    <n v="165.28"/>
    <s v="EUR"/>
    <s v="Paid"/>
    <s v="MgrC"/>
    <d v="2024-08-17T00:00:00"/>
    <n v="1.08"/>
    <n v="178.50240000000002"/>
  </r>
  <r>
    <s v="CL30512"/>
    <s v="E1005"/>
    <d v="2025-05-14T00:00:00"/>
    <x v="4"/>
    <s v="Travel expense"/>
    <n v="475.9"/>
    <s v="EUR"/>
    <s v="Rejected"/>
    <s v="MgrB"/>
    <m/>
    <n v="1.08"/>
    <n v="513.97199999999998"/>
  </r>
  <r>
    <s v="CL30513"/>
    <s v="E1058"/>
    <d v="2024-04-22T00:00:00"/>
    <x v="4"/>
    <s v="Travel expense"/>
    <n v="280.26"/>
    <s v="EUR"/>
    <s v="Rejected"/>
    <s v="MgrA"/>
    <m/>
    <n v="1.08"/>
    <n v="302.68080000000003"/>
  </r>
  <r>
    <s v="CL30514"/>
    <s v="E1034"/>
    <d v="2025-06-12T00:00:00"/>
    <x v="0"/>
    <s v="Travel expense"/>
    <n v="133.68"/>
    <s v="CAD"/>
    <s v="Rejected"/>
    <s v="MgrC"/>
    <m/>
    <n v="0.73"/>
    <n v="97.586399999999998"/>
  </r>
  <r>
    <s v="CL30515"/>
    <s v="E1062"/>
    <d v="2023-10-14T00:00:00"/>
    <x v="2"/>
    <s v="Travel expense"/>
    <n v="346.15"/>
    <s v="AUD"/>
    <s v="Paid"/>
    <s v="MgrB"/>
    <d v="2023-10-29T00:00:00"/>
    <n v="0.66"/>
    <n v="228.459"/>
  </r>
  <r>
    <s v="CL30516"/>
    <s v="E1109"/>
    <d v="2023-04-23T00:00:00"/>
    <x v="3"/>
    <s v="Travel expense"/>
    <n v="591.13"/>
    <s v="CAD"/>
    <s v="Approved"/>
    <s v="MgrB"/>
    <m/>
    <n v="0.73"/>
    <n v="431.5249"/>
  </r>
  <r>
    <s v="CL30517"/>
    <s v="E1107"/>
    <d v="2023-01-24T00:00:00"/>
    <x v="3"/>
    <s v="Travel expense"/>
    <n v="779.38"/>
    <s v="CAD"/>
    <s v="Submitted"/>
    <s v="MgrB"/>
    <m/>
    <n v="0.73"/>
    <n v="568.94740000000002"/>
  </r>
  <r>
    <s v="CL30518"/>
    <s v="E1022"/>
    <d v="2023-10-28T00:00:00"/>
    <x v="2"/>
    <s v="Travel expense"/>
    <n v="414.81"/>
    <s v="AUD"/>
    <s v="Rejected"/>
    <s v="MgrB"/>
    <m/>
    <n v="0.66"/>
    <n v="273.77460000000002"/>
  </r>
  <r>
    <s v="CL30519"/>
    <s v="E1096"/>
    <d v="2023-08-11T00:00:00"/>
    <x v="3"/>
    <s v="Travel expense"/>
    <n v="586.76"/>
    <s v="USD"/>
    <s v="Rejected"/>
    <s v="MgrC"/>
    <m/>
    <n v="1"/>
    <n v="586.76"/>
  </r>
  <r>
    <s v="CL30520"/>
    <s v="E1091"/>
    <d v="2025-05-13T00:00:00"/>
    <x v="2"/>
    <s v="Travel expense"/>
    <n v="301.17"/>
    <s v="CAD"/>
    <s v="Approved"/>
    <s v="MgrB"/>
    <m/>
    <n v="0.73"/>
    <n v="219.85410000000002"/>
  </r>
  <r>
    <s v="CL30521"/>
    <s v="E1036"/>
    <d v="2024-04-20T00:00:00"/>
    <x v="2"/>
    <s v="Travel expense"/>
    <n v="393.11"/>
    <s v="CAD"/>
    <s v="Rejected"/>
    <s v="MgrC"/>
    <m/>
    <n v="0.73"/>
    <n v="286.97030000000001"/>
  </r>
  <r>
    <s v="CL30522"/>
    <s v="E1064"/>
    <d v="2023-08-24T00:00:00"/>
    <x v="2"/>
    <s v="Travel expense"/>
    <n v="27.55"/>
    <s v="AUD"/>
    <s v="Approved"/>
    <s v="MgrB"/>
    <m/>
    <n v="0.66"/>
    <n v="18.183"/>
  </r>
  <r>
    <s v="CL30523"/>
    <s v="E1080"/>
    <d v="2024-03-27T00:00:00"/>
    <x v="0"/>
    <s v="Travel expense"/>
    <n v="53.46"/>
    <s v="EUR"/>
    <s v="Paid"/>
    <s v="MgrB"/>
    <d v="2024-04-11T00:00:00"/>
    <n v="1.08"/>
    <n v="57.736800000000002"/>
  </r>
  <r>
    <s v="CL30524"/>
    <s v="E1023"/>
    <d v="2024-01-19T00:00:00"/>
    <x v="3"/>
    <s v="Travel expense"/>
    <n v="477.04"/>
    <s v="EUR"/>
    <s v="Submitted"/>
    <s v="MgrB"/>
    <m/>
    <n v="1.08"/>
    <n v="515.20320000000004"/>
  </r>
  <r>
    <s v="CL30525"/>
    <s v="E1079"/>
    <d v="2023-09-28T00:00:00"/>
    <x v="4"/>
    <s v="Travel expense"/>
    <n v="556.72"/>
    <s v="USD"/>
    <s v="Submitted"/>
    <s v="MgrB"/>
    <m/>
    <n v="1"/>
    <n v="556.72"/>
  </r>
  <r>
    <s v="CL30526"/>
    <s v="E1047"/>
    <d v="2024-04-19T00:00:00"/>
    <x v="1"/>
    <s v="Travel expense"/>
    <n v="75.430000000000007"/>
    <s v="AUD"/>
    <s v="Submitted"/>
    <s v="MgrB"/>
    <m/>
    <n v="0.66"/>
    <n v="49.783800000000006"/>
  </r>
  <r>
    <s v="CL30527"/>
    <s v="E1080"/>
    <d v="2024-10-29T00:00:00"/>
    <x v="2"/>
    <s v="Travel expense"/>
    <n v="104.53"/>
    <s v="CAD"/>
    <s v="Approved"/>
    <s v="MgrB"/>
    <m/>
    <n v="0.73"/>
    <n v="76.306899999999999"/>
  </r>
  <r>
    <s v="CL30528"/>
    <s v="E1066"/>
    <d v="2023-12-10T00:00:00"/>
    <x v="4"/>
    <s v="Travel expense"/>
    <n v="698.88"/>
    <s v="AUD"/>
    <s v="Rejected"/>
    <s v="MgrB"/>
    <m/>
    <n v="0.66"/>
    <n v="461.26080000000002"/>
  </r>
  <r>
    <s v="CL30529"/>
    <s v="E1080"/>
    <d v="2024-08-26T00:00:00"/>
    <x v="2"/>
    <s v="Travel expense"/>
    <n v="676.21"/>
    <s v="USD"/>
    <s v="Rejected"/>
    <s v="MgrB"/>
    <m/>
    <n v="1"/>
    <n v="676.21"/>
  </r>
  <r>
    <s v="CL30530"/>
    <s v="E1042"/>
    <d v="2023-06-02T00:00:00"/>
    <x v="2"/>
    <s v="Travel expense"/>
    <n v="444.97"/>
    <s v="EUR"/>
    <s v="Approved"/>
    <s v="MgrB"/>
    <m/>
    <n v="1.08"/>
    <n v="480.56760000000008"/>
  </r>
  <r>
    <s v="CL30531"/>
    <s v="E1083"/>
    <d v="2024-09-30T00:00:00"/>
    <x v="3"/>
    <s v="Travel expense"/>
    <n v="357.01"/>
    <s v="AUD"/>
    <s v="Submitted"/>
    <s v="MgrA"/>
    <m/>
    <n v="0.66"/>
    <n v="235.6266"/>
  </r>
  <r>
    <s v="CL30532"/>
    <s v="E1087"/>
    <d v="2024-10-11T00:00:00"/>
    <x v="3"/>
    <s v="Travel expense"/>
    <n v="109.43"/>
    <s v="AUD"/>
    <s v="Paid"/>
    <s v="MgrB"/>
    <d v="2024-10-26T00:00:00"/>
    <n v="0.66"/>
    <n v="72.223800000000011"/>
  </r>
  <r>
    <s v="CL30533"/>
    <s v="E1031"/>
    <d v="2025-03-16T00:00:00"/>
    <x v="2"/>
    <s v="Travel expense"/>
    <n v="378.54"/>
    <s v="USD"/>
    <s v="Submitted"/>
    <s v="MgrB"/>
    <m/>
    <n v="1"/>
    <n v="378.54"/>
  </r>
  <r>
    <s v="CL30534"/>
    <s v="E1118"/>
    <d v="2023-03-10T00:00:00"/>
    <x v="4"/>
    <s v="Travel expense"/>
    <n v="387.35"/>
    <s v="GBP"/>
    <s v="Rejected"/>
    <s v="MgrC"/>
    <m/>
    <n v="1.27"/>
    <n v="491.93450000000001"/>
  </r>
  <r>
    <s v="CL30535"/>
    <s v="E1083"/>
    <d v="2025-06-15T00:00:00"/>
    <x v="1"/>
    <s v="Travel expense"/>
    <n v="460"/>
    <s v="CAD"/>
    <s v="Rejected"/>
    <s v="MgrB"/>
    <m/>
    <n v="0.73"/>
    <n v="335.8"/>
  </r>
  <r>
    <s v="CL30536"/>
    <s v="E1046"/>
    <d v="2023-03-07T00:00:00"/>
    <x v="4"/>
    <s v="Travel expense"/>
    <n v="184.27"/>
    <s v="USD"/>
    <s v="Paid"/>
    <s v="MgrA"/>
    <d v="2023-03-22T00:00:00"/>
    <n v="1"/>
    <n v="184.27"/>
  </r>
  <r>
    <s v="CL30537"/>
    <s v="E1071"/>
    <d v="2025-03-10T00:00:00"/>
    <x v="4"/>
    <s v="Travel expense"/>
    <n v="767.16"/>
    <s v="GBP"/>
    <s v="Rejected"/>
    <s v="MgrC"/>
    <m/>
    <n v="1.27"/>
    <n v="974.29319999999996"/>
  </r>
  <r>
    <s v="CL30538"/>
    <s v="E1082"/>
    <d v="2023-01-15T00:00:00"/>
    <x v="4"/>
    <s v="Travel expense"/>
    <n v="72.7"/>
    <s v="GBP"/>
    <s v="Approved"/>
    <s v="MgrB"/>
    <m/>
    <n v="1.27"/>
    <n v="92.329000000000008"/>
  </r>
  <r>
    <s v="CL30539"/>
    <s v="E1114"/>
    <d v="2023-04-22T00:00:00"/>
    <x v="4"/>
    <s v="Travel expense"/>
    <n v="504.04"/>
    <s v="GBP"/>
    <s v="Approved"/>
    <s v="MgrB"/>
    <m/>
    <n v="1.27"/>
    <n v="640.13080000000002"/>
  </r>
  <r>
    <s v="CL30540"/>
    <s v="E1083"/>
    <d v="2023-02-18T00:00:00"/>
    <x v="3"/>
    <s v="Travel expense"/>
    <n v="92.22"/>
    <s v="CAD"/>
    <s v="Approved"/>
    <s v="MgrB"/>
    <m/>
    <n v="0.73"/>
    <n v="67.320599999999999"/>
  </r>
  <r>
    <s v="CL30541"/>
    <s v="E1099"/>
    <d v="2024-05-29T00:00:00"/>
    <x v="0"/>
    <s v="Travel expense"/>
    <n v="334.79"/>
    <s v="EUR"/>
    <s v="Paid"/>
    <s v="MgrC"/>
    <d v="2024-06-13T00:00:00"/>
    <n v="1.08"/>
    <n v="361.57320000000004"/>
  </r>
  <r>
    <s v="CL30542"/>
    <s v="E1062"/>
    <d v="2024-11-05T00:00:00"/>
    <x v="3"/>
    <s v="Travel expense"/>
    <n v="72.209999999999994"/>
    <s v="GBP"/>
    <s v="Submitted"/>
    <s v="MgrA"/>
    <m/>
    <n v="1.27"/>
    <n v="91.706699999999998"/>
  </r>
  <r>
    <s v="CL30543"/>
    <s v="E1057"/>
    <d v="2024-10-21T00:00:00"/>
    <x v="0"/>
    <s v="Travel expense"/>
    <n v="553.17999999999995"/>
    <s v="GBP"/>
    <s v="Submitted"/>
    <s v="MgrB"/>
    <m/>
    <n v="1.27"/>
    <n v="702.53859999999997"/>
  </r>
  <r>
    <s v="CL30544"/>
    <s v="E1109"/>
    <d v="2024-05-18T00:00:00"/>
    <x v="1"/>
    <s v="Travel expense"/>
    <n v="588.24"/>
    <s v="USD"/>
    <s v="Rejected"/>
    <s v="MgrA"/>
    <m/>
    <n v="1"/>
    <n v="588.24"/>
  </r>
  <r>
    <s v="CL30545"/>
    <s v="E1015"/>
    <d v="2023-04-01T00:00:00"/>
    <x v="2"/>
    <s v="Travel expense"/>
    <n v="71.12"/>
    <s v="EUR"/>
    <s v="Paid"/>
    <s v="MgrC"/>
    <d v="2023-04-16T00:00:00"/>
    <n v="1.08"/>
    <n v="76.809600000000003"/>
  </r>
  <r>
    <s v="CL30546"/>
    <s v="E1056"/>
    <d v="2023-10-07T00:00:00"/>
    <x v="2"/>
    <s v="Travel expense"/>
    <n v="54.25"/>
    <s v="EUR"/>
    <s v="Paid"/>
    <s v="MgrB"/>
    <d v="2023-10-22T00:00:00"/>
    <n v="1.08"/>
    <n v="58.59"/>
  </r>
  <r>
    <s v="CL30547"/>
    <s v="E1000"/>
    <d v="2023-11-02T00:00:00"/>
    <x v="0"/>
    <s v="Travel expense"/>
    <n v="223.51"/>
    <s v="EUR"/>
    <s v="Rejected"/>
    <s v="MgrA"/>
    <m/>
    <n v="1.08"/>
    <n v="241.39080000000001"/>
  </r>
  <r>
    <s v="CL30548"/>
    <s v="E1078"/>
    <d v="2024-04-09T00:00:00"/>
    <x v="2"/>
    <s v="Travel expense"/>
    <n v="558.76"/>
    <s v="USD"/>
    <s v="Approved"/>
    <s v="MgrB"/>
    <m/>
    <n v="1"/>
    <n v="558.76"/>
  </r>
  <r>
    <s v="CL30549"/>
    <s v="E1099"/>
    <d v="2024-02-15T00:00:00"/>
    <x v="0"/>
    <s v="Travel expense"/>
    <n v="410.56"/>
    <s v="AUD"/>
    <s v="Paid"/>
    <s v="MgrA"/>
    <d v="2024-03-01T00:00:00"/>
    <n v="0.66"/>
    <n v="270.96960000000001"/>
  </r>
  <r>
    <s v="CL30550"/>
    <s v="E1113"/>
    <d v="2024-07-08T00:00:00"/>
    <x v="3"/>
    <s v="Travel expense"/>
    <n v="710.92"/>
    <s v="EUR"/>
    <s v="Paid"/>
    <s v="MgrA"/>
    <d v="2024-07-23T00:00:00"/>
    <n v="1.08"/>
    <n v="767.79359999999997"/>
  </r>
  <r>
    <s v="CL30551"/>
    <s v="E1091"/>
    <d v="2023-07-15T00:00:00"/>
    <x v="3"/>
    <s v="Travel expense"/>
    <n v="268.05"/>
    <s v="EUR"/>
    <s v="Submitted"/>
    <s v="MgrC"/>
    <m/>
    <n v="1.08"/>
    <n v="289.49400000000003"/>
  </r>
  <r>
    <s v="CL30552"/>
    <s v="E1034"/>
    <d v="2025-06-17T00:00:00"/>
    <x v="4"/>
    <s v="Travel expense"/>
    <n v="158.28"/>
    <s v="CAD"/>
    <s v="Rejected"/>
    <s v="MgrC"/>
    <m/>
    <n v="0.73"/>
    <n v="115.5444"/>
  </r>
  <r>
    <s v="CL30553"/>
    <s v="E1064"/>
    <d v="2023-06-20T00:00:00"/>
    <x v="3"/>
    <s v="Travel expense"/>
    <n v="571.62"/>
    <s v="EUR"/>
    <s v="Rejected"/>
    <s v="MgrB"/>
    <m/>
    <n v="1.08"/>
    <n v="617.34960000000001"/>
  </r>
  <r>
    <s v="CL30554"/>
    <s v="E1088"/>
    <d v="2023-02-07T00:00:00"/>
    <x v="2"/>
    <s v="Travel expense"/>
    <n v="166.37"/>
    <s v="EUR"/>
    <s v="Paid"/>
    <s v="MgrC"/>
    <d v="2023-02-22T00:00:00"/>
    <n v="1.08"/>
    <n v="179.67960000000002"/>
  </r>
  <r>
    <s v="CL30555"/>
    <s v="E1044"/>
    <d v="2024-08-13T00:00:00"/>
    <x v="2"/>
    <s v="Travel expense"/>
    <n v="519.72"/>
    <s v="GBP"/>
    <s v="Submitted"/>
    <s v="MgrC"/>
    <m/>
    <n v="1.27"/>
    <n v="660.0444"/>
  </r>
  <r>
    <s v="CL30556"/>
    <s v="E1084"/>
    <d v="2025-01-12T00:00:00"/>
    <x v="4"/>
    <s v="Travel expense"/>
    <n v="595.47"/>
    <s v="EUR"/>
    <s v="Rejected"/>
    <s v="MgrA"/>
    <m/>
    <n v="1.08"/>
    <n v="643.10760000000005"/>
  </r>
  <r>
    <s v="CL30557"/>
    <s v="E1036"/>
    <d v="2023-11-29T00:00:00"/>
    <x v="3"/>
    <s v="Travel expense"/>
    <n v="302.43"/>
    <s v="USD"/>
    <s v="Approved"/>
    <s v="MgrB"/>
    <m/>
    <n v="1"/>
    <n v="302.43"/>
  </r>
  <r>
    <s v="CL30558"/>
    <s v="E1023"/>
    <d v="2023-09-04T00:00:00"/>
    <x v="0"/>
    <s v="Travel expense"/>
    <n v="733.65"/>
    <s v="CAD"/>
    <s v="Approved"/>
    <s v="MgrA"/>
    <m/>
    <n v="0.73"/>
    <n v="535.56449999999995"/>
  </r>
  <r>
    <s v="CL30559"/>
    <s v="E1113"/>
    <d v="2024-08-14T00:00:00"/>
    <x v="4"/>
    <s v="Travel expense"/>
    <n v="727.58"/>
    <s v="USD"/>
    <s v="Paid"/>
    <s v="MgrC"/>
    <d v="2024-08-29T00:00:00"/>
    <n v="1"/>
    <n v="727.58"/>
  </r>
  <r>
    <s v="CL30560"/>
    <s v="E1039"/>
    <d v="2025-03-15T00:00:00"/>
    <x v="3"/>
    <s v="Travel expense"/>
    <n v="514.25"/>
    <s v="AUD"/>
    <s v="Approved"/>
    <s v="MgrB"/>
    <m/>
    <n v="0.66"/>
    <n v="339.40500000000003"/>
  </r>
  <r>
    <s v="CL30561"/>
    <s v="E1112"/>
    <d v="2023-12-17T00:00:00"/>
    <x v="4"/>
    <s v="Travel expense"/>
    <n v="512.86"/>
    <s v="GBP"/>
    <s v="Submitted"/>
    <s v="MgrB"/>
    <m/>
    <n v="1.27"/>
    <n v="651.33220000000006"/>
  </r>
  <r>
    <s v="CL30562"/>
    <s v="E1088"/>
    <d v="2024-05-05T00:00:00"/>
    <x v="0"/>
    <s v="Travel expense"/>
    <n v="463.01"/>
    <s v="AUD"/>
    <s v="Rejected"/>
    <s v="MgrB"/>
    <m/>
    <n v="0.66"/>
    <n v="305.58660000000003"/>
  </r>
  <r>
    <s v="CL30563"/>
    <s v="E1055"/>
    <d v="2024-02-21T00:00:00"/>
    <x v="1"/>
    <s v="Travel expense"/>
    <n v="673.09"/>
    <s v="EUR"/>
    <s v="Approved"/>
    <s v="MgrA"/>
    <m/>
    <n v="1.08"/>
    <n v="726.93720000000008"/>
  </r>
  <r>
    <s v="CL30564"/>
    <s v="E1035"/>
    <d v="2023-01-20T00:00:00"/>
    <x v="0"/>
    <s v="Travel expense"/>
    <n v="781.96"/>
    <s v="CAD"/>
    <s v="Paid"/>
    <s v="MgrC"/>
    <d v="2023-02-04T00:00:00"/>
    <n v="0.73"/>
    <n v="570.83080000000007"/>
  </r>
  <r>
    <s v="CL30565"/>
    <s v="E1098"/>
    <d v="2024-05-01T00:00:00"/>
    <x v="4"/>
    <s v="Travel expense"/>
    <n v="697.54"/>
    <s v="EUR"/>
    <s v="Submitted"/>
    <s v="MgrA"/>
    <m/>
    <n v="1.08"/>
    <n v="753.34320000000002"/>
  </r>
  <r>
    <s v="CL30566"/>
    <s v="E1070"/>
    <d v="2025-03-03T00:00:00"/>
    <x v="1"/>
    <s v="Travel expense"/>
    <n v="491.54"/>
    <s v="GBP"/>
    <s v="Approved"/>
    <s v="MgrB"/>
    <m/>
    <n v="1.27"/>
    <n v="624.25580000000002"/>
  </r>
  <r>
    <s v="CL30567"/>
    <s v="E1088"/>
    <d v="2023-08-06T00:00:00"/>
    <x v="4"/>
    <s v="Travel expense"/>
    <n v="245.38"/>
    <s v="AUD"/>
    <s v="Rejected"/>
    <s v="MgrB"/>
    <m/>
    <n v="0.66"/>
    <n v="161.95080000000002"/>
  </r>
  <r>
    <s v="CL30568"/>
    <s v="E1083"/>
    <d v="2024-08-18T00:00:00"/>
    <x v="1"/>
    <s v="Travel expense"/>
    <n v="470.49"/>
    <s v="CAD"/>
    <s v="Approved"/>
    <s v="MgrC"/>
    <m/>
    <n v="0.73"/>
    <n v="343.45769999999999"/>
  </r>
  <r>
    <s v="CL30569"/>
    <s v="E1011"/>
    <d v="2025-05-27T00:00:00"/>
    <x v="3"/>
    <s v="Travel expense"/>
    <n v="721.65"/>
    <s v="EUR"/>
    <s v="Approved"/>
    <s v="MgrC"/>
    <m/>
    <n v="1.08"/>
    <n v="779.38200000000006"/>
  </r>
  <r>
    <s v="CL30570"/>
    <s v="E1000"/>
    <d v="2023-02-08T00:00:00"/>
    <x v="0"/>
    <s v="Travel expense"/>
    <n v="29.5"/>
    <s v="EUR"/>
    <s v="Rejected"/>
    <s v="MgrA"/>
    <m/>
    <n v="1.08"/>
    <n v="31.860000000000003"/>
  </r>
  <r>
    <s v="CL30571"/>
    <s v="E1100"/>
    <d v="2023-06-29T00:00:00"/>
    <x v="2"/>
    <s v="Travel expense"/>
    <n v="711.76"/>
    <s v="GBP"/>
    <s v="Paid"/>
    <s v="MgrC"/>
    <d v="2023-07-14T00:00:00"/>
    <n v="1.27"/>
    <n v="903.93520000000001"/>
  </r>
  <r>
    <s v="CL30572"/>
    <s v="E1045"/>
    <d v="2024-12-19T00:00:00"/>
    <x v="2"/>
    <s v="Travel expense"/>
    <n v="560.20000000000005"/>
    <s v="GBP"/>
    <s v="Approved"/>
    <s v="MgrB"/>
    <m/>
    <n v="1.27"/>
    <n v="711.45400000000006"/>
  </r>
  <r>
    <s v="CL30573"/>
    <s v="E1050"/>
    <d v="2024-01-28T00:00:00"/>
    <x v="4"/>
    <s v="Travel expense"/>
    <n v="114.37"/>
    <s v="GBP"/>
    <s v="Rejected"/>
    <s v="MgrB"/>
    <m/>
    <n v="1.27"/>
    <n v="145.2499"/>
  </r>
  <r>
    <s v="CL30574"/>
    <s v="E1105"/>
    <d v="2025-02-27T00:00:00"/>
    <x v="3"/>
    <s v="Travel expense"/>
    <n v="143.57"/>
    <s v="EUR"/>
    <s v="Approved"/>
    <s v="MgrA"/>
    <m/>
    <n v="1.08"/>
    <n v="155.0556"/>
  </r>
  <r>
    <s v="CL30575"/>
    <s v="E1103"/>
    <d v="2023-02-27T00:00:00"/>
    <x v="3"/>
    <s v="Travel expense"/>
    <n v="705.41"/>
    <s v="USD"/>
    <s v="Submitted"/>
    <s v="MgrC"/>
    <m/>
    <n v="1"/>
    <n v="705.41"/>
  </r>
  <r>
    <s v="CL30576"/>
    <s v="E1032"/>
    <d v="2024-09-02T00:00:00"/>
    <x v="0"/>
    <s v="Travel expense"/>
    <n v="537.29999999999995"/>
    <s v="CAD"/>
    <s v="Rejected"/>
    <s v="MgrB"/>
    <m/>
    <n v="0.73"/>
    <n v="392.22899999999998"/>
  </r>
  <r>
    <s v="CL30577"/>
    <s v="E1081"/>
    <d v="2023-01-15T00:00:00"/>
    <x v="4"/>
    <s v="Travel expense"/>
    <n v="671.53"/>
    <s v="CAD"/>
    <s v="Submitted"/>
    <s v="MgrC"/>
    <m/>
    <n v="0.73"/>
    <n v="490.21689999999995"/>
  </r>
  <r>
    <s v="CL30578"/>
    <s v="E1041"/>
    <d v="2023-10-01T00:00:00"/>
    <x v="2"/>
    <s v="Travel expense"/>
    <n v="337.74"/>
    <s v="CAD"/>
    <s v="Paid"/>
    <s v="MgrB"/>
    <d v="2023-10-16T00:00:00"/>
    <n v="0.73"/>
    <n v="246.55019999999999"/>
  </r>
  <r>
    <s v="CL30579"/>
    <s v="E1057"/>
    <d v="2024-02-04T00:00:00"/>
    <x v="1"/>
    <s v="Travel expense"/>
    <n v="428.81"/>
    <s v="CAD"/>
    <s v="Submitted"/>
    <s v="MgrA"/>
    <m/>
    <n v="0.73"/>
    <n v="313.03129999999999"/>
  </r>
  <r>
    <s v="CL30580"/>
    <s v="E1118"/>
    <d v="2023-03-13T00:00:00"/>
    <x v="0"/>
    <s v="Travel expense"/>
    <n v="414.53"/>
    <s v="USD"/>
    <s v="Rejected"/>
    <s v="MgrA"/>
    <m/>
    <n v="1"/>
    <n v="414.53"/>
  </r>
  <r>
    <s v="CL30581"/>
    <s v="E1022"/>
    <d v="2025-01-12T00:00:00"/>
    <x v="3"/>
    <s v="Travel expense"/>
    <n v="41.9"/>
    <s v="GBP"/>
    <s v="Rejected"/>
    <s v="MgrB"/>
    <m/>
    <n v="1.27"/>
    <n v="53.213000000000001"/>
  </r>
  <r>
    <s v="CL30582"/>
    <s v="E1106"/>
    <d v="2023-12-24T00:00:00"/>
    <x v="1"/>
    <s v="Travel expense"/>
    <n v="207.72"/>
    <s v="USD"/>
    <s v="Rejected"/>
    <s v="MgrA"/>
    <m/>
    <n v="1"/>
    <n v="207.72"/>
  </r>
  <r>
    <s v="CL30583"/>
    <s v="E1106"/>
    <d v="2023-04-05T00:00:00"/>
    <x v="2"/>
    <s v="Travel expense"/>
    <n v="164.47"/>
    <s v="GBP"/>
    <s v="Rejected"/>
    <s v="MgrC"/>
    <m/>
    <n v="1.27"/>
    <n v="208.87690000000001"/>
  </r>
  <r>
    <s v="CL30584"/>
    <s v="E1075"/>
    <d v="2023-01-30T00:00:00"/>
    <x v="3"/>
    <s v="Travel expense"/>
    <n v="487.27"/>
    <s v="AUD"/>
    <s v="Rejected"/>
    <s v="MgrC"/>
    <m/>
    <n v="0.66"/>
    <n v="321.59820000000002"/>
  </r>
  <r>
    <s v="CL30585"/>
    <s v="E1083"/>
    <d v="2023-05-24T00:00:00"/>
    <x v="0"/>
    <s v="Travel expense"/>
    <n v="343.75"/>
    <s v="GBP"/>
    <s v="Rejected"/>
    <s v="MgrA"/>
    <m/>
    <n v="1.27"/>
    <n v="436.5625"/>
  </r>
  <r>
    <s v="CL30586"/>
    <s v="E1078"/>
    <d v="2023-04-13T00:00:00"/>
    <x v="1"/>
    <s v="Travel expense"/>
    <n v="584.99"/>
    <s v="GBP"/>
    <s v="Submitted"/>
    <s v="MgrB"/>
    <m/>
    <n v="1.27"/>
    <n v="742.93730000000005"/>
  </r>
  <r>
    <s v="CL30587"/>
    <s v="E1082"/>
    <d v="2023-12-18T00:00:00"/>
    <x v="1"/>
    <s v="Travel expense"/>
    <n v="174.13"/>
    <s v="EUR"/>
    <s v="Approved"/>
    <s v="MgrC"/>
    <m/>
    <n v="1.08"/>
    <n v="188.06040000000002"/>
  </r>
  <r>
    <s v="CL30588"/>
    <s v="E1074"/>
    <d v="2024-10-07T00:00:00"/>
    <x v="1"/>
    <s v="Travel expense"/>
    <n v="291.85000000000002"/>
    <s v="CAD"/>
    <s v="Approved"/>
    <s v="MgrB"/>
    <m/>
    <n v="0.73"/>
    <n v="213.0505"/>
  </r>
  <r>
    <s v="CL30589"/>
    <s v="E1044"/>
    <d v="2025-04-20T00:00:00"/>
    <x v="1"/>
    <s v="Travel expense"/>
    <n v="417.36"/>
    <s v="GBP"/>
    <s v="Rejected"/>
    <s v="MgrB"/>
    <m/>
    <n v="1.27"/>
    <n v="530.04719999999998"/>
  </r>
  <r>
    <s v="CL30590"/>
    <s v="E1096"/>
    <d v="2025-06-12T00:00:00"/>
    <x v="4"/>
    <s v="Travel expense"/>
    <n v="789.18"/>
    <s v="AUD"/>
    <s v="Paid"/>
    <s v="MgrB"/>
    <d v="2025-06-27T00:00:00"/>
    <n v="0.66"/>
    <n v="520.85879999999997"/>
  </r>
  <r>
    <s v="CL30591"/>
    <s v="E1075"/>
    <d v="2023-04-08T00:00:00"/>
    <x v="4"/>
    <s v="Travel expense"/>
    <n v="610.48"/>
    <s v="CAD"/>
    <s v="Paid"/>
    <s v="MgrA"/>
    <d v="2023-04-23T00:00:00"/>
    <n v="0.73"/>
    <n v="445.65039999999999"/>
  </r>
  <r>
    <s v="CL30592"/>
    <s v="E1033"/>
    <d v="2023-02-06T00:00:00"/>
    <x v="0"/>
    <s v="Travel expense"/>
    <n v="550.1"/>
    <s v="USD"/>
    <s v="Approved"/>
    <s v="MgrC"/>
    <m/>
    <n v="1"/>
    <n v="550.1"/>
  </r>
  <r>
    <s v="CL30593"/>
    <s v="E1089"/>
    <d v="2023-12-22T00:00:00"/>
    <x v="1"/>
    <s v="Travel expense"/>
    <n v="50.7"/>
    <s v="GBP"/>
    <s v="Rejected"/>
    <s v="MgrC"/>
    <m/>
    <n v="1.27"/>
    <n v="64.38900000000001"/>
  </r>
  <r>
    <s v="CL30594"/>
    <s v="E1063"/>
    <d v="2025-01-14T00:00:00"/>
    <x v="2"/>
    <s v="Travel expense"/>
    <n v="686.62"/>
    <s v="USD"/>
    <s v="Submitted"/>
    <s v="MgrC"/>
    <m/>
    <n v="1"/>
    <n v="686.62"/>
  </r>
  <r>
    <s v="CL30595"/>
    <s v="E1095"/>
    <d v="2023-03-30T00:00:00"/>
    <x v="1"/>
    <s v="Travel expense"/>
    <n v="129.80000000000001"/>
    <s v="USD"/>
    <s v="Rejected"/>
    <s v="MgrC"/>
    <m/>
    <n v="1"/>
    <n v="129.80000000000001"/>
  </r>
  <r>
    <s v="CL30596"/>
    <s v="E1044"/>
    <d v="2023-10-13T00:00:00"/>
    <x v="1"/>
    <s v="Travel expense"/>
    <n v="44.92"/>
    <s v="USD"/>
    <s v="Approved"/>
    <s v="MgrA"/>
    <m/>
    <n v="1"/>
    <n v="44.92"/>
  </r>
  <r>
    <s v="CL30597"/>
    <s v="E1060"/>
    <d v="2024-05-13T00:00:00"/>
    <x v="4"/>
    <s v="Travel expense"/>
    <n v="332"/>
    <s v="USD"/>
    <s v="Paid"/>
    <s v="MgrC"/>
    <d v="2024-05-28T00:00:00"/>
    <n v="1"/>
    <n v="332"/>
  </r>
  <r>
    <s v="CL30598"/>
    <s v="E1104"/>
    <d v="2023-01-12T00:00:00"/>
    <x v="3"/>
    <s v="Travel expense"/>
    <n v="307.24"/>
    <s v="USD"/>
    <s v="Approved"/>
    <s v="MgrC"/>
    <m/>
    <n v="1"/>
    <n v="307.24"/>
  </r>
  <r>
    <s v="CL30599"/>
    <s v="E1078"/>
    <d v="2023-04-06T00:00:00"/>
    <x v="4"/>
    <s v="Travel expense"/>
    <n v="88.31"/>
    <s v="GBP"/>
    <s v="Rejected"/>
    <s v="MgrA"/>
    <m/>
    <n v="1.27"/>
    <n v="112.1537"/>
  </r>
  <r>
    <s v="CL30600"/>
    <s v="E1108"/>
    <d v="2024-10-21T00:00:00"/>
    <x v="4"/>
    <s v="Travel expense"/>
    <n v="743.66"/>
    <s v="EUR"/>
    <s v="Paid"/>
    <s v="MgrC"/>
    <d v="2024-11-05T00:00:00"/>
    <n v="1.08"/>
    <n v="803.15280000000007"/>
  </r>
  <r>
    <s v="CL30601"/>
    <s v="E1079"/>
    <d v="2023-01-16T00:00:00"/>
    <x v="2"/>
    <s v="Travel expense"/>
    <n v="744.77"/>
    <s v="CAD"/>
    <s v="Rejected"/>
    <s v="MgrB"/>
    <m/>
    <n v="0.73"/>
    <n v="543.68209999999999"/>
  </r>
  <r>
    <s v="CL30602"/>
    <s v="E1089"/>
    <d v="2025-03-12T00:00:00"/>
    <x v="4"/>
    <s v="Travel expense"/>
    <n v="349.42"/>
    <s v="EUR"/>
    <s v="Approved"/>
    <s v="MgrB"/>
    <m/>
    <n v="1.08"/>
    <n v="377.37360000000007"/>
  </r>
  <r>
    <s v="CL30603"/>
    <s v="E1027"/>
    <d v="2024-10-18T00:00:00"/>
    <x v="0"/>
    <s v="Travel expense"/>
    <n v="381.34"/>
    <s v="EUR"/>
    <s v="Paid"/>
    <s v="MgrB"/>
    <d v="2024-11-02T00:00:00"/>
    <n v="1.08"/>
    <n v="411.84719999999999"/>
  </r>
  <r>
    <s v="CL30604"/>
    <s v="E1048"/>
    <d v="2023-10-23T00:00:00"/>
    <x v="2"/>
    <s v="Travel expense"/>
    <n v="431.44"/>
    <s v="EUR"/>
    <s v="Approved"/>
    <s v="MgrC"/>
    <m/>
    <n v="1.08"/>
    <n v="465.95520000000005"/>
  </r>
  <r>
    <s v="CL30605"/>
    <s v="E1098"/>
    <d v="2024-03-18T00:00:00"/>
    <x v="2"/>
    <s v="Travel expense"/>
    <n v="587.64"/>
    <s v="CAD"/>
    <s v="Rejected"/>
    <s v="MgrA"/>
    <m/>
    <n v="0.73"/>
    <n v="428.97719999999998"/>
  </r>
  <r>
    <s v="CL30606"/>
    <s v="E1069"/>
    <d v="2025-06-09T00:00:00"/>
    <x v="0"/>
    <s v="Travel expense"/>
    <n v="74.36"/>
    <s v="EUR"/>
    <s v="Paid"/>
    <s v="MgrA"/>
    <d v="2025-06-24T00:00:00"/>
    <n v="1.08"/>
    <n v="80.308800000000005"/>
  </r>
  <r>
    <s v="CL30607"/>
    <s v="E1116"/>
    <d v="2024-09-09T00:00:00"/>
    <x v="3"/>
    <s v="Travel expense"/>
    <n v="540.96"/>
    <s v="CAD"/>
    <s v="Paid"/>
    <s v="MgrA"/>
    <d v="2024-09-24T00:00:00"/>
    <n v="0.73"/>
    <n v="394.9008"/>
  </r>
  <r>
    <s v="CL30608"/>
    <s v="E1039"/>
    <d v="2024-04-02T00:00:00"/>
    <x v="1"/>
    <s v="Travel expense"/>
    <n v="545.29999999999995"/>
    <s v="EUR"/>
    <s v="Paid"/>
    <s v="MgrB"/>
    <d v="2024-04-17T00:00:00"/>
    <n v="1.08"/>
    <n v="588.92399999999998"/>
  </r>
  <r>
    <s v="CL30609"/>
    <s v="E1062"/>
    <d v="2024-09-19T00:00:00"/>
    <x v="1"/>
    <s v="Travel expense"/>
    <n v="523.57000000000005"/>
    <s v="GBP"/>
    <s v="Rejected"/>
    <s v="MgrA"/>
    <m/>
    <n v="1.27"/>
    <n v="664.93390000000011"/>
  </r>
  <r>
    <s v="CL30610"/>
    <s v="E1050"/>
    <d v="2024-08-29T00:00:00"/>
    <x v="3"/>
    <s v="Travel expense"/>
    <n v="328.28"/>
    <s v="USD"/>
    <s v="Approved"/>
    <s v="MgrB"/>
    <m/>
    <n v="1"/>
    <n v="328.28"/>
  </r>
  <r>
    <s v="CL30611"/>
    <s v="E1090"/>
    <d v="2023-04-07T00:00:00"/>
    <x v="0"/>
    <s v="Travel expense"/>
    <n v="150.82"/>
    <s v="USD"/>
    <s v="Rejected"/>
    <s v="MgrC"/>
    <m/>
    <n v="1"/>
    <n v="150.82"/>
  </r>
  <r>
    <s v="CL30612"/>
    <s v="E1066"/>
    <d v="2023-09-20T00:00:00"/>
    <x v="3"/>
    <s v="Travel expense"/>
    <n v="169.69"/>
    <s v="GBP"/>
    <s v="Paid"/>
    <s v="MgrA"/>
    <d v="2023-10-05T00:00:00"/>
    <n v="1.27"/>
    <n v="215.50630000000001"/>
  </r>
  <r>
    <s v="CL30613"/>
    <s v="E1113"/>
    <d v="2025-02-17T00:00:00"/>
    <x v="4"/>
    <s v="Travel expense"/>
    <n v="154.63"/>
    <s v="AUD"/>
    <s v="Paid"/>
    <s v="MgrA"/>
    <d v="2025-03-04T00:00:00"/>
    <n v="0.66"/>
    <n v="102.0558"/>
  </r>
  <r>
    <s v="CL30614"/>
    <s v="E1076"/>
    <d v="2024-06-08T00:00:00"/>
    <x v="3"/>
    <s v="Travel expense"/>
    <n v="341.7"/>
    <s v="USD"/>
    <s v="Rejected"/>
    <s v="MgrB"/>
    <m/>
    <n v="1"/>
    <n v="341.7"/>
  </r>
  <r>
    <s v="CL30615"/>
    <s v="E1097"/>
    <d v="2023-11-18T00:00:00"/>
    <x v="3"/>
    <s v="Travel expense"/>
    <n v="135.32"/>
    <s v="EUR"/>
    <s v="Rejected"/>
    <s v="MgrC"/>
    <m/>
    <n v="1.08"/>
    <n v="146.1456"/>
  </r>
  <r>
    <s v="CL30616"/>
    <s v="E1095"/>
    <d v="2024-12-14T00:00:00"/>
    <x v="1"/>
    <s v="Travel expense"/>
    <n v="767.27"/>
    <s v="EUR"/>
    <s v="Submitted"/>
    <s v="MgrB"/>
    <m/>
    <n v="1.08"/>
    <n v="828.65160000000003"/>
  </r>
  <r>
    <s v="CL30617"/>
    <s v="E1054"/>
    <d v="2023-05-23T00:00:00"/>
    <x v="0"/>
    <s v="Travel expense"/>
    <n v="287.27"/>
    <s v="USD"/>
    <s v="Paid"/>
    <s v="MgrB"/>
    <d v="2023-06-07T00:00:00"/>
    <n v="1"/>
    <n v="287.27"/>
  </r>
  <r>
    <s v="CL30618"/>
    <s v="E1018"/>
    <d v="2023-08-09T00:00:00"/>
    <x v="0"/>
    <s v="Travel expense"/>
    <n v="524.28"/>
    <s v="EUR"/>
    <s v="Approved"/>
    <s v="MgrC"/>
    <m/>
    <n v="1.08"/>
    <n v="566.22239999999999"/>
  </r>
  <r>
    <s v="CL30619"/>
    <s v="E1094"/>
    <d v="2024-08-11T00:00:00"/>
    <x v="2"/>
    <s v="Travel expense"/>
    <n v="509.3"/>
    <s v="USD"/>
    <s v="Paid"/>
    <s v="MgrB"/>
    <d v="2024-08-26T00:00:00"/>
    <n v="1"/>
    <n v="509.3"/>
  </r>
  <r>
    <s v="CL30620"/>
    <s v="E1011"/>
    <d v="2023-09-19T00:00:00"/>
    <x v="0"/>
    <s v="Travel expense"/>
    <n v="797.66"/>
    <s v="AUD"/>
    <s v="Rejected"/>
    <s v="MgrA"/>
    <m/>
    <n v="0.66"/>
    <n v="526.4556"/>
  </r>
  <r>
    <s v="CL30621"/>
    <s v="E1097"/>
    <d v="2024-02-09T00:00:00"/>
    <x v="3"/>
    <s v="Travel expense"/>
    <n v="548.41999999999996"/>
    <s v="AUD"/>
    <s v="Rejected"/>
    <s v="MgrB"/>
    <m/>
    <n v="0.66"/>
    <n v="361.9572"/>
  </r>
  <r>
    <s v="CL30622"/>
    <s v="E1028"/>
    <d v="2023-02-13T00:00:00"/>
    <x v="1"/>
    <s v="Travel expense"/>
    <n v="397.58"/>
    <s v="USD"/>
    <s v="Submitted"/>
    <s v="MgrA"/>
    <m/>
    <n v="1"/>
    <n v="397.58"/>
  </r>
  <r>
    <s v="CL30623"/>
    <s v="E1039"/>
    <d v="2023-01-12T00:00:00"/>
    <x v="1"/>
    <s v="Travel expense"/>
    <n v="149.09"/>
    <s v="CAD"/>
    <s v="Paid"/>
    <s v="MgrC"/>
    <d v="2023-01-27T00:00:00"/>
    <n v="0.73"/>
    <n v="108.8357"/>
  </r>
  <r>
    <s v="CL30624"/>
    <s v="E1052"/>
    <d v="2024-05-10T00:00:00"/>
    <x v="4"/>
    <s v="Travel expense"/>
    <n v="516.66"/>
    <s v="USD"/>
    <s v="Rejected"/>
    <s v="MgrA"/>
    <m/>
    <n v="1"/>
    <n v="516.66"/>
  </r>
  <r>
    <s v="CL30625"/>
    <s v="E1057"/>
    <d v="2023-02-05T00:00:00"/>
    <x v="4"/>
    <s v="Travel expense"/>
    <n v="433.43"/>
    <s v="USD"/>
    <s v="Rejected"/>
    <s v="MgrB"/>
    <m/>
    <n v="1"/>
    <n v="433.43"/>
  </r>
  <r>
    <s v="CL30626"/>
    <s v="E1115"/>
    <d v="2025-06-08T00:00:00"/>
    <x v="2"/>
    <s v="Travel expense"/>
    <n v="636.12"/>
    <s v="GBP"/>
    <s v="Paid"/>
    <s v="MgrA"/>
    <d v="2025-06-23T00:00:00"/>
    <n v="1.27"/>
    <n v="807.87239999999997"/>
  </r>
  <r>
    <s v="CL30627"/>
    <s v="E1105"/>
    <d v="2024-02-10T00:00:00"/>
    <x v="0"/>
    <s v="Travel expense"/>
    <n v="457.36"/>
    <s v="GBP"/>
    <s v="Rejected"/>
    <s v="MgrA"/>
    <m/>
    <n v="1.27"/>
    <n v="580.84720000000004"/>
  </r>
  <r>
    <s v="CL30628"/>
    <s v="E1092"/>
    <d v="2024-07-03T00:00:00"/>
    <x v="2"/>
    <s v="Travel expense"/>
    <n v="221.83"/>
    <s v="EUR"/>
    <s v="Rejected"/>
    <s v="MgrB"/>
    <m/>
    <n v="1.08"/>
    <n v="239.57640000000004"/>
  </r>
  <r>
    <s v="CL30629"/>
    <s v="E1037"/>
    <d v="2024-01-30T00:00:00"/>
    <x v="2"/>
    <s v="Travel expense"/>
    <n v="82.86"/>
    <s v="GBP"/>
    <s v="Paid"/>
    <s v="MgrA"/>
    <d v="2024-02-14T00:00:00"/>
    <n v="1.27"/>
    <n v="105.23220000000001"/>
  </r>
  <r>
    <s v="CL30630"/>
    <s v="E1081"/>
    <d v="2024-03-18T00:00:00"/>
    <x v="1"/>
    <s v="Travel expense"/>
    <n v="123.01"/>
    <s v="EUR"/>
    <s v="Paid"/>
    <s v="MgrB"/>
    <d v="2024-04-02T00:00:00"/>
    <n v="1.08"/>
    <n v="132.85080000000002"/>
  </r>
  <r>
    <s v="CL30631"/>
    <s v="E1020"/>
    <d v="2024-07-13T00:00:00"/>
    <x v="4"/>
    <s v="Travel expense"/>
    <n v="478.59"/>
    <s v="GBP"/>
    <s v="Approved"/>
    <s v="MgrB"/>
    <m/>
    <n v="1.27"/>
    <n v="607.80930000000001"/>
  </r>
  <r>
    <s v="CL30632"/>
    <s v="E1062"/>
    <d v="2023-12-18T00:00:00"/>
    <x v="3"/>
    <s v="Travel expense"/>
    <n v="766.67"/>
    <s v="AUD"/>
    <s v="Paid"/>
    <s v="MgrA"/>
    <d v="2024-01-02T00:00:00"/>
    <n v="0.66"/>
    <n v="506.00220000000002"/>
  </r>
  <r>
    <s v="CL30633"/>
    <s v="E1040"/>
    <d v="2024-05-19T00:00:00"/>
    <x v="0"/>
    <s v="Travel expense"/>
    <n v="622.65"/>
    <s v="USD"/>
    <s v="Rejected"/>
    <s v="MgrB"/>
    <m/>
    <n v="1"/>
    <n v="622.65"/>
  </r>
  <r>
    <s v="CL30634"/>
    <s v="E1112"/>
    <d v="2025-04-18T00:00:00"/>
    <x v="3"/>
    <s v="Travel expense"/>
    <n v="101.88"/>
    <s v="CAD"/>
    <s v="Rejected"/>
    <s v="MgrC"/>
    <m/>
    <n v="0.73"/>
    <n v="74.372399999999999"/>
  </r>
  <r>
    <s v="CL30635"/>
    <s v="E1030"/>
    <d v="2024-09-22T00:00:00"/>
    <x v="4"/>
    <s v="Travel expense"/>
    <n v="215.2"/>
    <s v="USD"/>
    <s v="Rejected"/>
    <s v="MgrA"/>
    <m/>
    <n v="1"/>
    <n v="215.2"/>
  </r>
  <r>
    <s v="CL30636"/>
    <s v="E1114"/>
    <d v="2023-09-02T00:00:00"/>
    <x v="0"/>
    <s v="Travel expense"/>
    <n v="493.65"/>
    <s v="CAD"/>
    <s v="Approved"/>
    <s v="MgrA"/>
    <m/>
    <n v="0.73"/>
    <n v="360.36449999999996"/>
  </r>
  <r>
    <s v="CL30637"/>
    <s v="E1000"/>
    <d v="2023-04-07T00:00:00"/>
    <x v="1"/>
    <s v="Travel expense"/>
    <n v="89.06"/>
    <s v="CAD"/>
    <s v="Rejected"/>
    <s v="MgrC"/>
    <m/>
    <n v="0.73"/>
    <n v="65.013800000000003"/>
  </r>
  <r>
    <s v="CL30638"/>
    <s v="E1055"/>
    <d v="2023-06-20T00:00:00"/>
    <x v="4"/>
    <s v="Travel expense"/>
    <n v="652.03"/>
    <s v="CAD"/>
    <s v="Submitted"/>
    <s v="MgrC"/>
    <m/>
    <n v="0.73"/>
    <n v="475.9819"/>
  </r>
  <r>
    <s v="CL30639"/>
    <s v="E1091"/>
    <d v="2023-01-19T00:00:00"/>
    <x v="0"/>
    <s v="Travel expense"/>
    <n v="344.65"/>
    <s v="CAD"/>
    <s v="Paid"/>
    <s v="MgrA"/>
    <d v="2023-02-03T00:00:00"/>
    <n v="0.73"/>
    <n v="251.59449999999998"/>
  </r>
  <r>
    <s v="CL30640"/>
    <s v="E1009"/>
    <d v="2024-09-11T00:00:00"/>
    <x v="0"/>
    <s v="Travel expense"/>
    <n v="21.09"/>
    <s v="EUR"/>
    <s v="Approved"/>
    <s v="MgrB"/>
    <m/>
    <n v="1.08"/>
    <n v="22.777200000000001"/>
  </r>
  <r>
    <s v="CL30641"/>
    <s v="E1095"/>
    <d v="2023-11-16T00:00:00"/>
    <x v="1"/>
    <s v="Travel expense"/>
    <n v="749.85"/>
    <s v="EUR"/>
    <s v="Submitted"/>
    <s v="MgrA"/>
    <m/>
    <n v="1.08"/>
    <n v="809.83800000000008"/>
  </r>
  <r>
    <s v="CL30642"/>
    <s v="E1113"/>
    <d v="2023-02-14T00:00:00"/>
    <x v="0"/>
    <s v="Travel expense"/>
    <n v="433.3"/>
    <s v="CAD"/>
    <s v="Submitted"/>
    <s v="MgrC"/>
    <m/>
    <n v="0.73"/>
    <n v="316.30900000000003"/>
  </r>
  <r>
    <s v="CL30643"/>
    <s v="E1007"/>
    <d v="2024-07-02T00:00:00"/>
    <x v="2"/>
    <s v="Travel expense"/>
    <n v="458.54"/>
    <s v="CAD"/>
    <s v="Approved"/>
    <s v="MgrA"/>
    <m/>
    <n v="0.73"/>
    <n v="334.73419999999999"/>
  </r>
  <r>
    <s v="CL30644"/>
    <s v="E1039"/>
    <d v="2023-12-01T00:00:00"/>
    <x v="2"/>
    <s v="Travel expense"/>
    <n v="216.14"/>
    <s v="EUR"/>
    <s v="Submitted"/>
    <s v="MgrB"/>
    <m/>
    <n v="1.08"/>
    <n v="233.43119999999999"/>
  </r>
  <r>
    <s v="CL30645"/>
    <s v="E1031"/>
    <d v="2023-04-19T00:00:00"/>
    <x v="1"/>
    <s v="Travel expense"/>
    <n v="710.4"/>
    <s v="GBP"/>
    <s v="Approved"/>
    <s v="MgrA"/>
    <m/>
    <n v="1.27"/>
    <n v="902.20799999999997"/>
  </r>
  <r>
    <s v="CL30646"/>
    <s v="E1038"/>
    <d v="2023-06-21T00:00:00"/>
    <x v="3"/>
    <s v="Travel expense"/>
    <n v="667.03"/>
    <s v="AUD"/>
    <s v="Rejected"/>
    <s v="MgrC"/>
    <m/>
    <n v="0.66"/>
    <n v="440.2398"/>
  </r>
  <r>
    <s v="CL30647"/>
    <s v="E1023"/>
    <d v="2023-06-01T00:00:00"/>
    <x v="2"/>
    <s v="Travel expense"/>
    <n v="746.62"/>
    <s v="GBP"/>
    <s v="Rejected"/>
    <s v="MgrB"/>
    <m/>
    <n v="1.27"/>
    <n v="948.20740000000001"/>
  </r>
  <r>
    <s v="CL30648"/>
    <s v="E1057"/>
    <d v="2024-06-05T00:00:00"/>
    <x v="2"/>
    <s v="Travel expense"/>
    <n v="129.16999999999999"/>
    <s v="EUR"/>
    <s v="Rejected"/>
    <s v="MgrA"/>
    <m/>
    <n v="1.08"/>
    <n v="139.50360000000001"/>
  </r>
  <r>
    <s v="CL30649"/>
    <s v="E1060"/>
    <d v="2024-06-14T00:00:00"/>
    <x v="4"/>
    <s v="Travel expense"/>
    <n v="114.71"/>
    <s v="USD"/>
    <s v="Rejected"/>
    <s v="MgrB"/>
    <m/>
    <n v="1"/>
    <n v="114.71"/>
  </r>
  <r>
    <s v="CL30650"/>
    <s v="E1034"/>
    <d v="2023-10-04T00:00:00"/>
    <x v="3"/>
    <s v="Travel expense"/>
    <n v="543.76"/>
    <s v="EUR"/>
    <s v="Rejected"/>
    <s v="MgrB"/>
    <m/>
    <n v="1.08"/>
    <n v="587.26080000000002"/>
  </r>
  <r>
    <s v="CL30651"/>
    <s v="E1046"/>
    <d v="2023-10-27T00:00:00"/>
    <x v="0"/>
    <s v="Travel expense"/>
    <n v="198.6"/>
    <s v="GBP"/>
    <s v="Rejected"/>
    <s v="MgrA"/>
    <m/>
    <n v="1.27"/>
    <n v="252.22200000000001"/>
  </r>
  <r>
    <s v="CL30652"/>
    <s v="E1005"/>
    <d v="2025-05-24T00:00:00"/>
    <x v="0"/>
    <s v="Travel expense"/>
    <n v="364.17"/>
    <s v="USD"/>
    <s v="Rejected"/>
    <s v="MgrA"/>
    <m/>
    <n v="1"/>
    <n v="364.17"/>
  </r>
  <r>
    <s v="CL30653"/>
    <s v="E1057"/>
    <d v="2024-08-21T00:00:00"/>
    <x v="2"/>
    <s v="Travel expense"/>
    <n v="521.69000000000005"/>
    <s v="AUD"/>
    <s v="Paid"/>
    <s v="MgrB"/>
    <d v="2024-09-05T00:00:00"/>
    <n v="0.66"/>
    <n v="344.31540000000007"/>
  </r>
  <r>
    <s v="CL30654"/>
    <s v="E1014"/>
    <d v="2024-02-06T00:00:00"/>
    <x v="1"/>
    <s v="Travel expense"/>
    <n v="37.51"/>
    <s v="USD"/>
    <s v="Submitted"/>
    <s v="MgrC"/>
    <m/>
    <n v="1"/>
    <n v="37.51"/>
  </r>
  <r>
    <s v="CL30655"/>
    <s v="E1056"/>
    <d v="2024-06-08T00:00:00"/>
    <x v="0"/>
    <s v="Travel expense"/>
    <n v="722.15"/>
    <s v="CAD"/>
    <s v="Paid"/>
    <s v="MgrC"/>
    <d v="2024-06-23T00:00:00"/>
    <n v="0.73"/>
    <n v="527.16949999999997"/>
  </r>
  <r>
    <s v="CL30656"/>
    <s v="E1064"/>
    <d v="2023-07-22T00:00:00"/>
    <x v="3"/>
    <s v="Travel expense"/>
    <n v="530.09"/>
    <s v="USD"/>
    <s v="Submitted"/>
    <s v="MgrB"/>
    <m/>
    <n v="1"/>
    <n v="530.09"/>
  </r>
  <r>
    <s v="CL30657"/>
    <s v="E1027"/>
    <d v="2023-06-15T00:00:00"/>
    <x v="3"/>
    <s v="Travel expense"/>
    <n v="138.35"/>
    <s v="USD"/>
    <s v="Submitted"/>
    <s v="MgrC"/>
    <m/>
    <n v="1"/>
    <n v="138.35"/>
  </r>
  <r>
    <s v="CL30658"/>
    <s v="E1009"/>
    <d v="2023-08-05T00:00:00"/>
    <x v="3"/>
    <s v="Travel expense"/>
    <n v="35.659999999999997"/>
    <s v="EUR"/>
    <s v="Approved"/>
    <s v="MgrA"/>
    <m/>
    <n v="1.08"/>
    <n v="38.512799999999999"/>
  </r>
  <r>
    <s v="CL30659"/>
    <s v="E1118"/>
    <d v="2024-05-21T00:00:00"/>
    <x v="4"/>
    <s v="Travel expense"/>
    <n v="323.3"/>
    <s v="USD"/>
    <s v="Submitted"/>
    <s v="MgrA"/>
    <m/>
    <n v="1"/>
    <n v="323.3"/>
  </r>
  <r>
    <s v="CL30660"/>
    <s v="E1025"/>
    <d v="2024-12-26T00:00:00"/>
    <x v="0"/>
    <s v="Travel expense"/>
    <n v="659.07"/>
    <s v="EUR"/>
    <s v="Submitted"/>
    <s v="MgrC"/>
    <m/>
    <n v="1.08"/>
    <n v="711.79560000000015"/>
  </r>
  <r>
    <s v="CL30661"/>
    <s v="E1063"/>
    <d v="2023-12-22T00:00:00"/>
    <x v="3"/>
    <s v="Travel expense"/>
    <n v="421.97"/>
    <s v="GBP"/>
    <s v="Submitted"/>
    <s v="MgrA"/>
    <m/>
    <n v="1.27"/>
    <n v="535.90190000000007"/>
  </r>
  <r>
    <s v="CL30662"/>
    <s v="E1052"/>
    <d v="2023-12-25T00:00:00"/>
    <x v="2"/>
    <s v="Travel expense"/>
    <n v="23.26"/>
    <s v="USD"/>
    <s v="Submitted"/>
    <s v="MgrA"/>
    <m/>
    <n v="1"/>
    <n v="23.26"/>
  </r>
  <r>
    <s v="CL30663"/>
    <s v="E1003"/>
    <d v="2023-05-22T00:00:00"/>
    <x v="4"/>
    <s v="Travel expense"/>
    <n v="31.77"/>
    <s v="EUR"/>
    <s v="Paid"/>
    <s v="MgrA"/>
    <d v="2023-06-06T00:00:00"/>
    <n v="1.08"/>
    <n v="34.311599999999999"/>
  </r>
  <r>
    <s v="CL30664"/>
    <s v="E1110"/>
    <d v="2023-04-02T00:00:00"/>
    <x v="3"/>
    <s v="Travel expense"/>
    <n v="545.27"/>
    <s v="EUR"/>
    <s v="Rejected"/>
    <s v="MgrA"/>
    <m/>
    <n v="1.08"/>
    <n v="588.89160000000004"/>
  </r>
  <r>
    <s v="CL30665"/>
    <s v="E1109"/>
    <d v="2024-11-15T00:00:00"/>
    <x v="2"/>
    <s v="Travel expense"/>
    <n v="712.59"/>
    <s v="EUR"/>
    <s v="Paid"/>
    <s v="MgrA"/>
    <d v="2024-11-30T00:00:00"/>
    <n v="1.08"/>
    <n v="769.59720000000004"/>
  </r>
  <r>
    <s v="CL30666"/>
    <s v="E1025"/>
    <d v="2023-07-04T00:00:00"/>
    <x v="3"/>
    <s v="Travel expense"/>
    <n v="518.39"/>
    <s v="CAD"/>
    <s v="Paid"/>
    <s v="MgrB"/>
    <d v="2023-07-19T00:00:00"/>
    <n v="0.73"/>
    <n v="378.42469999999997"/>
  </r>
  <r>
    <s v="CL30667"/>
    <s v="E1078"/>
    <d v="2023-06-03T00:00:00"/>
    <x v="3"/>
    <s v="Travel expense"/>
    <n v="633.48"/>
    <s v="CAD"/>
    <s v="Approved"/>
    <s v="MgrB"/>
    <m/>
    <n v="0.73"/>
    <n v="462.44040000000001"/>
  </r>
  <r>
    <s v="CL30668"/>
    <s v="E1015"/>
    <d v="2024-08-18T00:00:00"/>
    <x v="0"/>
    <s v="Travel expense"/>
    <n v="794.81"/>
    <s v="EUR"/>
    <s v="Approved"/>
    <s v="MgrB"/>
    <m/>
    <n v="1.08"/>
    <n v="858.39480000000003"/>
  </r>
  <r>
    <s v="CL30669"/>
    <s v="E1119"/>
    <d v="2023-02-28T00:00:00"/>
    <x v="0"/>
    <s v="Travel expense"/>
    <n v="559.97"/>
    <s v="GBP"/>
    <s v="Paid"/>
    <s v="MgrA"/>
    <d v="2023-03-15T00:00:00"/>
    <n v="1.27"/>
    <n v="711.16190000000006"/>
  </r>
  <r>
    <s v="CL30670"/>
    <s v="E1066"/>
    <d v="2024-06-22T00:00:00"/>
    <x v="2"/>
    <s v="Travel expense"/>
    <n v="334.08"/>
    <s v="AUD"/>
    <s v="Paid"/>
    <s v="MgrA"/>
    <d v="2024-07-07T00:00:00"/>
    <n v="0.66"/>
    <n v="220.49279999999999"/>
  </r>
  <r>
    <s v="CL30671"/>
    <s v="E1112"/>
    <d v="2025-01-20T00:00:00"/>
    <x v="3"/>
    <s v="Travel expense"/>
    <n v="175.63"/>
    <s v="USD"/>
    <s v="Rejected"/>
    <s v="MgrB"/>
    <m/>
    <n v="1"/>
    <n v="175.63"/>
  </r>
  <r>
    <s v="CL30672"/>
    <s v="E1095"/>
    <d v="2024-02-02T00:00:00"/>
    <x v="2"/>
    <s v="Travel expense"/>
    <n v="73.73"/>
    <s v="EUR"/>
    <s v="Paid"/>
    <s v="MgrA"/>
    <d v="2024-02-17T00:00:00"/>
    <n v="1.08"/>
    <n v="79.628400000000013"/>
  </r>
  <r>
    <s v="CL30673"/>
    <s v="E1019"/>
    <d v="2024-08-16T00:00:00"/>
    <x v="4"/>
    <s v="Travel expense"/>
    <n v="547.32000000000005"/>
    <s v="EUR"/>
    <s v="Submitted"/>
    <s v="MgrC"/>
    <m/>
    <n v="1.08"/>
    <n v="591.10560000000009"/>
  </r>
  <r>
    <s v="CL30674"/>
    <s v="E1114"/>
    <d v="2024-12-24T00:00:00"/>
    <x v="4"/>
    <s v="Travel expense"/>
    <n v="401.22"/>
    <s v="USD"/>
    <s v="Submitted"/>
    <s v="MgrB"/>
    <m/>
    <n v="1"/>
    <n v="401.22"/>
  </r>
  <r>
    <s v="CL30675"/>
    <s v="E1048"/>
    <d v="2023-05-19T00:00:00"/>
    <x v="0"/>
    <s v="Travel expense"/>
    <n v="489.62"/>
    <s v="CAD"/>
    <s v="Paid"/>
    <s v="MgrB"/>
    <d v="2023-06-03T00:00:00"/>
    <n v="0.73"/>
    <n v="357.42259999999999"/>
  </r>
  <r>
    <s v="CL30676"/>
    <s v="E1012"/>
    <d v="2024-04-30T00:00:00"/>
    <x v="2"/>
    <s v="Travel expense"/>
    <n v="789.31"/>
    <s v="USD"/>
    <s v="Submitted"/>
    <s v="MgrC"/>
    <m/>
    <n v="1"/>
    <n v="789.31"/>
  </r>
  <r>
    <s v="CL30677"/>
    <s v="E1067"/>
    <d v="2024-12-30T00:00:00"/>
    <x v="0"/>
    <s v="Travel expense"/>
    <n v="133.57"/>
    <s v="GBP"/>
    <s v="Paid"/>
    <s v="MgrB"/>
    <d v="2025-01-14T00:00:00"/>
    <n v="1.27"/>
    <n v="169.63389999999998"/>
  </r>
  <r>
    <s v="CL30678"/>
    <s v="E1003"/>
    <d v="2025-03-20T00:00:00"/>
    <x v="0"/>
    <s v="Travel expense"/>
    <n v="307.49"/>
    <s v="GBP"/>
    <s v="Submitted"/>
    <s v="MgrA"/>
    <m/>
    <n v="1.27"/>
    <n v="390.51230000000004"/>
  </r>
  <r>
    <s v="CL30679"/>
    <s v="E1007"/>
    <d v="2024-05-06T00:00:00"/>
    <x v="3"/>
    <s v="Travel expense"/>
    <n v="327.92"/>
    <s v="AUD"/>
    <s v="Submitted"/>
    <s v="MgrB"/>
    <m/>
    <n v="0.66"/>
    <n v="216.42720000000003"/>
  </r>
  <r>
    <s v="CL30680"/>
    <s v="E1083"/>
    <d v="2023-12-12T00:00:00"/>
    <x v="4"/>
    <s v="Travel expense"/>
    <n v="756.76"/>
    <s v="EUR"/>
    <s v="Paid"/>
    <s v="MgrB"/>
    <d v="2023-12-27T00:00:00"/>
    <n v="1.08"/>
    <n v="817.30080000000009"/>
  </r>
  <r>
    <s v="CL30681"/>
    <s v="E1113"/>
    <d v="2023-03-21T00:00:00"/>
    <x v="4"/>
    <s v="Travel expense"/>
    <n v="292.14999999999998"/>
    <s v="EUR"/>
    <s v="Paid"/>
    <s v="MgrB"/>
    <d v="2023-04-05T00:00:00"/>
    <n v="1.08"/>
    <n v="315.52199999999999"/>
  </r>
  <r>
    <s v="CL30682"/>
    <s v="E1018"/>
    <d v="2025-04-28T00:00:00"/>
    <x v="3"/>
    <s v="Travel expense"/>
    <n v="774"/>
    <s v="AUD"/>
    <s v="Paid"/>
    <s v="MgrB"/>
    <d v="2025-05-13T00:00:00"/>
    <n v="0.66"/>
    <n v="510.84000000000003"/>
  </r>
  <r>
    <s v="CL30683"/>
    <s v="E1074"/>
    <d v="2023-11-24T00:00:00"/>
    <x v="1"/>
    <s v="Travel expense"/>
    <n v="223.41"/>
    <s v="GBP"/>
    <s v="Paid"/>
    <s v="MgrB"/>
    <d v="2023-12-09T00:00:00"/>
    <n v="1.27"/>
    <n v="283.73070000000001"/>
  </r>
  <r>
    <s v="CL30684"/>
    <s v="E1043"/>
    <d v="2023-02-10T00:00:00"/>
    <x v="0"/>
    <s v="Travel expense"/>
    <n v="643.30999999999995"/>
    <s v="EUR"/>
    <s v="Paid"/>
    <s v="MgrB"/>
    <d v="2023-02-25T00:00:00"/>
    <n v="1.08"/>
    <n v="694.77480000000003"/>
  </r>
  <r>
    <s v="CL30685"/>
    <s v="E1001"/>
    <d v="2023-02-22T00:00:00"/>
    <x v="4"/>
    <s v="Travel expense"/>
    <n v="49.53"/>
    <s v="EUR"/>
    <s v="Rejected"/>
    <s v="MgrB"/>
    <m/>
    <n v="1.08"/>
    <n v="53.492400000000004"/>
  </r>
  <r>
    <s v="CL30686"/>
    <s v="E1066"/>
    <d v="2024-03-01T00:00:00"/>
    <x v="1"/>
    <s v="Travel expense"/>
    <n v="305.35000000000002"/>
    <s v="AUD"/>
    <s v="Paid"/>
    <s v="MgrA"/>
    <d v="2024-03-16T00:00:00"/>
    <n v="0.66"/>
    <n v="201.53100000000003"/>
  </r>
  <r>
    <s v="CL30687"/>
    <s v="E1048"/>
    <d v="2024-02-09T00:00:00"/>
    <x v="4"/>
    <s v="Travel expense"/>
    <n v="643.89"/>
    <s v="CAD"/>
    <s v="Rejected"/>
    <s v="MgrC"/>
    <m/>
    <n v="0.73"/>
    <n v="470.03969999999998"/>
  </r>
  <r>
    <s v="CL30688"/>
    <s v="E1045"/>
    <d v="2024-06-24T00:00:00"/>
    <x v="0"/>
    <s v="Travel expense"/>
    <n v="73.94"/>
    <s v="EUR"/>
    <s v="Submitted"/>
    <s v="MgrA"/>
    <m/>
    <n v="1.08"/>
    <n v="79.855199999999996"/>
  </r>
  <r>
    <s v="CL30689"/>
    <s v="E1049"/>
    <d v="2023-04-21T00:00:00"/>
    <x v="1"/>
    <s v="Travel expense"/>
    <n v="679.91"/>
    <s v="AUD"/>
    <s v="Approved"/>
    <s v="MgrC"/>
    <m/>
    <n v="0.66"/>
    <n v="448.74059999999997"/>
  </r>
  <r>
    <s v="CL30690"/>
    <s v="E1109"/>
    <d v="2023-10-14T00:00:00"/>
    <x v="4"/>
    <s v="Travel expense"/>
    <n v="797.7"/>
    <s v="GBP"/>
    <s v="Rejected"/>
    <s v="MgrB"/>
    <m/>
    <n v="1.27"/>
    <n v="1013.0790000000001"/>
  </r>
  <r>
    <s v="CL30691"/>
    <s v="E1034"/>
    <d v="2023-05-03T00:00:00"/>
    <x v="1"/>
    <s v="Travel expense"/>
    <n v="297.97000000000003"/>
    <s v="CAD"/>
    <s v="Rejected"/>
    <s v="MgrC"/>
    <m/>
    <n v="0.73"/>
    <n v="217.5181"/>
  </r>
  <r>
    <s v="CL30692"/>
    <s v="E1092"/>
    <d v="2024-03-30T00:00:00"/>
    <x v="1"/>
    <s v="Travel expense"/>
    <n v="77.03"/>
    <s v="CAD"/>
    <s v="Submitted"/>
    <s v="MgrC"/>
    <m/>
    <n v="0.73"/>
    <n v="56.231899999999996"/>
  </r>
  <r>
    <s v="CL30693"/>
    <s v="E1051"/>
    <d v="2024-08-22T00:00:00"/>
    <x v="0"/>
    <s v="Travel expense"/>
    <n v="677.91"/>
    <s v="GBP"/>
    <s v="Paid"/>
    <s v="MgrC"/>
    <d v="2024-09-06T00:00:00"/>
    <n v="1.27"/>
    <n v="860.94569999999999"/>
  </r>
  <r>
    <s v="CL30694"/>
    <s v="E1109"/>
    <d v="2024-12-02T00:00:00"/>
    <x v="1"/>
    <s v="Travel expense"/>
    <n v="453.86"/>
    <s v="USD"/>
    <s v="Rejected"/>
    <s v="MgrC"/>
    <m/>
    <n v="1"/>
    <n v="453.86"/>
  </r>
  <r>
    <s v="CL30695"/>
    <s v="E1035"/>
    <d v="2024-02-09T00:00:00"/>
    <x v="1"/>
    <s v="Travel expense"/>
    <n v="789.58"/>
    <s v="GBP"/>
    <s v="Approved"/>
    <s v="MgrB"/>
    <m/>
    <n v="1.27"/>
    <n v="1002.7666"/>
  </r>
  <r>
    <s v="CL30696"/>
    <s v="E1103"/>
    <d v="2024-12-05T00:00:00"/>
    <x v="0"/>
    <s v="Travel expense"/>
    <n v="493.03"/>
    <s v="CAD"/>
    <s v="Submitted"/>
    <s v="MgrC"/>
    <m/>
    <n v="0.73"/>
    <n v="359.91189999999995"/>
  </r>
  <r>
    <s v="CL30697"/>
    <s v="E1084"/>
    <d v="2024-12-02T00:00:00"/>
    <x v="1"/>
    <s v="Travel expense"/>
    <n v="120.88"/>
    <s v="USD"/>
    <s v="Rejected"/>
    <s v="MgrC"/>
    <m/>
    <n v="1"/>
    <n v="120.88"/>
  </r>
  <r>
    <s v="CL30698"/>
    <s v="E1081"/>
    <d v="2023-12-10T00:00:00"/>
    <x v="2"/>
    <s v="Travel expense"/>
    <n v="785.23"/>
    <s v="CAD"/>
    <s v="Approved"/>
    <s v="MgrA"/>
    <m/>
    <n v="0.73"/>
    <n v="573.21789999999999"/>
  </r>
  <r>
    <s v="CL30699"/>
    <s v="E1044"/>
    <d v="2023-07-12T00:00:00"/>
    <x v="3"/>
    <s v="Travel expense"/>
    <n v="38.549999999999997"/>
    <s v="USD"/>
    <s v="Rejected"/>
    <s v="MgrA"/>
    <m/>
    <n v="1"/>
    <n v="38.549999999999997"/>
  </r>
  <r>
    <s v="CL30700"/>
    <s v="E1113"/>
    <d v="2024-12-23T00:00:00"/>
    <x v="0"/>
    <s v="Travel expense"/>
    <n v="638.41999999999996"/>
    <s v="AUD"/>
    <s v="Paid"/>
    <s v="MgrC"/>
    <d v="2025-01-07T00:00:00"/>
    <n v="0.66"/>
    <n v="421.35719999999998"/>
  </r>
  <r>
    <s v="CL30701"/>
    <s v="E1108"/>
    <d v="2024-08-26T00:00:00"/>
    <x v="3"/>
    <s v="Travel expense"/>
    <n v="235.45"/>
    <s v="CAD"/>
    <s v="Submitted"/>
    <s v="MgrC"/>
    <m/>
    <n v="0.73"/>
    <n v="171.87849999999997"/>
  </r>
  <r>
    <s v="CL30702"/>
    <s v="E1038"/>
    <d v="2024-10-18T00:00:00"/>
    <x v="4"/>
    <s v="Travel expense"/>
    <n v="106.55"/>
    <s v="EUR"/>
    <s v="Submitted"/>
    <s v="MgrB"/>
    <m/>
    <n v="1.08"/>
    <n v="115.074"/>
  </r>
  <r>
    <s v="CL30703"/>
    <s v="E1021"/>
    <d v="2023-04-26T00:00:00"/>
    <x v="2"/>
    <s v="Travel expense"/>
    <n v="57.18"/>
    <s v="GBP"/>
    <s v="Approved"/>
    <s v="MgrA"/>
    <m/>
    <n v="1.27"/>
    <n v="72.618600000000001"/>
  </r>
  <r>
    <s v="CL30704"/>
    <s v="E1085"/>
    <d v="2023-07-30T00:00:00"/>
    <x v="4"/>
    <s v="Travel expense"/>
    <n v="530"/>
    <s v="USD"/>
    <s v="Paid"/>
    <s v="MgrC"/>
    <d v="2023-08-14T00:00:00"/>
    <n v="1"/>
    <n v="530"/>
  </r>
  <r>
    <s v="CL30705"/>
    <s v="E1106"/>
    <d v="2025-01-27T00:00:00"/>
    <x v="0"/>
    <s v="Travel expense"/>
    <n v="56.7"/>
    <s v="USD"/>
    <s v="Submitted"/>
    <s v="MgrC"/>
    <m/>
    <n v="1"/>
    <n v="56.7"/>
  </r>
  <r>
    <s v="CL30706"/>
    <s v="E1003"/>
    <d v="2024-12-26T00:00:00"/>
    <x v="0"/>
    <s v="Travel expense"/>
    <n v="713.46"/>
    <s v="CAD"/>
    <s v="Rejected"/>
    <s v="MgrA"/>
    <m/>
    <n v="0.73"/>
    <n v="520.82579999999996"/>
  </r>
  <r>
    <s v="CL30707"/>
    <s v="E1016"/>
    <d v="2024-11-05T00:00:00"/>
    <x v="2"/>
    <s v="Travel expense"/>
    <n v="565.78"/>
    <s v="GBP"/>
    <s v="Rejected"/>
    <s v="MgrB"/>
    <m/>
    <n v="1.27"/>
    <n v="718.54059999999993"/>
  </r>
  <r>
    <s v="CL30708"/>
    <s v="E1037"/>
    <d v="2023-07-29T00:00:00"/>
    <x v="2"/>
    <s v="Travel expense"/>
    <n v="190.39"/>
    <s v="USD"/>
    <s v="Rejected"/>
    <s v="MgrC"/>
    <m/>
    <n v="1"/>
    <n v="190.39"/>
  </r>
  <r>
    <s v="CL30709"/>
    <s v="E1061"/>
    <d v="2023-08-23T00:00:00"/>
    <x v="1"/>
    <s v="Travel expense"/>
    <n v="707.46"/>
    <s v="CAD"/>
    <s v="Paid"/>
    <s v="MgrC"/>
    <d v="2023-09-07T00:00:00"/>
    <n v="0.73"/>
    <n v="516.44579999999996"/>
  </r>
  <r>
    <s v="CL30710"/>
    <s v="E1090"/>
    <d v="2023-02-10T00:00:00"/>
    <x v="0"/>
    <s v="Travel expense"/>
    <n v="756.72"/>
    <s v="GBP"/>
    <s v="Submitted"/>
    <s v="MgrB"/>
    <m/>
    <n v="1.27"/>
    <n v="961.03440000000001"/>
  </r>
  <r>
    <s v="CL30711"/>
    <s v="E1118"/>
    <d v="2023-08-16T00:00:00"/>
    <x v="0"/>
    <s v="Travel expense"/>
    <n v="471.5"/>
    <s v="EUR"/>
    <s v="Rejected"/>
    <s v="MgrA"/>
    <m/>
    <n v="1.08"/>
    <n v="509.22"/>
  </r>
  <r>
    <s v="CL30712"/>
    <s v="E1046"/>
    <d v="2025-03-28T00:00:00"/>
    <x v="0"/>
    <s v="Travel expense"/>
    <n v="362.72"/>
    <s v="GBP"/>
    <s v="Approved"/>
    <s v="MgrC"/>
    <m/>
    <n v="1.27"/>
    <n v="460.65440000000007"/>
  </r>
  <r>
    <s v="CL30713"/>
    <s v="E1097"/>
    <d v="2023-07-23T00:00:00"/>
    <x v="1"/>
    <s v="Travel expense"/>
    <n v="449.82"/>
    <s v="GBP"/>
    <s v="Rejected"/>
    <s v="MgrA"/>
    <m/>
    <n v="1.27"/>
    <n v="571.27139999999997"/>
  </r>
  <r>
    <s v="CL30714"/>
    <s v="E1003"/>
    <d v="2025-06-18T00:00:00"/>
    <x v="1"/>
    <s v="Travel expense"/>
    <n v="535.30999999999995"/>
    <s v="GBP"/>
    <s v="Rejected"/>
    <s v="MgrB"/>
    <m/>
    <n v="1.27"/>
    <n v="679.8436999999999"/>
  </r>
  <r>
    <s v="CL30715"/>
    <s v="E1113"/>
    <d v="2024-03-26T00:00:00"/>
    <x v="3"/>
    <s v="Travel expense"/>
    <n v="370.29"/>
    <s v="GBP"/>
    <s v="Paid"/>
    <s v="MgrA"/>
    <d v="2024-04-10T00:00:00"/>
    <n v="1.27"/>
    <n v="470.26830000000001"/>
  </r>
  <r>
    <s v="CL30716"/>
    <s v="E1107"/>
    <d v="2023-06-19T00:00:00"/>
    <x v="1"/>
    <s v="Travel expense"/>
    <n v="774.71"/>
    <s v="EUR"/>
    <s v="Submitted"/>
    <s v="MgrC"/>
    <m/>
    <n v="1.08"/>
    <n v="836.68680000000006"/>
  </r>
  <r>
    <s v="CL30717"/>
    <s v="E1092"/>
    <d v="2023-11-05T00:00:00"/>
    <x v="2"/>
    <s v="Travel expense"/>
    <n v="530.19000000000005"/>
    <s v="USD"/>
    <s v="Submitted"/>
    <s v="MgrA"/>
    <m/>
    <n v="1"/>
    <n v="530.19000000000005"/>
  </r>
  <r>
    <s v="CL30718"/>
    <s v="E1043"/>
    <d v="2025-06-11T00:00:00"/>
    <x v="3"/>
    <s v="Travel expense"/>
    <n v="502.63"/>
    <s v="USD"/>
    <s v="Approved"/>
    <s v="MgrC"/>
    <m/>
    <n v="1"/>
    <n v="502.63"/>
  </r>
  <r>
    <s v="CL30719"/>
    <s v="E1011"/>
    <d v="2024-07-21T00:00:00"/>
    <x v="2"/>
    <s v="Travel expense"/>
    <n v="140.35"/>
    <s v="USD"/>
    <s v="Paid"/>
    <s v="MgrC"/>
    <d v="2024-08-05T00:00:00"/>
    <n v="1"/>
    <n v="140.35"/>
  </r>
  <r>
    <s v="CL30720"/>
    <s v="E1076"/>
    <d v="2023-10-02T00:00:00"/>
    <x v="0"/>
    <s v="Travel expense"/>
    <n v="301.77999999999997"/>
    <s v="USD"/>
    <s v="Submitted"/>
    <s v="MgrA"/>
    <m/>
    <n v="1"/>
    <n v="301.77999999999997"/>
  </r>
  <r>
    <s v="CL30721"/>
    <s v="E1114"/>
    <d v="2025-02-16T00:00:00"/>
    <x v="4"/>
    <s v="Travel expense"/>
    <n v="713.99"/>
    <s v="AUD"/>
    <s v="Paid"/>
    <s v="MgrB"/>
    <d v="2025-03-03T00:00:00"/>
    <n v="0.66"/>
    <n v="471.23340000000002"/>
  </r>
  <r>
    <s v="CL30722"/>
    <s v="E1047"/>
    <d v="2025-06-29T00:00:00"/>
    <x v="3"/>
    <s v="Travel expense"/>
    <n v="279.24"/>
    <s v="GBP"/>
    <s v="Submitted"/>
    <s v="MgrB"/>
    <m/>
    <n v="1.27"/>
    <n v="354.63480000000004"/>
  </r>
  <r>
    <s v="CL30723"/>
    <s v="E1113"/>
    <d v="2024-12-14T00:00:00"/>
    <x v="3"/>
    <s v="Travel expense"/>
    <n v="423.55"/>
    <s v="AUD"/>
    <s v="Approved"/>
    <s v="MgrB"/>
    <m/>
    <n v="0.66"/>
    <n v="279.54300000000001"/>
  </r>
  <r>
    <s v="CL30724"/>
    <s v="E1027"/>
    <d v="2023-08-04T00:00:00"/>
    <x v="0"/>
    <s v="Travel expense"/>
    <n v="341.26"/>
    <s v="AUD"/>
    <s v="Approved"/>
    <s v="MgrC"/>
    <m/>
    <n v="0.66"/>
    <n v="225.23160000000001"/>
  </r>
  <r>
    <s v="CL30725"/>
    <s v="E1118"/>
    <d v="2024-05-25T00:00:00"/>
    <x v="0"/>
    <s v="Travel expense"/>
    <n v="126.57"/>
    <s v="GBP"/>
    <s v="Paid"/>
    <s v="MgrA"/>
    <d v="2024-06-09T00:00:00"/>
    <n v="1.27"/>
    <n v="160.7439"/>
  </r>
  <r>
    <s v="CL30726"/>
    <s v="E1075"/>
    <d v="2025-06-16T00:00:00"/>
    <x v="2"/>
    <s v="Travel expense"/>
    <n v="443.37"/>
    <s v="CAD"/>
    <s v="Submitted"/>
    <s v="MgrA"/>
    <m/>
    <n v="0.73"/>
    <n v="323.6601"/>
  </r>
  <r>
    <s v="CL30727"/>
    <s v="E1043"/>
    <d v="2025-01-09T00:00:00"/>
    <x v="2"/>
    <s v="Travel expense"/>
    <n v="305.57"/>
    <s v="EUR"/>
    <s v="Submitted"/>
    <s v="MgrC"/>
    <m/>
    <n v="1.08"/>
    <n v="330.01560000000001"/>
  </r>
  <r>
    <s v="CL30728"/>
    <s v="E1080"/>
    <d v="2024-10-30T00:00:00"/>
    <x v="0"/>
    <s v="Travel expense"/>
    <n v="379.61"/>
    <s v="GBP"/>
    <s v="Approved"/>
    <s v="MgrA"/>
    <m/>
    <n v="1.27"/>
    <n v="482.10470000000004"/>
  </r>
  <r>
    <s v="CL30729"/>
    <s v="E1029"/>
    <d v="2024-06-20T00:00:00"/>
    <x v="3"/>
    <s v="Travel expense"/>
    <n v="498.78"/>
    <s v="AUD"/>
    <s v="Paid"/>
    <s v="MgrA"/>
    <d v="2024-07-05T00:00:00"/>
    <n v="0.66"/>
    <n v="329.19479999999999"/>
  </r>
  <r>
    <s v="CL30730"/>
    <s v="E1040"/>
    <d v="2024-06-19T00:00:00"/>
    <x v="3"/>
    <s v="Travel expense"/>
    <n v="654.62"/>
    <s v="USD"/>
    <s v="Submitted"/>
    <s v="MgrA"/>
    <m/>
    <n v="1"/>
    <n v="654.62"/>
  </r>
  <r>
    <s v="CL30731"/>
    <s v="E1037"/>
    <d v="2023-12-07T00:00:00"/>
    <x v="4"/>
    <s v="Travel expense"/>
    <n v="84.49"/>
    <s v="USD"/>
    <s v="Submitted"/>
    <s v="MgrB"/>
    <m/>
    <n v="1"/>
    <n v="84.49"/>
  </r>
  <r>
    <s v="CL30732"/>
    <s v="E1089"/>
    <d v="2025-04-04T00:00:00"/>
    <x v="0"/>
    <s v="Travel expense"/>
    <n v="702.15"/>
    <s v="CAD"/>
    <s v="Approved"/>
    <s v="MgrA"/>
    <m/>
    <n v="0.73"/>
    <n v="512.56949999999995"/>
  </r>
  <r>
    <s v="CL30733"/>
    <s v="E1027"/>
    <d v="2024-11-10T00:00:00"/>
    <x v="4"/>
    <s v="Travel expense"/>
    <n v="634.91"/>
    <s v="AUD"/>
    <s v="Rejected"/>
    <s v="MgrB"/>
    <m/>
    <n v="0.66"/>
    <n v="419.04059999999998"/>
  </r>
  <r>
    <s v="CL30734"/>
    <s v="E1051"/>
    <d v="2024-04-17T00:00:00"/>
    <x v="4"/>
    <s v="Travel expense"/>
    <n v="266.39"/>
    <s v="EUR"/>
    <s v="Rejected"/>
    <s v="MgrC"/>
    <m/>
    <n v="1.08"/>
    <n v="287.70120000000003"/>
  </r>
  <r>
    <s v="CL30735"/>
    <s v="E1060"/>
    <d v="2023-05-05T00:00:00"/>
    <x v="1"/>
    <s v="Travel expense"/>
    <n v="728.77"/>
    <s v="GBP"/>
    <s v="Paid"/>
    <s v="MgrB"/>
    <d v="2023-05-20T00:00:00"/>
    <n v="1.27"/>
    <n v="925.53790000000004"/>
  </r>
  <r>
    <s v="CL30736"/>
    <s v="E1078"/>
    <d v="2023-10-05T00:00:00"/>
    <x v="3"/>
    <s v="Travel expense"/>
    <n v="110.13"/>
    <s v="EUR"/>
    <s v="Rejected"/>
    <s v="MgrB"/>
    <m/>
    <n v="1.08"/>
    <n v="118.9404"/>
  </r>
  <r>
    <s v="CL30737"/>
    <s v="E1093"/>
    <d v="2024-11-23T00:00:00"/>
    <x v="3"/>
    <s v="Travel expense"/>
    <n v="679.96"/>
    <s v="CAD"/>
    <s v="Rejected"/>
    <s v="MgrB"/>
    <m/>
    <n v="0.73"/>
    <n v="496.37080000000003"/>
  </r>
  <r>
    <s v="CL30738"/>
    <s v="E1072"/>
    <d v="2024-08-18T00:00:00"/>
    <x v="4"/>
    <s v="Travel expense"/>
    <n v="382.77"/>
    <s v="USD"/>
    <s v="Paid"/>
    <s v="MgrB"/>
    <d v="2024-09-02T00:00:00"/>
    <n v="1"/>
    <n v="382.77"/>
  </r>
  <r>
    <s v="CL30739"/>
    <s v="E1004"/>
    <d v="2023-06-08T00:00:00"/>
    <x v="1"/>
    <s v="Travel expense"/>
    <n v="526.6"/>
    <s v="CAD"/>
    <s v="Paid"/>
    <s v="MgrA"/>
    <d v="2023-06-23T00:00:00"/>
    <n v="0.73"/>
    <n v="384.41800000000001"/>
  </r>
  <r>
    <s v="CL30740"/>
    <s v="E1082"/>
    <d v="2023-11-30T00:00:00"/>
    <x v="4"/>
    <s v="Travel expense"/>
    <n v="408.78"/>
    <s v="AUD"/>
    <s v="Rejected"/>
    <s v="MgrA"/>
    <m/>
    <n v="0.66"/>
    <n v="269.79480000000001"/>
  </r>
  <r>
    <s v="CL30741"/>
    <s v="E1043"/>
    <d v="2023-04-30T00:00:00"/>
    <x v="1"/>
    <s v="Travel expense"/>
    <n v="47.11"/>
    <s v="USD"/>
    <s v="Paid"/>
    <s v="MgrA"/>
    <d v="2023-05-15T00:00:00"/>
    <n v="1"/>
    <n v="47.11"/>
  </r>
  <r>
    <s v="CL30742"/>
    <s v="E1105"/>
    <d v="2023-02-15T00:00:00"/>
    <x v="4"/>
    <s v="Travel expense"/>
    <n v="745.84"/>
    <s v="GBP"/>
    <s v="Submitted"/>
    <s v="MgrA"/>
    <m/>
    <n v="1.27"/>
    <n v="947.21680000000003"/>
  </r>
  <r>
    <s v="CL30743"/>
    <s v="E1070"/>
    <d v="2024-01-03T00:00:00"/>
    <x v="2"/>
    <s v="Travel expense"/>
    <n v="273.12"/>
    <s v="EUR"/>
    <s v="Approved"/>
    <s v="MgrC"/>
    <m/>
    <n v="1.08"/>
    <n v="294.96960000000001"/>
  </r>
  <r>
    <s v="CL30744"/>
    <s v="E1107"/>
    <d v="2023-08-23T00:00:00"/>
    <x v="2"/>
    <s v="Travel expense"/>
    <n v="773.86"/>
    <s v="AUD"/>
    <s v="Submitted"/>
    <s v="MgrC"/>
    <m/>
    <n v="0.66"/>
    <n v="510.74760000000003"/>
  </r>
  <r>
    <s v="CL30745"/>
    <s v="E1088"/>
    <d v="2023-01-22T00:00:00"/>
    <x v="2"/>
    <s v="Travel expense"/>
    <n v="58.15"/>
    <s v="GBP"/>
    <s v="Rejected"/>
    <s v="MgrA"/>
    <m/>
    <n v="1.27"/>
    <n v="73.850499999999997"/>
  </r>
  <r>
    <s v="CL30746"/>
    <s v="E1087"/>
    <d v="2025-01-08T00:00:00"/>
    <x v="4"/>
    <s v="Travel expense"/>
    <n v="57.29"/>
    <s v="AUD"/>
    <s v="Paid"/>
    <s v="MgrA"/>
    <d v="2025-01-23T00:00:00"/>
    <n v="0.66"/>
    <n v="37.811399999999999"/>
  </r>
  <r>
    <s v="CL30747"/>
    <s v="E1084"/>
    <d v="2023-01-04T00:00:00"/>
    <x v="2"/>
    <s v="Travel expense"/>
    <n v="165.68"/>
    <s v="AUD"/>
    <s v="Rejected"/>
    <s v="MgrC"/>
    <m/>
    <n v="0.66"/>
    <n v="109.34880000000001"/>
  </r>
  <r>
    <s v="CL30748"/>
    <s v="E1016"/>
    <d v="2023-05-30T00:00:00"/>
    <x v="4"/>
    <s v="Travel expense"/>
    <n v="41.37"/>
    <s v="CAD"/>
    <s v="Rejected"/>
    <s v="MgrC"/>
    <m/>
    <n v="0.73"/>
    <n v="30.200099999999999"/>
  </r>
  <r>
    <s v="CL30749"/>
    <s v="E1110"/>
    <d v="2024-08-15T00:00:00"/>
    <x v="2"/>
    <s v="Travel expense"/>
    <n v="82.41"/>
    <s v="CAD"/>
    <s v="Submitted"/>
    <s v="MgrC"/>
    <m/>
    <n v="0.73"/>
    <n v="60.159299999999995"/>
  </r>
  <r>
    <s v="CL30750"/>
    <s v="E1104"/>
    <d v="2025-02-05T00:00:00"/>
    <x v="2"/>
    <s v="Travel expense"/>
    <n v="45.06"/>
    <s v="CAD"/>
    <s v="Approved"/>
    <s v="MgrC"/>
    <m/>
    <n v="0.73"/>
    <n v="32.893799999999999"/>
  </r>
  <r>
    <s v="CL30751"/>
    <s v="E1101"/>
    <d v="2024-10-30T00:00:00"/>
    <x v="3"/>
    <s v="Travel expense"/>
    <n v="603.65"/>
    <s v="AUD"/>
    <s v="Paid"/>
    <s v="MgrB"/>
    <d v="2024-11-14T00:00:00"/>
    <n v="0.66"/>
    <n v="398.40899999999999"/>
  </r>
  <r>
    <s v="CL30752"/>
    <s v="E1039"/>
    <d v="2025-02-09T00:00:00"/>
    <x v="0"/>
    <s v="Travel expense"/>
    <n v="196.85"/>
    <s v="EUR"/>
    <s v="Paid"/>
    <s v="MgrA"/>
    <d v="2025-02-24T00:00:00"/>
    <n v="1.08"/>
    <n v="212.59800000000001"/>
  </r>
  <r>
    <s v="CL30753"/>
    <s v="E1115"/>
    <d v="2025-05-11T00:00:00"/>
    <x v="1"/>
    <s v="Travel expense"/>
    <n v="266.3"/>
    <s v="USD"/>
    <s v="Submitted"/>
    <s v="MgrB"/>
    <m/>
    <n v="1"/>
    <n v="266.3"/>
  </r>
  <r>
    <s v="CL30754"/>
    <s v="E1082"/>
    <d v="2024-07-25T00:00:00"/>
    <x v="3"/>
    <s v="Travel expense"/>
    <n v="787.9"/>
    <s v="AUD"/>
    <s v="Rejected"/>
    <s v="MgrC"/>
    <m/>
    <n v="0.66"/>
    <n v="520.01400000000001"/>
  </r>
  <r>
    <s v="CL30755"/>
    <s v="E1034"/>
    <d v="2024-04-27T00:00:00"/>
    <x v="2"/>
    <s v="Travel expense"/>
    <n v="103.81"/>
    <s v="EUR"/>
    <s v="Submitted"/>
    <s v="MgrC"/>
    <m/>
    <n v="1.08"/>
    <n v="112.11480000000002"/>
  </r>
  <r>
    <s v="CL30756"/>
    <s v="E1054"/>
    <d v="2024-01-19T00:00:00"/>
    <x v="4"/>
    <s v="Travel expense"/>
    <n v="520.80999999999995"/>
    <s v="CAD"/>
    <s v="Rejected"/>
    <s v="MgrA"/>
    <m/>
    <n v="0.73"/>
    <n v="380.19129999999996"/>
  </r>
  <r>
    <s v="CL30757"/>
    <s v="E1110"/>
    <d v="2024-03-21T00:00:00"/>
    <x v="4"/>
    <s v="Travel expense"/>
    <n v="374.07"/>
    <s v="AUD"/>
    <s v="Rejected"/>
    <s v="MgrB"/>
    <m/>
    <n v="0.66"/>
    <n v="246.8862"/>
  </r>
  <r>
    <s v="CL30758"/>
    <s v="E1070"/>
    <d v="2023-04-10T00:00:00"/>
    <x v="4"/>
    <s v="Travel expense"/>
    <n v="336.44"/>
    <s v="USD"/>
    <s v="Paid"/>
    <s v="MgrC"/>
    <d v="2023-04-25T00:00:00"/>
    <n v="1"/>
    <n v="336.44"/>
  </r>
  <r>
    <s v="CL30759"/>
    <s v="E1063"/>
    <d v="2024-10-28T00:00:00"/>
    <x v="0"/>
    <s v="Travel expense"/>
    <n v="553.38"/>
    <s v="CAD"/>
    <s v="Approved"/>
    <s v="MgrC"/>
    <m/>
    <n v="0.73"/>
    <n v="403.9674"/>
  </r>
  <r>
    <s v="CL30760"/>
    <s v="E1083"/>
    <d v="2023-02-17T00:00:00"/>
    <x v="4"/>
    <s v="Travel expense"/>
    <n v="376.07"/>
    <s v="AUD"/>
    <s v="Submitted"/>
    <s v="MgrC"/>
    <m/>
    <n v="0.66"/>
    <n v="248.2062"/>
  </r>
  <r>
    <s v="CL30761"/>
    <s v="E1018"/>
    <d v="2023-09-19T00:00:00"/>
    <x v="4"/>
    <s v="Travel expense"/>
    <n v="277.14999999999998"/>
    <s v="AUD"/>
    <s v="Submitted"/>
    <s v="MgrC"/>
    <m/>
    <n v="0.66"/>
    <n v="182.91899999999998"/>
  </r>
  <r>
    <s v="CL30762"/>
    <s v="E1057"/>
    <d v="2025-04-07T00:00:00"/>
    <x v="3"/>
    <s v="Travel expense"/>
    <n v="193.5"/>
    <s v="EUR"/>
    <s v="Submitted"/>
    <s v="MgrC"/>
    <m/>
    <n v="1.08"/>
    <n v="208.98000000000002"/>
  </r>
  <r>
    <s v="CL30763"/>
    <s v="E1049"/>
    <d v="2024-07-16T00:00:00"/>
    <x v="2"/>
    <s v="Travel expense"/>
    <n v="174.9"/>
    <s v="EUR"/>
    <s v="Submitted"/>
    <s v="MgrA"/>
    <m/>
    <n v="1.08"/>
    <n v="188.89200000000002"/>
  </r>
  <r>
    <s v="CL30764"/>
    <s v="E1023"/>
    <d v="2023-04-13T00:00:00"/>
    <x v="0"/>
    <s v="Travel expense"/>
    <n v="509.97"/>
    <s v="EUR"/>
    <s v="Approved"/>
    <s v="MgrC"/>
    <m/>
    <n v="1.08"/>
    <n v="550.76760000000002"/>
  </r>
  <r>
    <s v="CL30765"/>
    <s v="E1003"/>
    <d v="2024-11-16T00:00:00"/>
    <x v="2"/>
    <s v="Travel expense"/>
    <n v="502.27"/>
    <s v="GBP"/>
    <s v="Paid"/>
    <s v="MgrC"/>
    <d v="2024-12-01T00:00:00"/>
    <n v="1.27"/>
    <n v="637.88289999999995"/>
  </r>
  <r>
    <s v="CL30766"/>
    <s v="E1024"/>
    <d v="2025-05-20T00:00:00"/>
    <x v="1"/>
    <s v="Travel expense"/>
    <n v="548.55999999999995"/>
    <s v="USD"/>
    <s v="Rejected"/>
    <s v="MgrC"/>
    <m/>
    <n v="1"/>
    <n v="548.55999999999995"/>
  </r>
  <r>
    <s v="CL30767"/>
    <s v="E1095"/>
    <d v="2025-06-16T00:00:00"/>
    <x v="0"/>
    <s v="Travel expense"/>
    <n v="709.38"/>
    <s v="AUD"/>
    <s v="Paid"/>
    <s v="MgrA"/>
    <d v="2025-07-01T00:00:00"/>
    <n v="0.66"/>
    <n v="468.19080000000002"/>
  </r>
  <r>
    <s v="CL30768"/>
    <s v="E1033"/>
    <d v="2025-06-15T00:00:00"/>
    <x v="1"/>
    <s v="Travel expense"/>
    <n v="660.9"/>
    <s v="CAD"/>
    <s v="Rejected"/>
    <s v="MgrB"/>
    <m/>
    <n v="0.73"/>
    <n v="482.45699999999999"/>
  </r>
  <r>
    <s v="CL30769"/>
    <s v="E1018"/>
    <d v="2023-09-07T00:00:00"/>
    <x v="0"/>
    <s v="Travel expense"/>
    <n v="484.02"/>
    <s v="GBP"/>
    <s v="Approved"/>
    <s v="MgrB"/>
    <m/>
    <n v="1.27"/>
    <n v="614.70539999999994"/>
  </r>
  <r>
    <s v="CL30770"/>
    <s v="E1038"/>
    <d v="2025-01-17T00:00:00"/>
    <x v="1"/>
    <s v="Travel expense"/>
    <n v="144.55000000000001"/>
    <s v="AUD"/>
    <s v="Paid"/>
    <s v="MgrB"/>
    <d v="2025-02-01T00:00:00"/>
    <n v="0.66"/>
    <n v="95.403000000000006"/>
  </r>
  <r>
    <s v="CL30771"/>
    <s v="E1049"/>
    <d v="2025-02-22T00:00:00"/>
    <x v="1"/>
    <s v="Travel expense"/>
    <n v="77.28"/>
    <s v="CAD"/>
    <s v="Rejected"/>
    <s v="MgrB"/>
    <m/>
    <n v="0.73"/>
    <n v="56.414400000000001"/>
  </r>
  <r>
    <s v="CL30772"/>
    <s v="E1101"/>
    <d v="2024-08-29T00:00:00"/>
    <x v="3"/>
    <s v="Travel expense"/>
    <n v="457.79"/>
    <s v="CAD"/>
    <s v="Approved"/>
    <s v="MgrB"/>
    <m/>
    <n v="0.73"/>
    <n v="334.18670000000003"/>
  </r>
  <r>
    <s v="CL30773"/>
    <s v="E1022"/>
    <d v="2023-04-27T00:00:00"/>
    <x v="0"/>
    <s v="Travel expense"/>
    <n v="108.62"/>
    <s v="AUD"/>
    <s v="Rejected"/>
    <s v="MgrA"/>
    <m/>
    <n v="0.66"/>
    <n v="71.6892"/>
  </r>
  <r>
    <s v="CL30774"/>
    <s v="E1064"/>
    <d v="2024-04-08T00:00:00"/>
    <x v="1"/>
    <s v="Travel expense"/>
    <n v="536.45000000000005"/>
    <s v="GBP"/>
    <s v="Rejected"/>
    <s v="MgrA"/>
    <m/>
    <n v="1.27"/>
    <n v="681.29150000000004"/>
  </r>
  <r>
    <s v="CL30775"/>
    <s v="E1104"/>
    <d v="2024-10-28T00:00:00"/>
    <x v="3"/>
    <s v="Travel expense"/>
    <n v="720.47"/>
    <s v="EUR"/>
    <s v="Paid"/>
    <s v="MgrB"/>
    <d v="2024-11-12T00:00:00"/>
    <n v="1.08"/>
    <n v="778.10760000000005"/>
  </r>
  <r>
    <s v="CL30776"/>
    <s v="E1098"/>
    <d v="2024-02-16T00:00:00"/>
    <x v="0"/>
    <s v="Travel expense"/>
    <n v="695.58"/>
    <s v="GBP"/>
    <s v="Approved"/>
    <s v="MgrB"/>
    <m/>
    <n v="1.27"/>
    <n v="883.38660000000004"/>
  </r>
  <r>
    <s v="CL30777"/>
    <s v="E1084"/>
    <d v="2024-06-25T00:00:00"/>
    <x v="3"/>
    <s v="Travel expense"/>
    <n v="503.63"/>
    <s v="EUR"/>
    <s v="Approved"/>
    <s v="MgrB"/>
    <m/>
    <n v="1.08"/>
    <n v="543.92040000000009"/>
  </r>
  <r>
    <s v="CL30778"/>
    <s v="E1073"/>
    <d v="2025-03-15T00:00:00"/>
    <x v="1"/>
    <s v="Travel expense"/>
    <n v="467.4"/>
    <s v="CAD"/>
    <s v="Rejected"/>
    <s v="MgrA"/>
    <m/>
    <n v="0.73"/>
    <n v="341.202"/>
  </r>
  <r>
    <s v="CL30779"/>
    <s v="E1100"/>
    <d v="2025-02-14T00:00:00"/>
    <x v="2"/>
    <s v="Travel expense"/>
    <n v="273.66000000000003"/>
    <s v="AUD"/>
    <s v="Approved"/>
    <s v="MgrA"/>
    <m/>
    <n v="0.66"/>
    <n v="180.61560000000003"/>
  </r>
  <r>
    <s v="CL30780"/>
    <s v="E1033"/>
    <d v="2024-10-15T00:00:00"/>
    <x v="0"/>
    <s v="Travel expense"/>
    <n v="516.66999999999996"/>
    <s v="AUD"/>
    <s v="Rejected"/>
    <s v="MgrA"/>
    <m/>
    <n v="0.66"/>
    <n v="341.00220000000002"/>
  </r>
  <r>
    <s v="CL30781"/>
    <s v="E1012"/>
    <d v="2024-11-05T00:00:00"/>
    <x v="3"/>
    <s v="Travel expense"/>
    <n v="221.26"/>
    <s v="GBP"/>
    <s v="Paid"/>
    <s v="MgrB"/>
    <d v="2024-11-20T00:00:00"/>
    <n v="1.27"/>
    <n v="281.00020000000001"/>
  </r>
  <r>
    <s v="CL30782"/>
    <s v="E1002"/>
    <d v="2025-02-07T00:00:00"/>
    <x v="4"/>
    <s v="Travel expense"/>
    <n v="167.96"/>
    <s v="EUR"/>
    <s v="Submitted"/>
    <s v="MgrA"/>
    <m/>
    <n v="1.08"/>
    <n v="181.39680000000001"/>
  </r>
  <r>
    <s v="CL30783"/>
    <s v="E1067"/>
    <d v="2023-02-28T00:00:00"/>
    <x v="4"/>
    <s v="Travel expense"/>
    <n v="327.62"/>
    <s v="USD"/>
    <s v="Paid"/>
    <s v="MgrA"/>
    <d v="2023-03-15T00:00:00"/>
    <n v="1"/>
    <n v="327.62"/>
  </r>
  <r>
    <s v="CL30784"/>
    <s v="E1046"/>
    <d v="2023-01-15T00:00:00"/>
    <x v="4"/>
    <s v="Travel expense"/>
    <n v="560"/>
    <s v="USD"/>
    <s v="Submitted"/>
    <s v="MgrB"/>
    <m/>
    <n v="1"/>
    <n v="560"/>
  </r>
  <r>
    <s v="CL30785"/>
    <s v="E1097"/>
    <d v="2023-03-29T00:00:00"/>
    <x v="0"/>
    <s v="Travel expense"/>
    <n v="395.77"/>
    <s v="USD"/>
    <s v="Rejected"/>
    <s v="MgrC"/>
    <m/>
    <n v="1"/>
    <n v="395.77"/>
  </r>
  <r>
    <s v="CL30786"/>
    <s v="E1107"/>
    <d v="2024-04-14T00:00:00"/>
    <x v="0"/>
    <s v="Travel expense"/>
    <n v="23.26"/>
    <s v="EUR"/>
    <s v="Approved"/>
    <s v="MgrC"/>
    <m/>
    <n v="1.08"/>
    <n v="25.120800000000003"/>
  </r>
  <r>
    <s v="CL30787"/>
    <s v="E1010"/>
    <d v="2023-09-03T00:00:00"/>
    <x v="1"/>
    <s v="Travel expense"/>
    <n v="660.36"/>
    <s v="AUD"/>
    <s v="Rejected"/>
    <s v="MgrB"/>
    <m/>
    <n v="0.66"/>
    <n v="435.83760000000001"/>
  </r>
  <r>
    <s v="CL30788"/>
    <s v="E1004"/>
    <d v="2023-12-28T00:00:00"/>
    <x v="1"/>
    <s v="Travel expense"/>
    <n v="623.48"/>
    <s v="EUR"/>
    <s v="Paid"/>
    <s v="MgrC"/>
    <d v="2024-01-12T00:00:00"/>
    <n v="1.08"/>
    <n v="673.35840000000007"/>
  </r>
  <r>
    <s v="CL30789"/>
    <s v="E1090"/>
    <d v="2024-04-22T00:00:00"/>
    <x v="4"/>
    <s v="Travel expense"/>
    <n v="633.61"/>
    <s v="CAD"/>
    <s v="Paid"/>
    <s v="MgrA"/>
    <d v="2024-05-07T00:00:00"/>
    <n v="0.73"/>
    <n v="462.53530000000001"/>
  </r>
  <r>
    <s v="CL30790"/>
    <s v="E1042"/>
    <d v="2023-12-16T00:00:00"/>
    <x v="4"/>
    <s v="Travel expense"/>
    <n v="424.21"/>
    <s v="EUR"/>
    <s v="Approved"/>
    <s v="MgrC"/>
    <m/>
    <n v="1.08"/>
    <n v="458.14679999999998"/>
  </r>
  <r>
    <s v="CL30791"/>
    <s v="E1097"/>
    <d v="2023-05-31T00:00:00"/>
    <x v="3"/>
    <s v="Travel expense"/>
    <n v="682.39"/>
    <s v="GBP"/>
    <s v="Submitted"/>
    <s v="MgrB"/>
    <m/>
    <n v="1.27"/>
    <n v="866.63530000000003"/>
  </r>
  <r>
    <s v="CL30792"/>
    <s v="E1043"/>
    <d v="2023-03-20T00:00:00"/>
    <x v="3"/>
    <s v="Travel expense"/>
    <n v="708.35"/>
    <s v="CAD"/>
    <s v="Approved"/>
    <s v="MgrB"/>
    <m/>
    <n v="0.73"/>
    <n v="517.09550000000002"/>
  </r>
  <r>
    <s v="CL30793"/>
    <s v="E1012"/>
    <d v="2023-06-19T00:00:00"/>
    <x v="2"/>
    <s v="Travel expense"/>
    <n v="98.5"/>
    <s v="CAD"/>
    <s v="Rejected"/>
    <s v="MgrC"/>
    <m/>
    <n v="0.73"/>
    <n v="71.905000000000001"/>
  </r>
  <r>
    <s v="CL30794"/>
    <s v="E1013"/>
    <d v="2023-09-14T00:00:00"/>
    <x v="0"/>
    <s v="Travel expense"/>
    <n v="615.29999999999995"/>
    <s v="EUR"/>
    <s v="Rejected"/>
    <s v="MgrC"/>
    <m/>
    <n v="1.08"/>
    <n v="664.524"/>
  </r>
  <r>
    <s v="CL30795"/>
    <s v="E1031"/>
    <d v="2023-12-14T00:00:00"/>
    <x v="0"/>
    <s v="Travel expense"/>
    <n v="237.68"/>
    <s v="CAD"/>
    <s v="Submitted"/>
    <s v="MgrC"/>
    <m/>
    <n v="0.73"/>
    <n v="173.50640000000001"/>
  </r>
  <r>
    <s v="CL30796"/>
    <s v="E1110"/>
    <d v="2025-06-16T00:00:00"/>
    <x v="3"/>
    <s v="Travel expense"/>
    <n v="794.42"/>
    <s v="CAD"/>
    <s v="Submitted"/>
    <s v="MgrC"/>
    <m/>
    <n v="0.73"/>
    <n v="579.92660000000001"/>
  </r>
  <r>
    <s v="CL30797"/>
    <s v="E1069"/>
    <d v="2024-02-26T00:00:00"/>
    <x v="3"/>
    <s v="Travel expense"/>
    <n v="104.63"/>
    <s v="EUR"/>
    <s v="Paid"/>
    <s v="MgrB"/>
    <d v="2024-03-12T00:00:00"/>
    <n v="1.08"/>
    <n v="113.0004"/>
  </r>
  <r>
    <s v="CL30798"/>
    <s v="E1085"/>
    <d v="2024-05-23T00:00:00"/>
    <x v="0"/>
    <s v="Travel expense"/>
    <n v="25.34"/>
    <s v="CAD"/>
    <s v="Rejected"/>
    <s v="MgrB"/>
    <m/>
    <n v="0.73"/>
    <n v="18.498200000000001"/>
  </r>
  <r>
    <s v="CL30799"/>
    <s v="E1060"/>
    <d v="2024-05-17T00:00:00"/>
    <x v="2"/>
    <s v="Travel expense"/>
    <n v="394.5"/>
    <s v="AUD"/>
    <s v="Approved"/>
    <s v="MgrA"/>
    <m/>
    <n v="0.66"/>
    <n v="260.37"/>
  </r>
  <r>
    <s v="CL30800"/>
    <s v="E1011"/>
    <d v="2024-10-31T00:00:00"/>
    <x v="1"/>
    <s v="Travel expense"/>
    <n v="190.28"/>
    <s v="USD"/>
    <s v="Rejected"/>
    <s v="MgrC"/>
    <m/>
    <n v="1"/>
    <n v="190.28"/>
  </r>
  <r>
    <s v="CL30801"/>
    <s v="E1076"/>
    <d v="2024-08-25T00:00:00"/>
    <x v="2"/>
    <s v="Travel expense"/>
    <n v="550.83000000000004"/>
    <s v="GBP"/>
    <s v="Submitted"/>
    <s v="MgrC"/>
    <m/>
    <n v="1.27"/>
    <n v="699.55410000000006"/>
  </r>
  <r>
    <s v="CL30802"/>
    <s v="E1036"/>
    <d v="2024-11-27T00:00:00"/>
    <x v="0"/>
    <s v="Travel expense"/>
    <n v="65.260000000000005"/>
    <s v="CAD"/>
    <s v="Paid"/>
    <s v="MgrA"/>
    <d v="2024-12-12T00:00:00"/>
    <n v="0.73"/>
    <n v="47.639800000000001"/>
  </r>
  <r>
    <s v="CL30803"/>
    <s v="E1079"/>
    <d v="2023-11-08T00:00:00"/>
    <x v="3"/>
    <s v="Travel expense"/>
    <n v="62.15"/>
    <s v="AUD"/>
    <s v="Rejected"/>
    <s v="MgrB"/>
    <m/>
    <n v="0.66"/>
    <n v="41.018999999999998"/>
  </r>
  <r>
    <s v="CL30804"/>
    <s v="E1116"/>
    <d v="2023-07-17T00:00:00"/>
    <x v="2"/>
    <s v="Travel expense"/>
    <n v="740.44"/>
    <s v="EUR"/>
    <s v="Paid"/>
    <s v="MgrB"/>
    <d v="2023-08-01T00:00:00"/>
    <n v="1.08"/>
    <n v="799.67520000000013"/>
  </r>
  <r>
    <s v="CL30805"/>
    <s v="E1111"/>
    <d v="2024-07-29T00:00:00"/>
    <x v="1"/>
    <s v="Travel expense"/>
    <n v="436.44"/>
    <s v="USD"/>
    <s v="Approved"/>
    <s v="MgrC"/>
    <m/>
    <n v="1"/>
    <n v="436.44"/>
  </r>
  <r>
    <s v="CL30806"/>
    <s v="E1046"/>
    <d v="2025-04-27T00:00:00"/>
    <x v="3"/>
    <s v="Travel expense"/>
    <n v="390.44"/>
    <s v="EUR"/>
    <s v="Submitted"/>
    <s v="MgrA"/>
    <m/>
    <n v="1.08"/>
    <n v="421.67520000000002"/>
  </r>
  <r>
    <s v="CL30807"/>
    <s v="E1087"/>
    <d v="2025-02-05T00:00:00"/>
    <x v="1"/>
    <s v="Travel expense"/>
    <n v="538.08000000000004"/>
    <s v="AUD"/>
    <s v="Approved"/>
    <s v="MgrA"/>
    <m/>
    <n v="0.66"/>
    <n v="355.13280000000003"/>
  </r>
  <r>
    <s v="CL30808"/>
    <s v="E1016"/>
    <d v="2024-09-14T00:00:00"/>
    <x v="3"/>
    <s v="Travel expense"/>
    <n v="677.13"/>
    <s v="AUD"/>
    <s v="Approved"/>
    <s v="MgrC"/>
    <m/>
    <n v="0.66"/>
    <n v="446.9058"/>
  </r>
  <r>
    <s v="CL30809"/>
    <s v="E1109"/>
    <d v="2023-11-16T00:00:00"/>
    <x v="2"/>
    <s v="Travel expense"/>
    <n v="433.41"/>
    <s v="CAD"/>
    <s v="Paid"/>
    <s v="MgrB"/>
    <d v="2023-12-01T00:00:00"/>
    <n v="0.73"/>
    <n v="316.38929999999999"/>
  </r>
  <r>
    <s v="CL30810"/>
    <s v="E1017"/>
    <d v="2025-06-19T00:00:00"/>
    <x v="2"/>
    <s v="Travel expense"/>
    <n v="740.98"/>
    <s v="AUD"/>
    <s v="Paid"/>
    <s v="MgrB"/>
    <d v="2025-07-04T00:00:00"/>
    <n v="0.66"/>
    <n v="489.04680000000002"/>
  </r>
  <r>
    <s v="CL30811"/>
    <s v="E1059"/>
    <d v="2023-10-20T00:00:00"/>
    <x v="3"/>
    <s v="Travel expense"/>
    <n v="269.24"/>
    <s v="AUD"/>
    <s v="Approved"/>
    <s v="MgrB"/>
    <m/>
    <n v="0.66"/>
    <n v="177.69840000000002"/>
  </r>
  <r>
    <s v="CL30812"/>
    <s v="E1014"/>
    <d v="2024-05-03T00:00:00"/>
    <x v="3"/>
    <s v="Travel expense"/>
    <n v="490.15"/>
    <s v="EUR"/>
    <s v="Rejected"/>
    <s v="MgrC"/>
    <m/>
    <n v="1.08"/>
    <n v="529.36199999999997"/>
  </r>
  <r>
    <s v="CL30813"/>
    <s v="E1044"/>
    <d v="2023-01-17T00:00:00"/>
    <x v="3"/>
    <s v="Travel expense"/>
    <n v="236.1"/>
    <s v="GBP"/>
    <s v="Paid"/>
    <s v="MgrC"/>
    <d v="2023-02-01T00:00:00"/>
    <n v="1.27"/>
    <n v="299.84699999999998"/>
  </r>
  <r>
    <s v="CL30814"/>
    <s v="E1114"/>
    <d v="2024-06-16T00:00:00"/>
    <x v="4"/>
    <s v="Travel expense"/>
    <n v="177.17"/>
    <s v="USD"/>
    <s v="Approved"/>
    <s v="MgrA"/>
    <m/>
    <n v="1"/>
    <n v="177.17"/>
  </r>
  <r>
    <s v="CL30815"/>
    <s v="E1016"/>
    <d v="2023-06-06T00:00:00"/>
    <x v="1"/>
    <s v="Travel expense"/>
    <n v="30.64"/>
    <s v="GBP"/>
    <s v="Rejected"/>
    <s v="MgrC"/>
    <m/>
    <n v="1.27"/>
    <n v="38.912800000000004"/>
  </r>
  <r>
    <s v="CL30816"/>
    <s v="E1118"/>
    <d v="2025-03-20T00:00:00"/>
    <x v="2"/>
    <s v="Travel expense"/>
    <n v="40.58"/>
    <s v="CAD"/>
    <s v="Rejected"/>
    <s v="MgrB"/>
    <m/>
    <n v="0.73"/>
    <n v="29.623399999999997"/>
  </r>
  <r>
    <s v="CL30817"/>
    <s v="E1028"/>
    <d v="2024-11-16T00:00:00"/>
    <x v="2"/>
    <s v="Travel expense"/>
    <n v="531.97"/>
    <s v="EUR"/>
    <s v="Approved"/>
    <s v="MgrC"/>
    <m/>
    <n v="1.08"/>
    <n v="574.52760000000012"/>
  </r>
  <r>
    <s v="CL30818"/>
    <s v="E1018"/>
    <d v="2024-03-05T00:00:00"/>
    <x v="3"/>
    <s v="Travel expense"/>
    <n v="278.98"/>
    <s v="USD"/>
    <s v="Approved"/>
    <s v="MgrA"/>
    <m/>
    <n v="1"/>
    <n v="278.98"/>
  </r>
  <r>
    <s v="CL30819"/>
    <s v="E1013"/>
    <d v="2023-03-08T00:00:00"/>
    <x v="2"/>
    <s v="Travel expense"/>
    <n v="558.29"/>
    <s v="EUR"/>
    <s v="Approved"/>
    <s v="MgrA"/>
    <m/>
    <n v="1.08"/>
    <n v="602.95320000000004"/>
  </r>
  <r>
    <s v="CL30820"/>
    <s v="E1097"/>
    <d v="2023-04-02T00:00:00"/>
    <x v="4"/>
    <s v="Travel expense"/>
    <n v="261.19"/>
    <s v="CAD"/>
    <s v="Rejected"/>
    <s v="MgrC"/>
    <m/>
    <n v="0.73"/>
    <n v="190.6687"/>
  </r>
  <r>
    <s v="CL30821"/>
    <s v="E1085"/>
    <d v="2024-12-06T00:00:00"/>
    <x v="3"/>
    <s v="Travel expense"/>
    <n v="512.29"/>
    <s v="AUD"/>
    <s v="Submitted"/>
    <s v="MgrC"/>
    <m/>
    <n v="0.66"/>
    <n v="338.1114"/>
  </r>
  <r>
    <s v="CL30822"/>
    <s v="E1076"/>
    <d v="2024-04-03T00:00:00"/>
    <x v="3"/>
    <s v="Travel expense"/>
    <n v="255.04"/>
    <s v="USD"/>
    <s v="Paid"/>
    <s v="MgrA"/>
    <d v="2024-04-18T00:00:00"/>
    <n v="1"/>
    <n v="255.04"/>
  </r>
  <r>
    <s v="CL30823"/>
    <s v="E1070"/>
    <d v="2023-01-08T00:00:00"/>
    <x v="2"/>
    <s v="Travel expense"/>
    <n v="51.41"/>
    <s v="CAD"/>
    <s v="Rejected"/>
    <s v="MgrC"/>
    <m/>
    <n v="0.73"/>
    <n v="37.529299999999999"/>
  </r>
  <r>
    <s v="CL30824"/>
    <s v="E1050"/>
    <d v="2023-05-07T00:00:00"/>
    <x v="3"/>
    <s v="Travel expense"/>
    <n v="376.79"/>
    <s v="EUR"/>
    <s v="Submitted"/>
    <s v="MgrC"/>
    <m/>
    <n v="1.08"/>
    <n v="406.93320000000006"/>
  </r>
  <r>
    <s v="CL30825"/>
    <s v="E1056"/>
    <d v="2023-11-11T00:00:00"/>
    <x v="0"/>
    <s v="Travel expense"/>
    <n v="59.56"/>
    <s v="EUR"/>
    <s v="Rejected"/>
    <s v="MgrB"/>
    <m/>
    <n v="1.08"/>
    <n v="64.32480000000001"/>
  </r>
  <r>
    <s v="CL30826"/>
    <s v="E1005"/>
    <d v="2025-01-20T00:00:00"/>
    <x v="1"/>
    <s v="Travel expense"/>
    <n v="615.04999999999995"/>
    <s v="GBP"/>
    <s v="Paid"/>
    <s v="MgrA"/>
    <d v="2025-02-04T00:00:00"/>
    <n v="1.27"/>
    <n v="781.11349999999993"/>
  </r>
  <r>
    <s v="CL30827"/>
    <s v="E1034"/>
    <d v="2024-07-25T00:00:00"/>
    <x v="0"/>
    <s v="Travel expense"/>
    <n v="673.43"/>
    <s v="EUR"/>
    <s v="Rejected"/>
    <s v="MgrC"/>
    <m/>
    <n v="1.08"/>
    <n v="727.30439999999999"/>
  </r>
  <r>
    <s v="CL30828"/>
    <s v="E1082"/>
    <d v="2025-01-22T00:00:00"/>
    <x v="1"/>
    <s v="Travel expense"/>
    <n v="628.6"/>
    <s v="GBP"/>
    <s v="Rejected"/>
    <s v="MgrA"/>
    <m/>
    <n v="1.27"/>
    <n v="798.322"/>
  </r>
  <r>
    <s v="CL30829"/>
    <s v="E1043"/>
    <d v="2023-12-31T00:00:00"/>
    <x v="4"/>
    <s v="Travel expense"/>
    <n v="333.87"/>
    <s v="AUD"/>
    <s v="Rejected"/>
    <s v="MgrB"/>
    <m/>
    <n v="0.66"/>
    <n v="220.35420000000002"/>
  </r>
  <r>
    <s v="CL30830"/>
    <s v="E1101"/>
    <d v="2025-05-09T00:00:00"/>
    <x v="3"/>
    <s v="Travel expense"/>
    <n v="688.36"/>
    <s v="CAD"/>
    <s v="Submitted"/>
    <s v="MgrA"/>
    <m/>
    <n v="0.73"/>
    <n v="502.50279999999998"/>
  </r>
  <r>
    <s v="CL30831"/>
    <s v="E1025"/>
    <d v="2023-04-04T00:00:00"/>
    <x v="0"/>
    <s v="Travel expense"/>
    <n v="508.04"/>
    <s v="CAD"/>
    <s v="Approved"/>
    <s v="MgrB"/>
    <m/>
    <n v="0.73"/>
    <n v="370.86919999999998"/>
  </r>
  <r>
    <s v="CL30832"/>
    <s v="E1058"/>
    <d v="2023-03-12T00:00:00"/>
    <x v="0"/>
    <s v="Travel expense"/>
    <n v="177.4"/>
    <s v="USD"/>
    <s v="Rejected"/>
    <s v="MgrA"/>
    <m/>
    <n v="1"/>
    <n v="177.4"/>
  </r>
  <r>
    <s v="CL30833"/>
    <s v="E1037"/>
    <d v="2023-01-23T00:00:00"/>
    <x v="4"/>
    <s v="Travel expense"/>
    <n v="88.06"/>
    <s v="USD"/>
    <s v="Rejected"/>
    <s v="MgrC"/>
    <m/>
    <n v="1"/>
    <n v="88.06"/>
  </r>
  <r>
    <s v="CL30834"/>
    <s v="E1111"/>
    <d v="2024-09-26T00:00:00"/>
    <x v="0"/>
    <s v="Travel expense"/>
    <n v="461.36"/>
    <s v="EUR"/>
    <s v="Submitted"/>
    <s v="MgrA"/>
    <m/>
    <n v="1.08"/>
    <n v="498.26880000000006"/>
  </r>
  <r>
    <s v="CL30835"/>
    <s v="E1069"/>
    <d v="2024-10-02T00:00:00"/>
    <x v="3"/>
    <s v="Travel expense"/>
    <n v="525.75"/>
    <s v="EUR"/>
    <s v="Rejected"/>
    <s v="MgrA"/>
    <m/>
    <n v="1.08"/>
    <n v="567.81000000000006"/>
  </r>
  <r>
    <s v="CL30836"/>
    <s v="E1084"/>
    <d v="2025-01-19T00:00:00"/>
    <x v="0"/>
    <s v="Travel expense"/>
    <n v="757.02"/>
    <s v="GBP"/>
    <s v="Approved"/>
    <s v="MgrA"/>
    <m/>
    <n v="1.27"/>
    <n v="961.41539999999998"/>
  </r>
  <r>
    <s v="CL30837"/>
    <s v="E1013"/>
    <d v="2023-05-02T00:00:00"/>
    <x v="3"/>
    <s v="Travel expense"/>
    <n v="260.39999999999998"/>
    <s v="AUD"/>
    <s v="Submitted"/>
    <s v="MgrA"/>
    <m/>
    <n v="0.66"/>
    <n v="171.864"/>
  </r>
  <r>
    <s v="CL30838"/>
    <s v="E1001"/>
    <d v="2025-01-23T00:00:00"/>
    <x v="0"/>
    <s v="Travel expense"/>
    <n v="235.02"/>
    <s v="GBP"/>
    <s v="Submitted"/>
    <s v="MgrB"/>
    <m/>
    <n v="1.27"/>
    <n v="298.47540000000004"/>
  </r>
  <r>
    <s v="CL30839"/>
    <s v="E1001"/>
    <d v="2024-10-26T00:00:00"/>
    <x v="2"/>
    <s v="Travel expense"/>
    <n v="284.58"/>
    <s v="GBP"/>
    <s v="Submitted"/>
    <s v="MgrB"/>
    <m/>
    <n v="1.27"/>
    <n v="361.41659999999996"/>
  </r>
  <r>
    <s v="CL30840"/>
    <s v="E1087"/>
    <d v="2023-02-14T00:00:00"/>
    <x v="2"/>
    <s v="Travel expense"/>
    <n v="681.36"/>
    <s v="GBP"/>
    <s v="Rejected"/>
    <s v="MgrC"/>
    <m/>
    <n v="1.27"/>
    <n v="865.32720000000006"/>
  </r>
  <r>
    <s v="CL30841"/>
    <s v="E1006"/>
    <d v="2024-02-17T00:00:00"/>
    <x v="1"/>
    <s v="Travel expense"/>
    <n v="44.93"/>
    <s v="CAD"/>
    <s v="Submitted"/>
    <s v="MgrA"/>
    <m/>
    <n v="0.73"/>
    <n v="32.798899999999996"/>
  </r>
  <r>
    <s v="CL30842"/>
    <s v="E1119"/>
    <d v="2024-11-06T00:00:00"/>
    <x v="0"/>
    <s v="Travel expense"/>
    <n v="300.66000000000003"/>
    <s v="AUD"/>
    <s v="Submitted"/>
    <s v="MgrA"/>
    <m/>
    <n v="0.66"/>
    <n v="198.43560000000002"/>
  </r>
  <r>
    <s v="CL30843"/>
    <s v="E1094"/>
    <d v="2025-05-18T00:00:00"/>
    <x v="3"/>
    <s v="Travel expense"/>
    <n v="213.48"/>
    <s v="GBP"/>
    <s v="Paid"/>
    <s v="MgrC"/>
    <d v="2025-06-02T00:00:00"/>
    <n v="1.27"/>
    <n v="271.11959999999999"/>
  </r>
  <r>
    <s v="CL30844"/>
    <s v="E1110"/>
    <d v="2024-05-02T00:00:00"/>
    <x v="3"/>
    <s v="Travel expense"/>
    <n v="697.13"/>
    <s v="EUR"/>
    <s v="Approved"/>
    <s v="MgrB"/>
    <m/>
    <n v="1.08"/>
    <n v="752.90039999999999"/>
  </r>
  <r>
    <s v="CL30845"/>
    <s v="E1081"/>
    <d v="2024-07-27T00:00:00"/>
    <x v="1"/>
    <s v="Travel expense"/>
    <n v="784.35"/>
    <s v="GBP"/>
    <s v="Submitted"/>
    <s v="MgrA"/>
    <m/>
    <n v="1.27"/>
    <n v="996.12450000000001"/>
  </r>
  <r>
    <s v="CL30846"/>
    <s v="E1007"/>
    <d v="2024-05-31T00:00:00"/>
    <x v="2"/>
    <s v="Travel expense"/>
    <n v="285.42"/>
    <s v="CAD"/>
    <s v="Paid"/>
    <s v="MgrA"/>
    <d v="2024-06-15T00:00:00"/>
    <n v="0.73"/>
    <n v="208.35660000000001"/>
  </r>
  <r>
    <s v="CL30847"/>
    <s v="E1049"/>
    <d v="2023-12-30T00:00:00"/>
    <x v="4"/>
    <s v="Travel expense"/>
    <n v="712.96"/>
    <s v="USD"/>
    <s v="Submitted"/>
    <s v="MgrC"/>
    <m/>
    <n v="1"/>
    <n v="712.96"/>
  </r>
  <r>
    <s v="CL30848"/>
    <s v="E1074"/>
    <d v="2025-06-10T00:00:00"/>
    <x v="1"/>
    <s v="Travel expense"/>
    <n v="137.21"/>
    <s v="USD"/>
    <s v="Approved"/>
    <s v="MgrB"/>
    <m/>
    <n v="1"/>
    <n v="137.21"/>
  </r>
  <r>
    <s v="CL30849"/>
    <s v="E1054"/>
    <d v="2024-06-13T00:00:00"/>
    <x v="2"/>
    <s v="Travel expense"/>
    <n v="475.92"/>
    <s v="AUD"/>
    <s v="Rejected"/>
    <s v="MgrC"/>
    <m/>
    <n v="0.66"/>
    <n v="314.10720000000003"/>
  </r>
  <r>
    <s v="CL30850"/>
    <s v="E1004"/>
    <d v="2023-08-02T00:00:00"/>
    <x v="0"/>
    <s v="Travel expense"/>
    <n v="220"/>
    <s v="USD"/>
    <s v="Approved"/>
    <s v="MgrC"/>
    <m/>
    <n v="1"/>
    <n v="220"/>
  </r>
  <r>
    <s v="CL30851"/>
    <s v="E1002"/>
    <d v="2025-06-23T00:00:00"/>
    <x v="4"/>
    <s v="Travel expense"/>
    <n v="360.51"/>
    <s v="USD"/>
    <s v="Approved"/>
    <s v="MgrA"/>
    <m/>
    <n v="1"/>
    <n v="360.51"/>
  </r>
  <r>
    <s v="CL30852"/>
    <s v="E1088"/>
    <d v="2025-05-29T00:00:00"/>
    <x v="3"/>
    <s v="Travel expense"/>
    <n v="394.89"/>
    <s v="USD"/>
    <s v="Rejected"/>
    <s v="MgrA"/>
    <m/>
    <n v="1"/>
    <n v="394.89"/>
  </r>
  <r>
    <s v="CL30853"/>
    <s v="E1053"/>
    <d v="2023-10-25T00:00:00"/>
    <x v="0"/>
    <s v="Travel expense"/>
    <n v="43.08"/>
    <s v="EUR"/>
    <s v="Approved"/>
    <s v="MgrA"/>
    <m/>
    <n v="1.08"/>
    <n v="46.526400000000002"/>
  </r>
  <r>
    <s v="CL30854"/>
    <s v="E1036"/>
    <d v="2024-08-13T00:00:00"/>
    <x v="1"/>
    <s v="Travel expense"/>
    <n v="487.52"/>
    <s v="USD"/>
    <s v="Paid"/>
    <s v="MgrC"/>
    <d v="2024-08-28T00:00:00"/>
    <n v="1"/>
    <n v="487.52"/>
  </r>
  <r>
    <s v="CL30855"/>
    <s v="E1015"/>
    <d v="2024-10-01T00:00:00"/>
    <x v="4"/>
    <s v="Travel expense"/>
    <n v="161.46"/>
    <s v="GBP"/>
    <s v="Rejected"/>
    <s v="MgrA"/>
    <m/>
    <n v="1.27"/>
    <n v="205.05420000000001"/>
  </r>
  <r>
    <s v="CL30856"/>
    <s v="E1088"/>
    <d v="2024-06-02T00:00:00"/>
    <x v="4"/>
    <s v="Travel expense"/>
    <n v="169.83"/>
    <s v="CAD"/>
    <s v="Paid"/>
    <s v="MgrA"/>
    <d v="2024-06-17T00:00:00"/>
    <n v="0.73"/>
    <n v="123.97590000000001"/>
  </r>
  <r>
    <s v="CL30857"/>
    <s v="E1042"/>
    <d v="2025-02-23T00:00:00"/>
    <x v="1"/>
    <s v="Travel expense"/>
    <n v="735.13"/>
    <s v="GBP"/>
    <s v="Rejected"/>
    <s v="MgrC"/>
    <m/>
    <n v="1.27"/>
    <n v="933.61509999999998"/>
  </r>
  <r>
    <s v="CL30858"/>
    <s v="E1018"/>
    <d v="2023-08-16T00:00:00"/>
    <x v="2"/>
    <s v="Travel expense"/>
    <n v="672.03"/>
    <s v="AUD"/>
    <s v="Paid"/>
    <s v="MgrB"/>
    <d v="2023-08-31T00:00:00"/>
    <n v="0.66"/>
    <n v="443.53980000000001"/>
  </r>
  <r>
    <s v="CL30859"/>
    <s v="E1086"/>
    <d v="2024-10-03T00:00:00"/>
    <x v="0"/>
    <s v="Travel expense"/>
    <n v="750.12"/>
    <s v="CAD"/>
    <s v="Submitted"/>
    <s v="MgrB"/>
    <m/>
    <n v="0.73"/>
    <n v="547.58759999999995"/>
  </r>
  <r>
    <s v="CL30860"/>
    <s v="E1040"/>
    <d v="2024-04-12T00:00:00"/>
    <x v="4"/>
    <s v="Travel expense"/>
    <n v="86.83"/>
    <s v="EUR"/>
    <s v="Rejected"/>
    <s v="MgrA"/>
    <m/>
    <n v="1.08"/>
    <n v="93.77640000000001"/>
  </r>
  <r>
    <s v="CL30861"/>
    <s v="E1034"/>
    <d v="2025-02-14T00:00:00"/>
    <x v="3"/>
    <s v="Travel expense"/>
    <n v="674.32"/>
    <s v="GBP"/>
    <s v="Submitted"/>
    <s v="MgrB"/>
    <m/>
    <n v="1.27"/>
    <n v="856.38640000000009"/>
  </r>
  <r>
    <s v="CL30862"/>
    <s v="E1030"/>
    <d v="2024-05-24T00:00:00"/>
    <x v="4"/>
    <s v="Travel expense"/>
    <n v="115"/>
    <s v="USD"/>
    <s v="Rejected"/>
    <s v="MgrB"/>
    <m/>
    <n v="1"/>
    <n v="115"/>
  </r>
  <r>
    <s v="CL30863"/>
    <s v="E1056"/>
    <d v="2024-07-13T00:00:00"/>
    <x v="1"/>
    <s v="Travel expense"/>
    <n v="620.44000000000005"/>
    <s v="AUD"/>
    <s v="Submitted"/>
    <s v="MgrC"/>
    <m/>
    <n v="0.66"/>
    <n v="409.49040000000008"/>
  </r>
  <r>
    <s v="CL30864"/>
    <s v="E1100"/>
    <d v="2023-02-06T00:00:00"/>
    <x v="1"/>
    <s v="Travel expense"/>
    <n v="411.76"/>
    <s v="GBP"/>
    <s v="Approved"/>
    <s v="MgrC"/>
    <m/>
    <n v="1.27"/>
    <n v="522.93520000000001"/>
  </r>
  <r>
    <s v="CL30865"/>
    <s v="E1105"/>
    <d v="2025-06-21T00:00:00"/>
    <x v="0"/>
    <s v="Travel expense"/>
    <n v="330.59"/>
    <s v="AUD"/>
    <s v="Paid"/>
    <s v="MgrC"/>
    <d v="2025-07-06T00:00:00"/>
    <n v="0.66"/>
    <n v="218.18940000000001"/>
  </r>
  <r>
    <s v="CL30866"/>
    <s v="E1027"/>
    <d v="2025-03-04T00:00:00"/>
    <x v="1"/>
    <s v="Travel expense"/>
    <n v="644.04"/>
    <s v="GBP"/>
    <s v="Approved"/>
    <s v="MgrB"/>
    <m/>
    <n v="1.27"/>
    <n v="817.93079999999998"/>
  </r>
  <r>
    <s v="CL30867"/>
    <s v="E1099"/>
    <d v="2024-08-05T00:00:00"/>
    <x v="1"/>
    <s v="Travel expense"/>
    <n v="727.38"/>
    <s v="EUR"/>
    <s v="Paid"/>
    <s v="MgrA"/>
    <d v="2024-08-20T00:00:00"/>
    <n v="1.08"/>
    <n v="785.57040000000006"/>
  </r>
  <r>
    <s v="CL30868"/>
    <s v="E1056"/>
    <d v="2023-06-06T00:00:00"/>
    <x v="4"/>
    <s v="Travel expense"/>
    <n v="395.6"/>
    <s v="AUD"/>
    <s v="Paid"/>
    <s v="MgrC"/>
    <d v="2023-06-21T00:00:00"/>
    <n v="0.66"/>
    <n v="261.096"/>
  </r>
  <r>
    <s v="CL30869"/>
    <s v="E1064"/>
    <d v="2025-03-02T00:00:00"/>
    <x v="2"/>
    <s v="Travel expense"/>
    <n v="634.47"/>
    <s v="USD"/>
    <s v="Rejected"/>
    <s v="MgrA"/>
    <m/>
    <n v="1"/>
    <n v="634.47"/>
  </r>
  <r>
    <s v="CL30870"/>
    <s v="E1045"/>
    <d v="2024-11-30T00:00:00"/>
    <x v="4"/>
    <s v="Travel expense"/>
    <n v="99.78"/>
    <s v="AUD"/>
    <s v="Rejected"/>
    <s v="MgrB"/>
    <m/>
    <n v="0.66"/>
    <n v="65.854799999999997"/>
  </r>
  <r>
    <s v="CL30871"/>
    <s v="E1081"/>
    <d v="2023-11-09T00:00:00"/>
    <x v="2"/>
    <s v="Travel expense"/>
    <n v="600.16999999999996"/>
    <s v="EUR"/>
    <s v="Submitted"/>
    <s v="MgrA"/>
    <m/>
    <n v="1.08"/>
    <n v="648.18359999999996"/>
  </r>
  <r>
    <s v="CL30872"/>
    <s v="E1021"/>
    <d v="2024-10-21T00:00:00"/>
    <x v="0"/>
    <s v="Travel expense"/>
    <n v="704.24"/>
    <s v="EUR"/>
    <s v="Submitted"/>
    <s v="MgrC"/>
    <m/>
    <n v="1.08"/>
    <n v="760.57920000000001"/>
  </r>
  <r>
    <s v="CL30873"/>
    <s v="E1104"/>
    <d v="2024-01-24T00:00:00"/>
    <x v="0"/>
    <s v="Travel expense"/>
    <n v="415.05"/>
    <s v="USD"/>
    <s v="Paid"/>
    <s v="MgrC"/>
    <d v="2024-02-08T00:00:00"/>
    <n v="1"/>
    <n v="415.05"/>
  </r>
  <r>
    <s v="CL30874"/>
    <s v="E1089"/>
    <d v="2023-02-27T00:00:00"/>
    <x v="2"/>
    <s v="Travel expense"/>
    <n v="179.03"/>
    <s v="CAD"/>
    <s v="Submitted"/>
    <s v="MgrC"/>
    <m/>
    <n v="0.73"/>
    <n v="130.6919"/>
  </r>
  <r>
    <s v="CL30875"/>
    <s v="E1037"/>
    <d v="2024-04-02T00:00:00"/>
    <x v="0"/>
    <s v="Travel expense"/>
    <n v="98.7"/>
    <s v="CAD"/>
    <s v="Rejected"/>
    <s v="MgrA"/>
    <m/>
    <n v="0.73"/>
    <n v="72.051000000000002"/>
  </r>
  <r>
    <s v="CL30876"/>
    <s v="E1106"/>
    <d v="2024-09-26T00:00:00"/>
    <x v="1"/>
    <s v="Travel expense"/>
    <n v="450.4"/>
    <s v="CAD"/>
    <s v="Rejected"/>
    <s v="MgrB"/>
    <m/>
    <n v="0.73"/>
    <n v="328.79199999999997"/>
  </r>
  <r>
    <s v="CL30877"/>
    <s v="E1015"/>
    <d v="2024-01-14T00:00:00"/>
    <x v="4"/>
    <s v="Travel expense"/>
    <n v="527.64"/>
    <s v="USD"/>
    <s v="Rejected"/>
    <s v="MgrC"/>
    <m/>
    <n v="1"/>
    <n v="527.64"/>
  </r>
  <r>
    <s v="CL30878"/>
    <s v="E1043"/>
    <d v="2023-11-12T00:00:00"/>
    <x v="2"/>
    <s v="Travel expense"/>
    <n v="502.19"/>
    <s v="AUD"/>
    <s v="Submitted"/>
    <s v="MgrA"/>
    <m/>
    <n v="0.66"/>
    <n v="331.44540000000001"/>
  </r>
  <r>
    <s v="CL30879"/>
    <s v="E1019"/>
    <d v="2023-01-18T00:00:00"/>
    <x v="4"/>
    <s v="Travel expense"/>
    <n v="783.7"/>
    <s v="EUR"/>
    <s v="Approved"/>
    <s v="MgrA"/>
    <m/>
    <n v="1.08"/>
    <n v="846.39600000000007"/>
  </r>
  <r>
    <s v="CL30880"/>
    <s v="E1097"/>
    <d v="2024-10-06T00:00:00"/>
    <x v="1"/>
    <s v="Travel expense"/>
    <n v="367.02"/>
    <s v="GBP"/>
    <s v="Rejected"/>
    <s v="MgrB"/>
    <m/>
    <n v="1.27"/>
    <n v="466.11539999999997"/>
  </r>
  <r>
    <s v="CL30881"/>
    <s v="E1031"/>
    <d v="2023-09-07T00:00:00"/>
    <x v="0"/>
    <s v="Travel expense"/>
    <n v="744.88"/>
    <s v="GBP"/>
    <s v="Approved"/>
    <s v="MgrA"/>
    <m/>
    <n v="1.27"/>
    <n v="945.99760000000003"/>
  </r>
  <r>
    <s v="CL30882"/>
    <s v="E1109"/>
    <d v="2024-08-04T00:00:00"/>
    <x v="3"/>
    <s v="Travel expense"/>
    <n v="314.69"/>
    <s v="USD"/>
    <s v="Rejected"/>
    <s v="MgrB"/>
    <m/>
    <n v="1"/>
    <n v="314.69"/>
  </r>
  <r>
    <s v="CL30883"/>
    <s v="E1096"/>
    <d v="2024-08-02T00:00:00"/>
    <x v="2"/>
    <s v="Travel expense"/>
    <n v="704.73"/>
    <s v="GBP"/>
    <s v="Paid"/>
    <s v="MgrC"/>
    <d v="2024-08-17T00:00:00"/>
    <n v="1.27"/>
    <n v="895.00710000000004"/>
  </r>
  <r>
    <s v="CL30884"/>
    <s v="E1003"/>
    <d v="2023-01-04T00:00:00"/>
    <x v="3"/>
    <s v="Travel expense"/>
    <n v="159.29"/>
    <s v="CAD"/>
    <s v="Rejected"/>
    <s v="MgrC"/>
    <m/>
    <n v="0.73"/>
    <n v="116.28169999999999"/>
  </r>
  <r>
    <s v="CL30885"/>
    <s v="E1082"/>
    <d v="2024-01-26T00:00:00"/>
    <x v="3"/>
    <s v="Travel expense"/>
    <n v="649.36"/>
    <s v="EUR"/>
    <s v="Paid"/>
    <s v="MgrB"/>
    <d v="2024-02-10T00:00:00"/>
    <n v="1.08"/>
    <n v="701.30880000000002"/>
  </r>
  <r>
    <s v="CL30886"/>
    <s v="E1094"/>
    <d v="2023-06-10T00:00:00"/>
    <x v="1"/>
    <s v="Travel expense"/>
    <n v="203.61"/>
    <s v="CAD"/>
    <s v="Approved"/>
    <s v="MgrC"/>
    <m/>
    <n v="0.73"/>
    <n v="148.6353"/>
  </r>
  <r>
    <s v="CL30887"/>
    <s v="E1026"/>
    <d v="2025-04-06T00:00:00"/>
    <x v="3"/>
    <s v="Travel expense"/>
    <n v="655.22"/>
    <s v="GBP"/>
    <s v="Submitted"/>
    <s v="MgrB"/>
    <m/>
    <n v="1.27"/>
    <n v="832.12940000000003"/>
  </r>
  <r>
    <s v="CL30888"/>
    <s v="E1111"/>
    <d v="2023-09-04T00:00:00"/>
    <x v="2"/>
    <s v="Travel expense"/>
    <n v="260.06"/>
    <s v="CAD"/>
    <s v="Approved"/>
    <s v="MgrA"/>
    <m/>
    <n v="0.73"/>
    <n v="189.84379999999999"/>
  </r>
  <r>
    <s v="CL30889"/>
    <s v="E1069"/>
    <d v="2023-06-23T00:00:00"/>
    <x v="4"/>
    <s v="Travel expense"/>
    <n v="344.66"/>
    <s v="AUD"/>
    <s v="Submitted"/>
    <s v="MgrA"/>
    <m/>
    <n v="0.66"/>
    <n v="227.47560000000001"/>
  </r>
  <r>
    <s v="CL30890"/>
    <s v="E1046"/>
    <d v="2023-04-18T00:00:00"/>
    <x v="1"/>
    <s v="Travel expense"/>
    <n v="65.69"/>
    <s v="EUR"/>
    <s v="Rejected"/>
    <s v="MgrB"/>
    <m/>
    <n v="1.08"/>
    <n v="70.9452"/>
  </r>
  <r>
    <s v="CL30891"/>
    <s v="E1066"/>
    <d v="2023-07-04T00:00:00"/>
    <x v="3"/>
    <s v="Travel expense"/>
    <n v="49.18"/>
    <s v="EUR"/>
    <s v="Paid"/>
    <s v="MgrA"/>
    <d v="2023-07-19T00:00:00"/>
    <n v="1.08"/>
    <n v="53.114400000000003"/>
  </r>
  <r>
    <s v="CL30892"/>
    <s v="E1092"/>
    <d v="2025-01-14T00:00:00"/>
    <x v="0"/>
    <s v="Travel expense"/>
    <n v="464.62"/>
    <s v="USD"/>
    <s v="Rejected"/>
    <s v="MgrA"/>
    <m/>
    <n v="1"/>
    <n v="464.62"/>
  </r>
  <r>
    <s v="CL30893"/>
    <s v="E1038"/>
    <d v="2023-04-13T00:00:00"/>
    <x v="1"/>
    <s v="Travel expense"/>
    <n v="563.54999999999995"/>
    <s v="CAD"/>
    <s v="Submitted"/>
    <s v="MgrC"/>
    <m/>
    <n v="0.73"/>
    <n v="411.39149999999995"/>
  </r>
  <r>
    <s v="CL30894"/>
    <s v="E1106"/>
    <d v="2023-05-05T00:00:00"/>
    <x v="4"/>
    <s v="Travel expense"/>
    <n v="240.76"/>
    <s v="USD"/>
    <s v="Submitted"/>
    <s v="MgrC"/>
    <m/>
    <n v="1"/>
    <n v="240.76"/>
  </r>
  <r>
    <s v="CL30895"/>
    <s v="E1118"/>
    <d v="2024-09-29T00:00:00"/>
    <x v="2"/>
    <s v="Travel expense"/>
    <n v="301.93"/>
    <s v="USD"/>
    <s v="Rejected"/>
    <s v="MgrA"/>
    <m/>
    <n v="1"/>
    <n v="301.93"/>
  </r>
  <r>
    <s v="CL30896"/>
    <s v="E1044"/>
    <d v="2023-11-25T00:00:00"/>
    <x v="4"/>
    <s v="Travel expense"/>
    <n v="211.86"/>
    <s v="GBP"/>
    <s v="Paid"/>
    <s v="MgrC"/>
    <d v="2023-12-10T00:00:00"/>
    <n v="1.27"/>
    <n v="269.06220000000002"/>
  </r>
  <r>
    <s v="CL30897"/>
    <s v="E1040"/>
    <d v="2023-12-12T00:00:00"/>
    <x v="4"/>
    <s v="Travel expense"/>
    <n v="158.85"/>
    <s v="AUD"/>
    <s v="Approved"/>
    <s v="MgrB"/>
    <m/>
    <n v="0.66"/>
    <n v="104.84100000000001"/>
  </r>
  <r>
    <s v="CL30898"/>
    <s v="E1027"/>
    <d v="2024-10-09T00:00:00"/>
    <x v="4"/>
    <s v="Travel expense"/>
    <n v="710.39"/>
    <s v="USD"/>
    <s v="Rejected"/>
    <s v="MgrB"/>
    <m/>
    <n v="1"/>
    <n v="710.39"/>
  </r>
  <r>
    <s v="CL30899"/>
    <s v="E1057"/>
    <d v="2024-01-28T00:00:00"/>
    <x v="3"/>
    <s v="Travel expense"/>
    <n v="367.59"/>
    <s v="GBP"/>
    <s v="Paid"/>
    <s v="MgrC"/>
    <d v="2024-02-12T00:00:00"/>
    <n v="1.27"/>
    <n v="466.83929999999998"/>
  </r>
  <r>
    <s v="CL30900"/>
    <s v="E1022"/>
    <d v="2023-12-17T00:00:00"/>
    <x v="0"/>
    <s v="Travel expense"/>
    <n v="89.54"/>
    <s v="AUD"/>
    <s v="Paid"/>
    <s v="MgrC"/>
    <d v="2024-01-01T00:00:00"/>
    <n v="0.66"/>
    <n v="59.09640000000001"/>
  </r>
  <r>
    <s v="CL30901"/>
    <s v="E1057"/>
    <d v="2023-08-02T00:00:00"/>
    <x v="4"/>
    <s v="Travel expense"/>
    <n v="136.86000000000001"/>
    <s v="GBP"/>
    <s v="Rejected"/>
    <s v="MgrB"/>
    <m/>
    <n v="1.27"/>
    <n v="173.81220000000002"/>
  </r>
  <r>
    <s v="CL30902"/>
    <s v="E1056"/>
    <d v="2023-06-16T00:00:00"/>
    <x v="3"/>
    <s v="Travel expense"/>
    <n v="527.32000000000005"/>
    <s v="EUR"/>
    <s v="Rejected"/>
    <s v="MgrC"/>
    <m/>
    <n v="1.08"/>
    <n v="569.50560000000007"/>
  </r>
  <r>
    <s v="CL30903"/>
    <s v="E1001"/>
    <d v="2023-06-02T00:00:00"/>
    <x v="0"/>
    <s v="Travel expense"/>
    <n v="439.91"/>
    <s v="EUR"/>
    <s v="Approved"/>
    <s v="MgrA"/>
    <m/>
    <n v="1.08"/>
    <n v="475.10280000000006"/>
  </r>
  <r>
    <s v="CL30904"/>
    <s v="E1048"/>
    <d v="2024-09-28T00:00:00"/>
    <x v="4"/>
    <s v="Travel expense"/>
    <n v="276.99"/>
    <s v="CAD"/>
    <s v="Paid"/>
    <s v="MgrC"/>
    <d v="2024-10-13T00:00:00"/>
    <n v="0.73"/>
    <n v="202.20269999999999"/>
  </r>
  <r>
    <s v="CL30905"/>
    <s v="E1038"/>
    <d v="2023-08-11T00:00:00"/>
    <x v="0"/>
    <s v="Travel expense"/>
    <n v="113.89"/>
    <s v="CAD"/>
    <s v="Paid"/>
    <s v="MgrB"/>
    <d v="2023-08-26T00:00:00"/>
    <n v="0.73"/>
    <n v="83.139700000000005"/>
  </r>
  <r>
    <s v="CL30906"/>
    <s v="E1113"/>
    <d v="2024-10-28T00:00:00"/>
    <x v="4"/>
    <s v="Travel expense"/>
    <n v="44.64"/>
    <s v="EUR"/>
    <s v="Rejected"/>
    <s v="MgrA"/>
    <m/>
    <n v="1.08"/>
    <n v="48.211200000000005"/>
  </r>
  <r>
    <s v="CL30907"/>
    <s v="E1042"/>
    <d v="2024-09-24T00:00:00"/>
    <x v="1"/>
    <s v="Travel expense"/>
    <n v="345.6"/>
    <s v="GBP"/>
    <s v="Paid"/>
    <s v="MgrB"/>
    <d v="2024-10-09T00:00:00"/>
    <n v="1.27"/>
    <n v="438.91200000000003"/>
  </r>
  <r>
    <s v="CL30908"/>
    <s v="E1027"/>
    <d v="2023-02-01T00:00:00"/>
    <x v="2"/>
    <s v="Travel expense"/>
    <n v="275.89"/>
    <s v="GBP"/>
    <s v="Approved"/>
    <s v="MgrC"/>
    <m/>
    <n v="1.27"/>
    <n v="350.38029999999998"/>
  </r>
  <r>
    <s v="CL30909"/>
    <s v="E1001"/>
    <d v="2023-07-17T00:00:00"/>
    <x v="1"/>
    <s v="Travel expense"/>
    <n v="188.13"/>
    <s v="CAD"/>
    <s v="Paid"/>
    <s v="MgrC"/>
    <d v="2023-08-01T00:00:00"/>
    <n v="0.73"/>
    <n v="137.3349"/>
  </r>
  <r>
    <s v="CL30910"/>
    <s v="E1095"/>
    <d v="2023-01-04T00:00:00"/>
    <x v="4"/>
    <s v="Travel expense"/>
    <n v="148.37"/>
    <s v="AUD"/>
    <s v="Submitted"/>
    <s v="MgrA"/>
    <m/>
    <n v="0.66"/>
    <n v="97.924200000000013"/>
  </r>
  <r>
    <s v="CL30911"/>
    <s v="E1071"/>
    <d v="2023-08-20T00:00:00"/>
    <x v="3"/>
    <s v="Travel expense"/>
    <n v="135.29"/>
    <s v="GBP"/>
    <s v="Rejected"/>
    <s v="MgrA"/>
    <m/>
    <n v="1.27"/>
    <n v="171.81829999999999"/>
  </r>
  <r>
    <s v="CL30912"/>
    <s v="E1114"/>
    <d v="2025-02-24T00:00:00"/>
    <x v="4"/>
    <s v="Travel expense"/>
    <n v="43.85"/>
    <s v="CAD"/>
    <s v="Approved"/>
    <s v="MgrA"/>
    <m/>
    <n v="0.73"/>
    <n v="32.0105"/>
  </r>
  <r>
    <s v="CL30913"/>
    <s v="E1019"/>
    <d v="2023-08-27T00:00:00"/>
    <x v="1"/>
    <s v="Travel expense"/>
    <n v="55.98"/>
    <s v="GBP"/>
    <s v="Rejected"/>
    <s v="MgrB"/>
    <m/>
    <n v="1.27"/>
    <n v="71.0946"/>
  </r>
  <r>
    <s v="CL30914"/>
    <s v="E1037"/>
    <d v="2024-03-25T00:00:00"/>
    <x v="2"/>
    <s v="Travel expense"/>
    <n v="343.71"/>
    <s v="EUR"/>
    <s v="Submitted"/>
    <s v="MgrA"/>
    <m/>
    <n v="1.08"/>
    <n v="371.20679999999999"/>
  </r>
  <r>
    <s v="CL30915"/>
    <s v="E1028"/>
    <d v="2023-08-19T00:00:00"/>
    <x v="0"/>
    <s v="Travel expense"/>
    <n v="790.08"/>
    <s v="AUD"/>
    <s v="Paid"/>
    <s v="MgrA"/>
    <d v="2023-09-03T00:00:00"/>
    <n v="0.66"/>
    <n v="521.45280000000002"/>
  </r>
  <r>
    <s v="CL30916"/>
    <s v="E1036"/>
    <d v="2023-07-18T00:00:00"/>
    <x v="0"/>
    <s v="Travel expense"/>
    <n v="750.11"/>
    <s v="USD"/>
    <s v="Rejected"/>
    <s v="MgrA"/>
    <m/>
    <n v="1"/>
    <n v="750.11"/>
  </r>
  <r>
    <s v="CL30917"/>
    <s v="E1084"/>
    <d v="2023-03-10T00:00:00"/>
    <x v="1"/>
    <s v="Travel expense"/>
    <n v="314.44"/>
    <s v="EUR"/>
    <s v="Submitted"/>
    <s v="MgrC"/>
    <m/>
    <n v="1.08"/>
    <n v="339.59520000000003"/>
  </r>
  <r>
    <s v="CL30918"/>
    <s v="E1064"/>
    <d v="2025-03-01T00:00:00"/>
    <x v="0"/>
    <s v="Travel expense"/>
    <n v="217.72"/>
    <s v="CAD"/>
    <s v="Approved"/>
    <s v="MgrB"/>
    <m/>
    <n v="0.73"/>
    <n v="158.93559999999999"/>
  </r>
  <r>
    <s v="CL30919"/>
    <s v="E1069"/>
    <d v="2023-12-25T00:00:00"/>
    <x v="1"/>
    <s v="Travel expense"/>
    <n v="678.45"/>
    <s v="EUR"/>
    <s v="Paid"/>
    <s v="MgrC"/>
    <d v="2024-01-09T00:00:00"/>
    <n v="1.08"/>
    <n v="732.72600000000011"/>
  </r>
  <r>
    <s v="CL30920"/>
    <s v="E1004"/>
    <d v="2024-01-13T00:00:00"/>
    <x v="2"/>
    <s v="Travel expense"/>
    <n v="699.91"/>
    <s v="AUD"/>
    <s v="Submitted"/>
    <s v="MgrB"/>
    <m/>
    <n v="0.66"/>
    <n v="461.94060000000002"/>
  </r>
  <r>
    <s v="CL30921"/>
    <s v="E1073"/>
    <d v="2025-01-10T00:00:00"/>
    <x v="3"/>
    <s v="Travel expense"/>
    <n v="669.35"/>
    <s v="EUR"/>
    <s v="Paid"/>
    <s v="MgrC"/>
    <d v="2025-01-25T00:00:00"/>
    <n v="1.08"/>
    <n v="722.89800000000002"/>
  </r>
  <r>
    <s v="CL30922"/>
    <s v="E1096"/>
    <d v="2023-04-19T00:00:00"/>
    <x v="0"/>
    <s v="Travel expense"/>
    <n v="569.61"/>
    <s v="CAD"/>
    <s v="Submitted"/>
    <s v="MgrB"/>
    <m/>
    <n v="0.73"/>
    <n v="415.81529999999998"/>
  </r>
  <r>
    <s v="CL30923"/>
    <s v="E1114"/>
    <d v="2024-09-13T00:00:00"/>
    <x v="4"/>
    <s v="Travel expense"/>
    <n v="754.3"/>
    <s v="CAD"/>
    <s v="Rejected"/>
    <s v="MgrC"/>
    <m/>
    <n v="0.73"/>
    <n v="550.63900000000001"/>
  </r>
  <r>
    <s v="CL30924"/>
    <s v="E1029"/>
    <d v="2024-04-05T00:00:00"/>
    <x v="0"/>
    <s v="Travel expense"/>
    <n v="485.5"/>
    <s v="USD"/>
    <s v="Rejected"/>
    <s v="MgrA"/>
    <m/>
    <n v="1"/>
    <n v="485.5"/>
  </r>
  <r>
    <s v="CL30925"/>
    <s v="E1027"/>
    <d v="2024-11-07T00:00:00"/>
    <x v="3"/>
    <s v="Travel expense"/>
    <n v="442.46"/>
    <s v="CAD"/>
    <s v="Rejected"/>
    <s v="MgrC"/>
    <m/>
    <n v="0.73"/>
    <n v="322.99579999999997"/>
  </r>
  <r>
    <s v="CL30926"/>
    <s v="E1096"/>
    <d v="2024-05-02T00:00:00"/>
    <x v="0"/>
    <s v="Travel expense"/>
    <n v="556.21"/>
    <s v="EUR"/>
    <s v="Rejected"/>
    <s v="MgrC"/>
    <m/>
    <n v="1.08"/>
    <n v="600.70680000000004"/>
  </r>
  <r>
    <s v="CL30927"/>
    <s v="E1116"/>
    <d v="2025-06-03T00:00:00"/>
    <x v="0"/>
    <s v="Travel expense"/>
    <n v="92.41"/>
    <s v="CAD"/>
    <s v="Submitted"/>
    <s v="MgrA"/>
    <m/>
    <n v="0.73"/>
    <n v="67.459299999999999"/>
  </r>
  <r>
    <s v="CL30928"/>
    <s v="E1098"/>
    <d v="2025-03-17T00:00:00"/>
    <x v="1"/>
    <s v="Travel expense"/>
    <n v="502.24"/>
    <s v="GBP"/>
    <s v="Rejected"/>
    <s v="MgrB"/>
    <m/>
    <n v="1.27"/>
    <n v="637.84479999999996"/>
  </r>
  <r>
    <s v="CL30929"/>
    <s v="E1065"/>
    <d v="2024-06-10T00:00:00"/>
    <x v="2"/>
    <s v="Travel expense"/>
    <n v="185.38"/>
    <s v="CAD"/>
    <s v="Approved"/>
    <s v="MgrB"/>
    <m/>
    <n v="0.73"/>
    <n v="135.32739999999998"/>
  </r>
  <r>
    <s v="CL30930"/>
    <s v="E1098"/>
    <d v="2023-07-13T00:00:00"/>
    <x v="4"/>
    <s v="Travel expense"/>
    <n v="717.25"/>
    <s v="AUD"/>
    <s v="Approved"/>
    <s v="MgrC"/>
    <m/>
    <n v="0.66"/>
    <n v="473.38500000000005"/>
  </r>
  <r>
    <s v="CL30931"/>
    <s v="E1092"/>
    <d v="2023-03-02T00:00:00"/>
    <x v="4"/>
    <s v="Travel expense"/>
    <n v="635.62"/>
    <s v="CAD"/>
    <s v="Paid"/>
    <s v="MgrC"/>
    <d v="2023-03-17T00:00:00"/>
    <n v="0.73"/>
    <n v="464.00259999999997"/>
  </r>
  <r>
    <s v="CL30932"/>
    <s v="E1049"/>
    <d v="2024-11-21T00:00:00"/>
    <x v="2"/>
    <s v="Travel expense"/>
    <n v="57.11"/>
    <s v="CAD"/>
    <s v="Submitted"/>
    <s v="MgrC"/>
    <m/>
    <n v="0.73"/>
    <n v="41.690300000000001"/>
  </r>
  <r>
    <s v="CL30933"/>
    <s v="E1042"/>
    <d v="2023-08-28T00:00:00"/>
    <x v="2"/>
    <s v="Travel expense"/>
    <n v="177.28"/>
    <s v="GBP"/>
    <s v="Submitted"/>
    <s v="MgrA"/>
    <m/>
    <n v="1.27"/>
    <n v="225.1456"/>
  </r>
  <r>
    <s v="CL30934"/>
    <s v="E1046"/>
    <d v="2023-07-09T00:00:00"/>
    <x v="4"/>
    <s v="Travel expense"/>
    <n v="370.2"/>
    <s v="USD"/>
    <s v="Approved"/>
    <s v="MgrB"/>
    <m/>
    <n v="1"/>
    <n v="370.2"/>
  </r>
  <r>
    <s v="CL30935"/>
    <s v="E1077"/>
    <d v="2023-06-17T00:00:00"/>
    <x v="4"/>
    <s v="Travel expense"/>
    <n v="133.46"/>
    <s v="GBP"/>
    <s v="Paid"/>
    <s v="MgrC"/>
    <d v="2023-07-02T00:00:00"/>
    <n v="1.27"/>
    <n v="169.49420000000001"/>
  </r>
  <r>
    <s v="CL30936"/>
    <s v="E1064"/>
    <d v="2023-05-15T00:00:00"/>
    <x v="0"/>
    <s v="Travel expense"/>
    <n v="203.13"/>
    <s v="GBP"/>
    <s v="Approved"/>
    <s v="MgrB"/>
    <m/>
    <n v="1.27"/>
    <n v="257.9751"/>
  </r>
  <r>
    <s v="CL30937"/>
    <s v="E1002"/>
    <d v="2024-08-11T00:00:00"/>
    <x v="4"/>
    <s v="Travel expense"/>
    <n v="795.09"/>
    <s v="AUD"/>
    <s v="Submitted"/>
    <s v="MgrC"/>
    <m/>
    <n v="0.66"/>
    <n v="524.75940000000003"/>
  </r>
  <r>
    <s v="CL30938"/>
    <s v="E1027"/>
    <d v="2025-05-28T00:00:00"/>
    <x v="0"/>
    <s v="Travel expense"/>
    <n v="549.16"/>
    <s v="USD"/>
    <s v="Approved"/>
    <s v="MgrC"/>
    <m/>
    <n v="1"/>
    <n v="549.16"/>
  </r>
  <r>
    <s v="CL30939"/>
    <s v="E1008"/>
    <d v="2025-05-22T00:00:00"/>
    <x v="1"/>
    <s v="Travel expense"/>
    <n v="80.95"/>
    <s v="GBP"/>
    <s v="Submitted"/>
    <s v="MgrB"/>
    <m/>
    <n v="1.27"/>
    <n v="102.8065"/>
  </r>
  <r>
    <s v="CL30940"/>
    <s v="E1091"/>
    <d v="2023-09-28T00:00:00"/>
    <x v="3"/>
    <s v="Travel expense"/>
    <n v="649.1"/>
    <s v="GBP"/>
    <s v="Approved"/>
    <s v="MgrC"/>
    <m/>
    <n v="1.27"/>
    <n v="824.35700000000008"/>
  </r>
  <r>
    <s v="CL30941"/>
    <s v="E1113"/>
    <d v="2023-01-23T00:00:00"/>
    <x v="2"/>
    <s v="Travel expense"/>
    <n v="297.76"/>
    <s v="AUD"/>
    <s v="Rejected"/>
    <s v="MgrC"/>
    <m/>
    <n v="0.66"/>
    <n v="196.52160000000001"/>
  </r>
  <r>
    <s v="CL30942"/>
    <s v="E1005"/>
    <d v="2023-11-16T00:00:00"/>
    <x v="1"/>
    <s v="Travel expense"/>
    <n v="256.72000000000003"/>
    <s v="EUR"/>
    <s v="Approved"/>
    <s v="MgrC"/>
    <m/>
    <n v="1.08"/>
    <n v="277.25760000000002"/>
  </r>
  <r>
    <s v="CL30943"/>
    <s v="E1113"/>
    <d v="2025-01-12T00:00:00"/>
    <x v="1"/>
    <s v="Travel expense"/>
    <n v="58.26"/>
    <s v="USD"/>
    <s v="Paid"/>
    <s v="MgrB"/>
    <d v="2025-01-27T00:00:00"/>
    <n v="1"/>
    <n v="58.26"/>
  </r>
  <r>
    <s v="CL30944"/>
    <s v="E1078"/>
    <d v="2023-11-25T00:00:00"/>
    <x v="2"/>
    <s v="Travel expense"/>
    <n v="148.29"/>
    <s v="EUR"/>
    <s v="Approved"/>
    <s v="MgrA"/>
    <m/>
    <n v="1.08"/>
    <n v="160.1532"/>
  </r>
  <r>
    <s v="CL30945"/>
    <s v="E1011"/>
    <d v="2025-05-25T00:00:00"/>
    <x v="1"/>
    <s v="Travel expense"/>
    <n v="781.33"/>
    <s v="USD"/>
    <s v="Approved"/>
    <s v="MgrA"/>
    <m/>
    <n v="1"/>
    <n v="781.33"/>
  </r>
  <r>
    <s v="CL30946"/>
    <s v="E1107"/>
    <d v="2025-05-05T00:00:00"/>
    <x v="3"/>
    <s v="Travel expense"/>
    <n v="253.88"/>
    <s v="USD"/>
    <s v="Approved"/>
    <s v="MgrB"/>
    <m/>
    <n v="1"/>
    <n v="253.88"/>
  </r>
  <r>
    <s v="CL30947"/>
    <s v="E1088"/>
    <d v="2023-02-09T00:00:00"/>
    <x v="1"/>
    <s v="Travel expense"/>
    <n v="129.97999999999999"/>
    <s v="AUD"/>
    <s v="Submitted"/>
    <s v="MgrC"/>
    <m/>
    <n v="0.66"/>
    <n v="85.786799999999999"/>
  </r>
  <r>
    <s v="CL30948"/>
    <s v="E1093"/>
    <d v="2024-02-15T00:00:00"/>
    <x v="1"/>
    <s v="Travel expense"/>
    <n v="110.47"/>
    <s v="AUD"/>
    <s v="Rejected"/>
    <s v="MgrC"/>
    <m/>
    <n v="0.66"/>
    <n v="72.910200000000003"/>
  </r>
  <r>
    <s v="CL30949"/>
    <s v="E1070"/>
    <d v="2024-09-01T00:00:00"/>
    <x v="2"/>
    <s v="Travel expense"/>
    <n v="666.82"/>
    <s v="AUD"/>
    <s v="Rejected"/>
    <s v="MgrC"/>
    <m/>
    <n v="0.66"/>
    <n v="440.10120000000006"/>
  </r>
  <r>
    <s v="CL30950"/>
    <s v="E1119"/>
    <d v="2023-06-24T00:00:00"/>
    <x v="3"/>
    <s v="Travel expense"/>
    <n v="143.32"/>
    <s v="AUD"/>
    <s v="Approved"/>
    <s v="MgrA"/>
    <m/>
    <n v="0.66"/>
    <n v="94.591200000000001"/>
  </r>
  <r>
    <s v="CL30951"/>
    <s v="E1022"/>
    <d v="2023-04-15T00:00:00"/>
    <x v="1"/>
    <s v="Travel expense"/>
    <n v="232.1"/>
    <s v="CAD"/>
    <s v="Rejected"/>
    <s v="MgrC"/>
    <m/>
    <n v="0.73"/>
    <n v="169.43299999999999"/>
  </r>
  <r>
    <s v="CL30952"/>
    <s v="E1050"/>
    <d v="2024-03-08T00:00:00"/>
    <x v="1"/>
    <s v="Travel expense"/>
    <n v="292.10000000000002"/>
    <s v="EUR"/>
    <s v="Rejected"/>
    <s v="MgrC"/>
    <m/>
    <n v="1.08"/>
    <n v="315.46800000000002"/>
  </r>
  <r>
    <s v="CL30953"/>
    <s v="E1082"/>
    <d v="2024-04-05T00:00:00"/>
    <x v="0"/>
    <s v="Travel expense"/>
    <n v="516.82000000000005"/>
    <s v="USD"/>
    <s v="Paid"/>
    <s v="MgrA"/>
    <d v="2024-04-20T00:00:00"/>
    <n v="1"/>
    <n v="516.82000000000005"/>
  </r>
  <r>
    <s v="CL30954"/>
    <s v="E1014"/>
    <d v="2024-07-20T00:00:00"/>
    <x v="4"/>
    <s v="Travel expense"/>
    <n v="255"/>
    <s v="GBP"/>
    <s v="Paid"/>
    <s v="MgrA"/>
    <d v="2024-08-04T00:00:00"/>
    <n v="1.27"/>
    <n v="323.85000000000002"/>
  </r>
  <r>
    <s v="CL30955"/>
    <s v="E1044"/>
    <d v="2023-04-26T00:00:00"/>
    <x v="4"/>
    <s v="Travel expense"/>
    <n v="49.29"/>
    <s v="EUR"/>
    <s v="Submitted"/>
    <s v="MgrC"/>
    <m/>
    <n v="1.08"/>
    <n v="53.233200000000004"/>
  </r>
  <r>
    <s v="CL30956"/>
    <s v="E1028"/>
    <d v="2024-10-26T00:00:00"/>
    <x v="0"/>
    <s v="Travel expense"/>
    <n v="738.77"/>
    <s v="AUD"/>
    <s v="Approved"/>
    <s v="MgrC"/>
    <m/>
    <n v="0.66"/>
    <n v="487.58820000000003"/>
  </r>
  <r>
    <s v="CL30957"/>
    <s v="E1015"/>
    <d v="2024-04-05T00:00:00"/>
    <x v="0"/>
    <s v="Travel expense"/>
    <n v="55.95"/>
    <s v="GBP"/>
    <s v="Approved"/>
    <s v="MgrB"/>
    <m/>
    <n v="1.27"/>
    <n v="71.0565"/>
  </r>
  <r>
    <s v="CL30958"/>
    <s v="E1081"/>
    <d v="2025-01-23T00:00:00"/>
    <x v="3"/>
    <s v="Travel expense"/>
    <n v="647.1"/>
    <s v="EUR"/>
    <s v="Paid"/>
    <s v="MgrA"/>
    <d v="2025-02-07T00:00:00"/>
    <n v="1.08"/>
    <n v="698.86800000000005"/>
  </r>
  <r>
    <s v="CL30959"/>
    <s v="E1093"/>
    <d v="2023-08-27T00:00:00"/>
    <x v="3"/>
    <s v="Travel expense"/>
    <n v="259.32"/>
    <s v="GBP"/>
    <s v="Submitted"/>
    <s v="MgrA"/>
    <m/>
    <n v="1.27"/>
    <n v="329.33639999999997"/>
  </r>
  <r>
    <s v="CL30960"/>
    <s v="E1053"/>
    <d v="2024-06-13T00:00:00"/>
    <x v="2"/>
    <s v="Travel expense"/>
    <n v="503.95"/>
    <s v="EUR"/>
    <s v="Paid"/>
    <s v="MgrA"/>
    <d v="2024-06-28T00:00:00"/>
    <n v="1.08"/>
    <n v="544.26600000000008"/>
  </r>
  <r>
    <s v="CL30961"/>
    <s v="E1088"/>
    <d v="2024-09-16T00:00:00"/>
    <x v="2"/>
    <s v="Travel expense"/>
    <n v="405.54"/>
    <s v="AUD"/>
    <s v="Rejected"/>
    <s v="MgrA"/>
    <m/>
    <n v="0.66"/>
    <n v="267.65640000000002"/>
  </r>
  <r>
    <s v="CL30962"/>
    <s v="E1002"/>
    <d v="2023-10-09T00:00:00"/>
    <x v="0"/>
    <s v="Travel expense"/>
    <n v="761.48"/>
    <s v="USD"/>
    <s v="Rejected"/>
    <s v="MgrB"/>
    <m/>
    <n v="1"/>
    <n v="761.48"/>
  </r>
  <r>
    <s v="CL30963"/>
    <s v="E1059"/>
    <d v="2024-10-21T00:00:00"/>
    <x v="0"/>
    <s v="Travel expense"/>
    <n v="516.11"/>
    <s v="GBP"/>
    <s v="Approved"/>
    <s v="MgrB"/>
    <m/>
    <n v="1.27"/>
    <n v="655.4597"/>
  </r>
  <r>
    <s v="CL30964"/>
    <s v="E1092"/>
    <d v="2025-03-04T00:00:00"/>
    <x v="1"/>
    <s v="Travel expense"/>
    <n v="787.02"/>
    <s v="USD"/>
    <s v="Approved"/>
    <s v="MgrB"/>
    <m/>
    <n v="1"/>
    <n v="787.02"/>
  </r>
  <r>
    <s v="CL30965"/>
    <s v="E1076"/>
    <d v="2025-05-15T00:00:00"/>
    <x v="2"/>
    <s v="Travel expense"/>
    <n v="129"/>
    <s v="EUR"/>
    <s v="Approved"/>
    <s v="MgrC"/>
    <m/>
    <n v="1.08"/>
    <n v="139.32000000000002"/>
  </r>
  <r>
    <s v="CL30966"/>
    <s v="E1045"/>
    <d v="2023-12-22T00:00:00"/>
    <x v="4"/>
    <s v="Travel expense"/>
    <n v="761.76"/>
    <s v="AUD"/>
    <s v="Rejected"/>
    <s v="MgrB"/>
    <m/>
    <n v="0.66"/>
    <n v="502.76160000000004"/>
  </r>
  <r>
    <s v="CL30967"/>
    <s v="E1057"/>
    <d v="2023-05-26T00:00:00"/>
    <x v="4"/>
    <s v="Travel expense"/>
    <n v="412.24"/>
    <s v="USD"/>
    <s v="Paid"/>
    <s v="MgrC"/>
    <d v="2023-06-10T00:00:00"/>
    <n v="1"/>
    <n v="412.24"/>
  </r>
  <r>
    <s v="CL30968"/>
    <s v="E1047"/>
    <d v="2024-05-26T00:00:00"/>
    <x v="0"/>
    <s v="Travel expense"/>
    <n v="568.70000000000005"/>
    <s v="USD"/>
    <s v="Rejected"/>
    <s v="MgrC"/>
    <m/>
    <n v="1"/>
    <n v="568.70000000000005"/>
  </r>
  <r>
    <s v="CL30969"/>
    <s v="E1119"/>
    <d v="2023-01-01T00:00:00"/>
    <x v="3"/>
    <s v="Travel expense"/>
    <n v="626.4"/>
    <s v="AUD"/>
    <s v="Submitted"/>
    <s v="MgrC"/>
    <m/>
    <n v="0.66"/>
    <n v="413.42399999999998"/>
  </r>
  <r>
    <s v="CL30970"/>
    <s v="E1007"/>
    <d v="2024-01-22T00:00:00"/>
    <x v="3"/>
    <s v="Travel expense"/>
    <n v="277.62"/>
    <s v="EUR"/>
    <s v="Approved"/>
    <s v="MgrC"/>
    <m/>
    <n v="1.08"/>
    <n v="299.82960000000003"/>
  </r>
  <r>
    <s v="CL30971"/>
    <s v="E1109"/>
    <d v="2023-08-11T00:00:00"/>
    <x v="3"/>
    <s v="Travel expense"/>
    <n v="468.83"/>
    <s v="USD"/>
    <s v="Rejected"/>
    <s v="MgrC"/>
    <m/>
    <n v="1"/>
    <n v="468.83"/>
  </r>
  <r>
    <s v="CL30972"/>
    <s v="E1019"/>
    <d v="2024-06-14T00:00:00"/>
    <x v="0"/>
    <s v="Travel expense"/>
    <n v="189.96"/>
    <s v="USD"/>
    <s v="Approved"/>
    <s v="MgrA"/>
    <m/>
    <n v="1"/>
    <n v="189.96"/>
  </r>
  <r>
    <s v="CL30973"/>
    <s v="E1105"/>
    <d v="2023-08-29T00:00:00"/>
    <x v="1"/>
    <s v="Travel expense"/>
    <n v="204.26"/>
    <s v="CAD"/>
    <s v="Rejected"/>
    <s v="MgrC"/>
    <m/>
    <n v="0.73"/>
    <n v="149.10979999999998"/>
  </r>
  <r>
    <s v="CL30974"/>
    <s v="E1056"/>
    <d v="2023-12-13T00:00:00"/>
    <x v="4"/>
    <s v="Travel expense"/>
    <n v="169.67"/>
    <s v="AUD"/>
    <s v="Submitted"/>
    <s v="MgrB"/>
    <m/>
    <n v="0.66"/>
    <n v="111.98219999999999"/>
  </r>
  <r>
    <s v="CL30975"/>
    <s v="E1112"/>
    <d v="2025-02-04T00:00:00"/>
    <x v="0"/>
    <s v="Travel expense"/>
    <n v="557.38"/>
    <s v="USD"/>
    <s v="Rejected"/>
    <s v="MgrB"/>
    <m/>
    <n v="1"/>
    <n v="557.38"/>
  </r>
  <r>
    <s v="CL30976"/>
    <s v="E1091"/>
    <d v="2024-12-16T00:00:00"/>
    <x v="1"/>
    <s v="Travel expense"/>
    <n v="183.12"/>
    <s v="AUD"/>
    <s v="Rejected"/>
    <s v="MgrA"/>
    <m/>
    <n v="0.66"/>
    <n v="120.85920000000002"/>
  </r>
  <r>
    <s v="CL30977"/>
    <s v="E1043"/>
    <d v="2023-08-15T00:00:00"/>
    <x v="1"/>
    <s v="Travel expense"/>
    <n v="762.54"/>
    <s v="AUD"/>
    <s v="Rejected"/>
    <s v="MgrA"/>
    <m/>
    <n v="0.66"/>
    <n v="503.27640000000002"/>
  </r>
  <r>
    <s v="CL30978"/>
    <s v="E1063"/>
    <d v="2023-05-31T00:00:00"/>
    <x v="4"/>
    <s v="Travel expense"/>
    <n v="642.67999999999995"/>
    <s v="AUD"/>
    <s v="Approved"/>
    <s v="MgrA"/>
    <m/>
    <n v="0.66"/>
    <n v="424.16879999999998"/>
  </r>
  <r>
    <s v="CL30979"/>
    <s v="E1067"/>
    <d v="2025-06-06T00:00:00"/>
    <x v="2"/>
    <s v="Travel expense"/>
    <n v="92.12"/>
    <s v="GBP"/>
    <s v="Approved"/>
    <s v="MgrB"/>
    <m/>
    <n v="1.27"/>
    <n v="116.9924"/>
  </r>
  <r>
    <s v="CL30980"/>
    <s v="E1057"/>
    <d v="2024-06-19T00:00:00"/>
    <x v="0"/>
    <s v="Travel expense"/>
    <n v="373.38"/>
    <s v="CAD"/>
    <s v="Approved"/>
    <s v="MgrB"/>
    <m/>
    <n v="0.73"/>
    <n v="272.56739999999996"/>
  </r>
  <r>
    <s v="CL30981"/>
    <s v="E1001"/>
    <d v="2024-12-18T00:00:00"/>
    <x v="3"/>
    <s v="Travel expense"/>
    <n v="70.569999999999993"/>
    <s v="USD"/>
    <s v="Rejected"/>
    <s v="MgrC"/>
    <m/>
    <n v="1"/>
    <n v="70.569999999999993"/>
  </r>
  <r>
    <s v="CL30982"/>
    <s v="E1056"/>
    <d v="2023-01-26T00:00:00"/>
    <x v="0"/>
    <s v="Travel expense"/>
    <n v="692.78"/>
    <s v="USD"/>
    <s v="Rejected"/>
    <s v="MgrA"/>
    <m/>
    <n v="1"/>
    <n v="692.78"/>
  </r>
  <r>
    <s v="CL30983"/>
    <s v="E1004"/>
    <d v="2024-09-03T00:00:00"/>
    <x v="3"/>
    <s v="Travel expense"/>
    <n v="153.74"/>
    <s v="AUD"/>
    <s v="Paid"/>
    <s v="MgrA"/>
    <d v="2024-09-18T00:00:00"/>
    <n v="0.66"/>
    <n v="101.46840000000002"/>
  </r>
  <r>
    <s v="CL30984"/>
    <s v="E1064"/>
    <d v="2024-12-17T00:00:00"/>
    <x v="2"/>
    <s v="Travel expense"/>
    <n v="568.12"/>
    <s v="GBP"/>
    <s v="Submitted"/>
    <s v="MgrB"/>
    <m/>
    <n v="1.27"/>
    <n v="721.51240000000007"/>
  </r>
  <r>
    <s v="CL30985"/>
    <s v="E1107"/>
    <d v="2023-11-23T00:00:00"/>
    <x v="2"/>
    <s v="Travel expense"/>
    <n v="357.8"/>
    <s v="GBP"/>
    <s v="Paid"/>
    <s v="MgrB"/>
    <d v="2023-12-08T00:00:00"/>
    <n v="1.27"/>
    <n v="454.40600000000001"/>
  </r>
  <r>
    <s v="CL30986"/>
    <s v="E1002"/>
    <d v="2023-12-12T00:00:00"/>
    <x v="0"/>
    <s v="Travel expense"/>
    <n v="445.81"/>
    <s v="AUD"/>
    <s v="Paid"/>
    <s v="MgrA"/>
    <d v="2023-12-27T00:00:00"/>
    <n v="0.66"/>
    <n v="294.2346"/>
  </r>
  <r>
    <s v="CL30987"/>
    <s v="E1063"/>
    <d v="2023-09-06T00:00:00"/>
    <x v="3"/>
    <s v="Travel expense"/>
    <n v="575.61"/>
    <s v="GBP"/>
    <s v="Approved"/>
    <s v="MgrC"/>
    <m/>
    <n v="1.27"/>
    <n v="731.02470000000005"/>
  </r>
  <r>
    <s v="CL30988"/>
    <s v="E1028"/>
    <d v="2023-08-31T00:00:00"/>
    <x v="1"/>
    <s v="Travel expense"/>
    <n v="442.43"/>
    <s v="GBP"/>
    <s v="Paid"/>
    <s v="MgrC"/>
    <d v="2023-09-15T00:00:00"/>
    <n v="1.27"/>
    <n v="561.88610000000006"/>
  </r>
  <r>
    <s v="CL30989"/>
    <s v="E1075"/>
    <d v="2024-11-29T00:00:00"/>
    <x v="2"/>
    <s v="Travel expense"/>
    <n v="532.62"/>
    <s v="GBP"/>
    <s v="Submitted"/>
    <s v="MgrA"/>
    <m/>
    <n v="1.27"/>
    <n v="676.42740000000003"/>
  </r>
  <r>
    <s v="CL30990"/>
    <s v="E1028"/>
    <d v="2025-02-24T00:00:00"/>
    <x v="1"/>
    <s v="Travel expense"/>
    <n v="742.7"/>
    <s v="USD"/>
    <s v="Rejected"/>
    <s v="MgrA"/>
    <m/>
    <n v="1"/>
    <n v="742.7"/>
  </r>
  <r>
    <s v="CL30991"/>
    <s v="E1049"/>
    <d v="2024-02-06T00:00:00"/>
    <x v="0"/>
    <s v="Travel expense"/>
    <n v="204.34"/>
    <s v="CAD"/>
    <s v="Paid"/>
    <s v="MgrA"/>
    <d v="2024-02-21T00:00:00"/>
    <n v="0.73"/>
    <n v="149.16820000000001"/>
  </r>
  <r>
    <s v="CL30992"/>
    <s v="E1037"/>
    <d v="2023-03-20T00:00:00"/>
    <x v="1"/>
    <s v="Travel expense"/>
    <n v="591.08000000000004"/>
    <s v="USD"/>
    <s v="Rejected"/>
    <s v="MgrB"/>
    <m/>
    <n v="1"/>
    <n v="591.08000000000004"/>
  </r>
  <r>
    <s v="CL30993"/>
    <s v="E1076"/>
    <d v="2024-07-26T00:00:00"/>
    <x v="0"/>
    <s v="Travel expense"/>
    <n v="673.15"/>
    <s v="CAD"/>
    <s v="Submitted"/>
    <s v="MgrB"/>
    <m/>
    <n v="0.73"/>
    <n v="491.39949999999999"/>
  </r>
  <r>
    <s v="CL30994"/>
    <s v="E1065"/>
    <d v="2024-08-18T00:00:00"/>
    <x v="3"/>
    <s v="Travel expense"/>
    <n v="432.68"/>
    <s v="AUD"/>
    <s v="Rejected"/>
    <s v="MgrB"/>
    <m/>
    <n v="0.66"/>
    <n v="285.56880000000001"/>
  </r>
  <r>
    <s v="CL30995"/>
    <s v="E1116"/>
    <d v="2024-03-28T00:00:00"/>
    <x v="2"/>
    <s v="Travel expense"/>
    <n v="547.41999999999996"/>
    <s v="EUR"/>
    <s v="Rejected"/>
    <s v="MgrC"/>
    <m/>
    <n v="1.08"/>
    <n v="591.21360000000004"/>
  </r>
  <r>
    <s v="CL30996"/>
    <s v="E1039"/>
    <d v="2023-04-12T00:00:00"/>
    <x v="3"/>
    <s v="Travel expense"/>
    <n v="594.88"/>
    <s v="EUR"/>
    <s v="Rejected"/>
    <s v="MgrC"/>
    <m/>
    <n v="1.08"/>
    <n v="642.47040000000004"/>
  </r>
  <r>
    <s v="CL30997"/>
    <s v="E1032"/>
    <d v="2025-06-04T00:00:00"/>
    <x v="3"/>
    <s v="Travel expense"/>
    <n v="609"/>
    <s v="GBP"/>
    <s v="Paid"/>
    <s v="MgrC"/>
    <d v="2025-06-19T00:00:00"/>
    <n v="1.27"/>
    <n v="773.43000000000006"/>
  </r>
  <r>
    <s v="CL30998"/>
    <s v="E1055"/>
    <d v="2024-06-27T00:00:00"/>
    <x v="2"/>
    <s v="Travel expense"/>
    <n v="81.77"/>
    <s v="EUR"/>
    <s v="Paid"/>
    <s v="MgrB"/>
    <d v="2024-07-12T00:00:00"/>
    <n v="1.08"/>
    <n v="88.311599999999999"/>
  </r>
  <r>
    <s v="CL30999"/>
    <s v="E1080"/>
    <d v="2023-10-17T00:00:00"/>
    <x v="4"/>
    <s v="Travel expense"/>
    <n v="35.36"/>
    <s v="USD"/>
    <s v="Approved"/>
    <s v="MgrC"/>
    <m/>
    <n v="1"/>
    <n v="35.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54BAAD-60B9-46E9-83A8-36C84362A7B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0" firstHeaderRow="0" firstDataRow="1" firstDataCol="1"/>
  <pivotFields count="7">
    <pivotField showAll="0">
      <items count="3">
        <item x="0"/>
        <item x="1"/>
        <item t="default"/>
      </items>
    </pivotField>
    <pivotField axis="axisRow" showAll="0">
      <items count="7">
        <item x="0"/>
        <item x="1"/>
        <item x="2"/>
        <item x="4"/>
        <item x="5"/>
        <item x="3"/>
        <item t="default"/>
      </items>
    </pivotField>
    <pivotField showAll="0">
      <items count="5">
        <item x="0"/>
        <item x="1"/>
        <item x="2"/>
        <item x="3"/>
        <item t="default"/>
      </items>
    </pivotField>
    <pivotField dataField="1" showAll="0"/>
    <pivotField dataField="1" showAll="0"/>
    <pivotField dataField="1" showAll="0"/>
    <pivotField showAll="0"/>
  </pivotFields>
  <rowFields count="1">
    <field x="1"/>
  </rowFields>
  <rowItems count="7">
    <i>
      <x/>
    </i>
    <i>
      <x v="1"/>
    </i>
    <i>
      <x v="2"/>
    </i>
    <i>
      <x v="3"/>
    </i>
    <i>
      <x v="4"/>
    </i>
    <i>
      <x v="5"/>
    </i>
    <i t="grand">
      <x/>
    </i>
  </rowItems>
  <colFields count="1">
    <field x="-2"/>
  </colFields>
  <colItems count="3">
    <i>
      <x/>
    </i>
    <i i="1">
      <x v="1"/>
    </i>
    <i i="2">
      <x v="2"/>
    </i>
  </colItems>
  <dataFields count="3">
    <dataField name="Sum of Budget USD" fld="3" baseField="0" baseItem="0"/>
    <dataField name="Sum of Actual USD" fld="4" baseField="0" baseItem="0"/>
    <dataField name="Sum of Variance USD" fld="5" baseField="1"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4047B3-D1C6-4A28-9734-4757524304C9}"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4" firstHeaderRow="0" firstDataRow="1" firstDataCol="1"/>
  <pivotFields count="7">
    <pivotField axis="axisRow" showAll="0">
      <items count="3">
        <item x="0"/>
        <item x="1"/>
        <item t="default"/>
      </items>
    </pivotField>
    <pivotField showAll="0">
      <items count="7">
        <item x="0"/>
        <item x="1"/>
        <item x="2"/>
        <item x="4"/>
        <item x="5"/>
        <item x="3"/>
        <item t="default"/>
      </items>
    </pivotField>
    <pivotField axis="axisRow" showAll="0">
      <items count="5">
        <item x="0"/>
        <item x="1"/>
        <item x="2"/>
        <item x="3"/>
        <item t="default"/>
      </items>
    </pivotField>
    <pivotField dataField="1" showAll="0"/>
    <pivotField dataField="1" showAll="0"/>
    <pivotField showAll="0"/>
    <pivotField showAll="0"/>
  </pivotFields>
  <rowFields count="2">
    <field x="0"/>
    <field x="2"/>
  </rowFields>
  <rowItems count="11">
    <i>
      <x/>
    </i>
    <i r="1">
      <x/>
    </i>
    <i r="1">
      <x v="1"/>
    </i>
    <i r="1">
      <x v="2"/>
    </i>
    <i r="1">
      <x v="3"/>
    </i>
    <i>
      <x v="1"/>
    </i>
    <i r="1">
      <x/>
    </i>
    <i r="1">
      <x v="1"/>
    </i>
    <i r="1">
      <x v="2"/>
    </i>
    <i r="1">
      <x v="3"/>
    </i>
    <i t="grand">
      <x/>
    </i>
  </rowItems>
  <colFields count="1">
    <field x="-2"/>
  </colFields>
  <colItems count="2">
    <i>
      <x/>
    </i>
    <i i="1">
      <x v="1"/>
    </i>
  </colItems>
  <dataFields count="2">
    <dataField name="Sum of Budget USD" fld="3" baseField="0" baseItem="0"/>
    <dataField name="Sum of Actual USD"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AFE021-9CD1-4749-AC92-FA7958CD8DCD}"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13" firstHeaderRow="1" firstDataRow="1" firstDataCol="1"/>
  <pivotFields count="8">
    <pivotField showAll="0"/>
    <pivotField showAll="0"/>
    <pivotField showAll="0"/>
    <pivotField showAll="0"/>
    <pivotField showAll="0"/>
    <pivotField dataField="1" showAll="0"/>
    <pivotField showAll="0"/>
    <pivotField axis="axisRow" showAll="0" measureFilter="1" sortType="ascending">
      <items count="49">
        <item x="0"/>
        <item x="1"/>
        <item x="2"/>
        <item x="3"/>
        <item x="24"/>
        <item x="25"/>
        <item x="26"/>
        <item x="27"/>
        <item x="4"/>
        <item x="5"/>
        <item x="6"/>
        <item x="7"/>
        <item x="28"/>
        <item x="29"/>
        <item x="30"/>
        <item x="31"/>
        <item x="8"/>
        <item x="9"/>
        <item x="10"/>
        <item x="11"/>
        <item x="32"/>
        <item x="33"/>
        <item x="34"/>
        <item x="35"/>
        <item x="16"/>
        <item x="17"/>
        <item x="18"/>
        <item x="19"/>
        <item x="40"/>
        <item x="41"/>
        <item x="42"/>
        <item x="43"/>
        <item x="20"/>
        <item x="21"/>
        <item x="22"/>
        <item x="23"/>
        <item x="44"/>
        <item x="45"/>
        <item x="46"/>
        <item x="47"/>
        <item x="12"/>
        <item x="13"/>
        <item x="14"/>
        <item x="15"/>
        <item x="36"/>
        <item x="37"/>
        <item x="38"/>
        <item x="39"/>
        <item t="default"/>
      </items>
      <autoSortScope>
        <pivotArea dataOnly="0" outline="0" fieldPosition="0">
          <references count="1">
            <reference field="4294967294" count="1" selected="0">
              <x v="0"/>
            </reference>
          </references>
        </pivotArea>
      </autoSortScope>
    </pivotField>
  </pivotFields>
  <rowFields count="1">
    <field x="7"/>
  </rowFields>
  <rowItems count="11">
    <i>
      <x v="35"/>
    </i>
    <i>
      <x v="26"/>
    </i>
    <i>
      <x v="17"/>
    </i>
    <i>
      <x v="29"/>
    </i>
    <i>
      <x v="20"/>
    </i>
    <i>
      <x v="3"/>
    </i>
    <i>
      <x v="41"/>
    </i>
    <i>
      <x v="25"/>
    </i>
    <i>
      <x v="27"/>
    </i>
    <i>
      <x v="32"/>
    </i>
    <i t="grand">
      <x/>
    </i>
  </rowItems>
  <colItems count="1">
    <i/>
  </colItems>
  <dataFields count="1">
    <dataField name="Sum of Variance USD" fld="5" baseField="7"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627C54-816F-4819-9D04-A3F3EB6F737C}"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2">
    <pivotField showAll="0"/>
    <pivotField showAll="0"/>
    <pivotField numFmtId="164" showAll="0"/>
    <pivotField axis="axisRow" showAll="0">
      <items count="6">
        <item h="1" x="3"/>
        <item h="1" x="1"/>
        <item h="1" x="0"/>
        <item x="4"/>
        <item x="2"/>
        <item t="default"/>
      </items>
    </pivotField>
    <pivotField showAll="0"/>
    <pivotField showAll="0"/>
    <pivotField showAll="0"/>
    <pivotField showAll="0"/>
    <pivotField showAll="0"/>
    <pivotField showAll="0"/>
    <pivotField showAll="0"/>
    <pivotField dataField="1" showAll="0"/>
  </pivotFields>
  <rowFields count="1">
    <field x="3"/>
  </rowFields>
  <rowItems count="3">
    <i>
      <x v="3"/>
    </i>
    <i>
      <x v="4"/>
    </i>
    <i t="grand">
      <x/>
    </i>
  </rowItems>
  <colItems count="1">
    <i/>
  </colItems>
  <dataFields count="1">
    <dataField name="Sum of Amount USD" fld="11"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FB793AC0-BA8D-45B7-AC48-6D9D0716617F}" sourceName="Dept">
  <pivotTables>
    <pivotTable tabId="8" name="PivotTable1"/>
    <pivotTable tabId="9" name="PivotTable2"/>
  </pivotTables>
  <data>
    <tabular pivotCacheId="562169050">
      <items count="6">
        <i x="0" s="1"/>
        <i x="1" s="1"/>
        <i x="2" s="1"/>
        <i x="4"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scal_Year" xr10:uid="{82A13821-DB07-44DA-8036-C787438567B7}" sourceName="Fiscal Year">
  <pivotTables>
    <pivotTable tabId="8" name="PivotTable1"/>
  </pivotTables>
  <data>
    <tabular pivotCacheId="56216905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7BE0714-438A-489E-968E-BFE3B5704325}" sourceName="Quarter">
  <pivotTables>
    <pivotTable tabId="8" name="PivotTable1"/>
  </pivotTables>
  <data>
    <tabular pivotCacheId="56216905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 xr10:uid="{680C2278-3EEA-45F4-9EA8-100423F4DDB8}" cache="Slicer_Dept" caption="Dept" rowHeight="257175"/>
  <slicer name="Fiscal Year" xr10:uid="{10958066-29FE-4622-93D5-1089A1071F9F}" cache="Slicer_Fiscal_Year" caption="Fiscal Year" rowHeight="257175"/>
  <slicer name="Quarter" xr10:uid="{36EB3599-5791-4867-9FDD-00C2EEB6A87A}" cache="Slicer_Quarter" caption="Quarter"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35BCC-BF89-403A-A814-A5D4ED142DD8}">
  <dimension ref="A1:P1"/>
  <sheetViews>
    <sheetView workbookViewId="0">
      <selection activeCell="U29" sqref="U29"/>
    </sheetView>
  </sheetViews>
  <sheetFormatPr defaultRowHeight="15" x14ac:dyDescent="0.25"/>
  <sheetData>
    <row r="1" spans="1:16" ht="24" x14ac:dyDescent="0.4">
      <c r="A1" s="13" t="s">
        <v>5211</v>
      </c>
      <c r="B1" s="12"/>
      <c r="C1" s="12"/>
      <c r="D1" s="12"/>
      <c r="E1" s="12"/>
      <c r="F1" s="12"/>
      <c r="G1" s="12"/>
      <c r="H1" s="12"/>
      <c r="I1" s="12"/>
      <c r="J1" s="12"/>
      <c r="K1" s="12"/>
      <c r="L1" s="12"/>
      <c r="M1" s="12"/>
      <c r="N1" s="12"/>
      <c r="O1" s="12"/>
      <c r="P1" s="12"/>
    </row>
  </sheetData>
  <mergeCells count="1">
    <mergeCell ref="A1:P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9089-BE7D-4F21-9F24-40557184B954}">
  <dimension ref="A1:Q27"/>
  <sheetViews>
    <sheetView tabSelected="1" topLeftCell="A8" workbookViewId="0">
      <selection activeCell="O21" sqref="O21"/>
    </sheetView>
  </sheetViews>
  <sheetFormatPr defaultRowHeight="15" x14ac:dyDescent="0.25"/>
  <sheetData>
    <row r="1" spans="1:17" ht="26.25" x14ac:dyDescent="0.4">
      <c r="A1" s="18" t="s">
        <v>5220</v>
      </c>
      <c r="B1" s="18"/>
      <c r="C1" s="18"/>
      <c r="D1" s="18"/>
      <c r="E1" s="18"/>
      <c r="F1" s="18"/>
      <c r="G1" s="18"/>
      <c r="H1" s="18"/>
      <c r="I1" s="18"/>
      <c r="J1" s="18"/>
      <c r="K1" s="18"/>
      <c r="L1" s="18"/>
      <c r="M1" s="18"/>
      <c r="N1" s="18"/>
      <c r="O1" s="18"/>
      <c r="P1" s="18"/>
    </row>
    <row r="3" spans="1:17" x14ac:dyDescent="0.25">
      <c r="A3" s="3" t="s">
        <v>5221</v>
      </c>
    </row>
    <row r="5" spans="1:17" x14ac:dyDescent="0.25">
      <c r="A5" s="14" t="s">
        <v>5225</v>
      </c>
      <c r="B5" s="14"/>
      <c r="C5" s="14"/>
      <c r="D5" s="14"/>
      <c r="E5" s="14"/>
      <c r="F5" s="14"/>
      <c r="G5" s="14"/>
      <c r="H5" s="14"/>
    </row>
    <row r="6" spans="1:17" x14ac:dyDescent="0.25">
      <c r="A6" s="14" t="s">
        <v>5226</v>
      </c>
      <c r="B6" s="14"/>
      <c r="C6" s="14"/>
      <c r="D6" s="14"/>
      <c r="E6" s="14"/>
      <c r="F6" s="14"/>
      <c r="G6" s="14"/>
      <c r="H6" s="14"/>
      <c r="I6" s="14"/>
      <c r="J6" s="14"/>
      <c r="K6" s="14"/>
      <c r="L6" s="14"/>
      <c r="M6" s="14"/>
      <c r="N6" s="14"/>
      <c r="O6" s="14"/>
      <c r="P6" s="14"/>
    </row>
    <row r="7" spans="1:17" s="15" customFormat="1" ht="30" customHeight="1" x14ac:dyDescent="0.25">
      <c r="A7" s="17" t="s">
        <v>5227</v>
      </c>
      <c r="B7" s="17"/>
      <c r="C7" s="17"/>
      <c r="D7" s="17"/>
      <c r="E7" s="17"/>
      <c r="F7" s="17"/>
      <c r="G7" s="17"/>
      <c r="H7" s="17"/>
      <c r="I7" s="17"/>
      <c r="J7" s="17"/>
      <c r="K7" s="17"/>
      <c r="L7" s="17"/>
      <c r="M7" s="17"/>
      <c r="N7" s="17"/>
      <c r="O7" s="17"/>
      <c r="P7" s="17"/>
      <c r="Q7" s="17"/>
    </row>
    <row r="9" spans="1:17" x14ac:dyDescent="0.25">
      <c r="A9" s="3" t="s">
        <v>5222</v>
      </c>
    </row>
    <row r="11" spans="1:17" x14ac:dyDescent="0.25">
      <c r="A11" s="4" t="s">
        <v>5228</v>
      </c>
    </row>
    <row r="12" spans="1:17" x14ac:dyDescent="0.25">
      <c r="A12" s="4" t="s">
        <v>5229</v>
      </c>
    </row>
    <row r="13" spans="1:17" x14ac:dyDescent="0.25">
      <c r="A13" s="9" t="s">
        <v>5231</v>
      </c>
      <c r="B13" s="4"/>
      <c r="C13" s="4"/>
      <c r="D13" s="4"/>
      <c r="E13" s="4"/>
      <c r="F13" s="4"/>
      <c r="G13" s="4"/>
      <c r="H13" s="4"/>
      <c r="I13" s="4"/>
      <c r="J13" s="4"/>
      <c r="K13" s="4"/>
      <c r="L13" s="4"/>
      <c r="M13" s="4"/>
      <c r="N13" s="4"/>
      <c r="O13" s="4"/>
      <c r="P13" s="4"/>
      <c r="Q13" s="4"/>
    </row>
    <row r="14" spans="1:17" x14ac:dyDescent="0.25">
      <c r="A14" s="16" t="s">
        <v>5230</v>
      </c>
      <c r="B14" s="16"/>
      <c r="C14" s="16"/>
      <c r="D14" s="16"/>
    </row>
    <row r="16" spans="1:17" x14ac:dyDescent="0.25">
      <c r="A16" s="3" t="s">
        <v>5223</v>
      </c>
    </row>
    <row r="18" spans="1:1" x14ac:dyDescent="0.25">
      <c r="A18" s="4" t="s">
        <v>5232</v>
      </c>
    </row>
    <row r="19" spans="1:1" x14ac:dyDescent="0.25">
      <c r="A19" s="4" t="s">
        <v>5233</v>
      </c>
    </row>
    <row r="20" spans="1:1" x14ac:dyDescent="0.25">
      <c r="A20" s="4" t="s">
        <v>5234</v>
      </c>
    </row>
    <row r="21" spans="1:1" x14ac:dyDescent="0.25">
      <c r="A21" s="4" t="s">
        <v>5235</v>
      </c>
    </row>
    <row r="23" spans="1:1" x14ac:dyDescent="0.25">
      <c r="A23" s="3" t="s">
        <v>5224</v>
      </c>
    </row>
    <row r="25" spans="1:1" x14ac:dyDescent="0.25">
      <c r="A25" s="4" t="s">
        <v>5236</v>
      </c>
    </row>
    <row r="26" spans="1:1" x14ac:dyDescent="0.25">
      <c r="A26" s="4" t="s">
        <v>5237</v>
      </c>
    </row>
    <row r="27" spans="1:1" x14ac:dyDescent="0.25">
      <c r="A27" s="4" t="s">
        <v>5238</v>
      </c>
    </row>
  </sheetData>
  <mergeCells count="5">
    <mergeCell ref="A1:P1"/>
    <mergeCell ref="A14:D14"/>
    <mergeCell ref="A5:H5"/>
    <mergeCell ref="A6:P6"/>
    <mergeCell ref="A7:Q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A22D6-FEC3-4094-8CA5-E23E7DAB2AD3}">
  <dimension ref="A1:I49"/>
  <sheetViews>
    <sheetView workbookViewId="0">
      <selection activeCell="B9" sqref="B9"/>
    </sheetView>
  </sheetViews>
  <sheetFormatPr defaultRowHeight="15" x14ac:dyDescent="0.25"/>
  <cols>
    <col min="9" max="9" width="13.5703125" customWidth="1"/>
  </cols>
  <sheetData>
    <row r="1" spans="1:9" x14ac:dyDescent="0.25">
      <c r="A1" s="1" t="s">
        <v>0</v>
      </c>
      <c r="B1" s="1" t="s">
        <v>1</v>
      </c>
      <c r="C1" s="1" t="s">
        <v>2</v>
      </c>
      <c r="D1" s="1" t="s">
        <v>3</v>
      </c>
      <c r="E1" s="1" t="s">
        <v>4</v>
      </c>
      <c r="F1" s="1" t="s">
        <v>5</v>
      </c>
      <c r="G1" s="1" t="s">
        <v>6</v>
      </c>
      <c r="H1" s="1" t="s">
        <v>7</v>
      </c>
      <c r="I1" s="3" t="s">
        <v>5195</v>
      </c>
    </row>
    <row r="2" spans="1:9" x14ac:dyDescent="0.25">
      <c r="A2">
        <v>2024</v>
      </c>
      <c r="B2" t="s">
        <v>8</v>
      </c>
      <c r="C2">
        <v>1</v>
      </c>
      <c r="D2">
        <v>41215.19</v>
      </c>
      <c r="E2">
        <v>39758.93</v>
      </c>
      <c r="F2">
        <v>37613.910000000003</v>
      </c>
      <c r="G2">
        <v>-3601.28</v>
      </c>
      <c r="I2" t="str">
        <f>B2&amp;A2&amp;C2</f>
        <v>Finance20241</v>
      </c>
    </row>
    <row r="3" spans="1:9" x14ac:dyDescent="0.25">
      <c r="A3">
        <v>2024</v>
      </c>
      <c r="B3" t="s">
        <v>8</v>
      </c>
      <c r="C3">
        <v>2</v>
      </c>
      <c r="D3">
        <v>79918.89</v>
      </c>
      <c r="E3">
        <v>84614.59</v>
      </c>
      <c r="F3">
        <v>86720.13</v>
      </c>
      <c r="G3">
        <v>6801.24</v>
      </c>
      <c r="I3" s="4" t="str">
        <f t="shared" ref="I3:I49" si="0">B3&amp;A3&amp;C3</f>
        <v>Finance20242</v>
      </c>
    </row>
    <row r="4" spans="1:9" x14ac:dyDescent="0.25">
      <c r="A4">
        <v>2024</v>
      </c>
      <c r="B4" t="s">
        <v>8</v>
      </c>
      <c r="C4">
        <v>3</v>
      </c>
      <c r="D4">
        <v>92014.18</v>
      </c>
      <c r="E4">
        <v>100763.08</v>
      </c>
      <c r="F4">
        <v>105980.31</v>
      </c>
      <c r="G4">
        <v>13966.13</v>
      </c>
      <c r="I4" s="4" t="str">
        <f t="shared" si="0"/>
        <v>Finance20243</v>
      </c>
    </row>
    <row r="5" spans="1:9" x14ac:dyDescent="0.25">
      <c r="A5">
        <v>2024</v>
      </c>
      <c r="B5" t="s">
        <v>8</v>
      </c>
      <c r="C5">
        <v>4</v>
      </c>
      <c r="D5">
        <v>117680.6</v>
      </c>
      <c r="E5">
        <v>106162.49</v>
      </c>
      <c r="F5">
        <v>96071.26</v>
      </c>
      <c r="G5">
        <v>-21609.34</v>
      </c>
      <c r="I5" s="4" t="str">
        <f t="shared" si="0"/>
        <v>Finance20244</v>
      </c>
    </row>
    <row r="6" spans="1:9" x14ac:dyDescent="0.25">
      <c r="A6">
        <v>2024</v>
      </c>
      <c r="B6" t="s">
        <v>9</v>
      </c>
      <c r="C6">
        <v>1</v>
      </c>
      <c r="D6">
        <v>32925.71</v>
      </c>
      <c r="E6">
        <v>30364.35</v>
      </c>
      <c r="F6">
        <v>30596.03</v>
      </c>
      <c r="G6">
        <v>-2329.6799999999998</v>
      </c>
      <c r="I6" s="4" t="str">
        <f t="shared" si="0"/>
        <v>HR20241</v>
      </c>
    </row>
    <row r="7" spans="1:9" x14ac:dyDescent="0.25">
      <c r="A7">
        <v>2024</v>
      </c>
      <c r="B7" t="s">
        <v>9</v>
      </c>
      <c r="C7">
        <v>2</v>
      </c>
      <c r="D7">
        <v>75074.820000000007</v>
      </c>
      <c r="E7">
        <v>68249.88</v>
      </c>
      <c r="F7">
        <v>68953.81</v>
      </c>
      <c r="G7">
        <v>-6121.01</v>
      </c>
      <c r="I7" s="4" t="str">
        <f t="shared" si="0"/>
        <v>HR20242</v>
      </c>
    </row>
    <row r="8" spans="1:9" x14ac:dyDescent="0.25">
      <c r="A8">
        <v>2024</v>
      </c>
      <c r="B8" t="s">
        <v>9</v>
      </c>
      <c r="C8">
        <v>3</v>
      </c>
      <c r="D8">
        <v>42503.06</v>
      </c>
      <c r="E8">
        <v>44444.3</v>
      </c>
      <c r="F8">
        <v>42652.11</v>
      </c>
      <c r="G8">
        <v>149.05000000000001</v>
      </c>
      <c r="I8" s="4" t="str">
        <f t="shared" si="0"/>
        <v>HR20243</v>
      </c>
    </row>
    <row r="9" spans="1:9" x14ac:dyDescent="0.25">
      <c r="A9">
        <v>2024</v>
      </c>
      <c r="B9" t="s">
        <v>9</v>
      </c>
      <c r="C9">
        <v>4</v>
      </c>
      <c r="D9">
        <v>31047.85</v>
      </c>
      <c r="E9">
        <v>32495.4</v>
      </c>
      <c r="F9">
        <v>33408.69</v>
      </c>
      <c r="G9">
        <v>2360.84</v>
      </c>
      <c r="I9" s="4" t="str">
        <f t="shared" si="0"/>
        <v>HR20244</v>
      </c>
    </row>
    <row r="10" spans="1:9" x14ac:dyDescent="0.25">
      <c r="A10">
        <v>2024</v>
      </c>
      <c r="B10" t="s">
        <v>10</v>
      </c>
      <c r="C10">
        <v>1</v>
      </c>
      <c r="D10">
        <v>26040.63</v>
      </c>
      <c r="E10">
        <v>24585.53</v>
      </c>
      <c r="F10">
        <v>22752.02</v>
      </c>
      <c r="G10">
        <v>-3288.61</v>
      </c>
      <c r="I10" s="4" t="str">
        <f t="shared" si="0"/>
        <v>IT20241</v>
      </c>
    </row>
    <row r="11" spans="1:9" x14ac:dyDescent="0.25">
      <c r="A11">
        <v>2024</v>
      </c>
      <c r="B11" t="s">
        <v>10</v>
      </c>
      <c r="C11">
        <v>2</v>
      </c>
      <c r="D11">
        <v>125902.24</v>
      </c>
      <c r="E11">
        <v>121557.94</v>
      </c>
      <c r="F11">
        <v>119490.08</v>
      </c>
      <c r="G11">
        <v>-6412.16</v>
      </c>
      <c r="I11" s="4" t="str">
        <f t="shared" si="0"/>
        <v>IT20242</v>
      </c>
    </row>
    <row r="12" spans="1:9" x14ac:dyDescent="0.25">
      <c r="A12">
        <v>2024</v>
      </c>
      <c r="B12" t="s">
        <v>10</v>
      </c>
      <c r="C12">
        <v>3</v>
      </c>
      <c r="D12">
        <v>100055.73</v>
      </c>
      <c r="E12">
        <v>92809.65</v>
      </c>
      <c r="F12">
        <v>94502.07</v>
      </c>
      <c r="G12">
        <v>-5553.66</v>
      </c>
      <c r="I12" s="4" t="str">
        <f t="shared" si="0"/>
        <v>IT20243</v>
      </c>
    </row>
    <row r="13" spans="1:9" x14ac:dyDescent="0.25">
      <c r="A13">
        <v>2024</v>
      </c>
      <c r="B13" t="s">
        <v>10</v>
      </c>
      <c r="C13">
        <v>4</v>
      </c>
      <c r="D13">
        <v>72786.960000000006</v>
      </c>
      <c r="E13">
        <v>70901.78</v>
      </c>
      <c r="F13">
        <v>72262.039999999994</v>
      </c>
      <c r="G13">
        <v>-524.91999999999996</v>
      </c>
      <c r="I13" s="4" t="str">
        <f t="shared" si="0"/>
        <v>IT20244</v>
      </c>
    </row>
    <row r="14" spans="1:9" x14ac:dyDescent="0.25">
      <c r="A14">
        <v>2024</v>
      </c>
      <c r="B14" t="s">
        <v>11</v>
      </c>
      <c r="C14">
        <v>1</v>
      </c>
      <c r="D14">
        <v>93664.65</v>
      </c>
      <c r="E14">
        <v>99038.18</v>
      </c>
      <c r="F14">
        <v>105900.34</v>
      </c>
      <c r="G14">
        <v>12235.69</v>
      </c>
      <c r="I14" s="4" t="str">
        <f t="shared" si="0"/>
        <v>Sales20241</v>
      </c>
    </row>
    <row r="15" spans="1:9" x14ac:dyDescent="0.25">
      <c r="A15">
        <v>2024</v>
      </c>
      <c r="B15" t="s">
        <v>11</v>
      </c>
      <c r="C15">
        <v>2</v>
      </c>
      <c r="D15">
        <v>115140.75</v>
      </c>
      <c r="E15">
        <v>115151.74</v>
      </c>
      <c r="F15">
        <v>124609.39</v>
      </c>
      <c r="G15">
        <v>9468.64</v>
      </c>
      <c r="I15" s="4" t="str">
        <f t="shared" si="0"/>
        <v>Sales20242</v>
      </c>
    </row>
    <row r="16" spans="1:9" x14ac:dyDescent="0.25">
      <c r="A16">
        <v>2024</v>
      </c>
      <c r="B16" t="s">
        <v>11</v>
      </c>
      <c r="C16">
        <v>3</v>
      </c>
      <c r="D16">
        <v>73898.42</v>
      </c>
      <c r="E16">
        <v>73799.149999999994</v>
      </c>
      <c r="F16">
        <v>78992.61</v>
      </c>
      <c r="G16">
        <v>5094.1899999999996</v>
      </c>
      <c r="I16" s="4" t="str">
        <f t="shared" si="0"/>
        <v>Sales20243</v>
      </c>
    </row>
    <row r="17" spans="1:9" x14ac:dyDescent="0.25">
      <c r="A17">
        <v>2024</v>
      </c>
      <c r="B17" t="s">
        <v>11</v>
      </c>
      <c r="C17">
        <v>4</v>
      </c>
      <c r="D17">
        <v>46637.67</v>
      </c>
      <c r="E17">
        <v>49635.65</v>
      </c>
      <c r="F17">
        <v>46802.25</v>
      </c>
      <c r="G17">
        <v>164.58</v>
      </c>
      <c r="I17" s="4" t="str">
        <f t="shared" si="0"/>
        <v>Sales20244</v>
      </c>
    </row>
    <row r="18" spans="1:9" x14ac:dyDescent="0.25">
      <c r="A18">
        <v>2024</v>
      </c>
      <c r="B18" t="s">
        <v>12</v>
      </c>
      <c r="C18">
        <v>1</v>
      </c>
      <c r="D18">
        <v>44332.15</v>
      </c>
      <c r="E18">
        <v>41613.82</v>
      </c>
      <c r="F18">
        <v>38572.49</v>
      </c>
      <c r="G18">
        <v>-5759.66</v>
      </c>
      <c r="I18" s="4" t="str">
        <f t="shared" si="0"/>
        <v>Marketing20241</v>
      </c>
    </row>
    <row r="19" spans="1:9" x14ac:dyDescent="0.25">
      <c r="A19">
        <v>2024</v>
      </c>
      <c r="B19" t="s">
        <v>12</v>
      </c>
      <c r="C19">
        <v>2</v>
      </c>
      <c r="D19">
        <v>112743.3</v>
      </c>
      <c r="E19">
        <v>119526.72</v>
      </c>
      <c r="F19">
        <v>125960.5</v>
      </c>
      <c r="G19">
        <v>13217.2</v>
      </c>
      <c r="I19" s="4" t="str">
        <f t="shared" si="0"/>
        <v>Marketing20242</v>
      </c>
    </row>
    <row r="20" spans="1:9" x14ac:dyDescent="0.25">
      <c r="A20">
        <v>2024</v>
      </c>
      <c r="B20" t="s">
        <v>12</v>
      </c>
      <c r="C20">
        <v>3</v>
      </c>
      <c r="D20">
        <v>141475.81</v>
      </c>
      <c r="E20">
        <v>133345.42000000001</v>
      </c>
      <c r="F20">
        <v>140285.03</v>
      </c>
      <c r="G20">
        <v>-1190.78</v>
      </c>
      <c r="I20" s="4" t="str">
        <f t="shared" si="0"/>
        <v>Marketing20243</v>
      </c>
    </row>
    <row r="21" spans="1:9" x14ac:dyDescent="0.25">
      <c r="A21">
        <v>2024</v>
      </c>
      <c r="B21" t="s">
        <v>12</v>
      </c>
      <c r="C21">
        <v>4</v>
      </c>
      <c r="D21">
        <v>102519.44</v>
      </c>
      <c r="E21">
        <v>107453.3</v>
      </c>
      <c r="F21">
        <v>115251.53</v>
      </c>
      <c r="G21">
        <v>12732.09</v>
      </c>
      <c r="I21" s="4" t="str">
        <f t="shared" si="0"/>
        <v>Marketing20244</v>
      </c>
    </row>
    <row r="22" spans="1:9" x14ac:dyDescent="0.25">
      <c r="A22">
        <v>2024</v>
      </c>
      <c r="B22" t="s">
        <v>13</v>
      </c>
      <c r="C22">
        <v>1</v>
      </c>
      <c r="D22">
        <v>100318.84</v>
      </c>
      <c r="E22">
        <v>99411.77</v>
      </c>
      <c r="F22">
        <v>102349.27</v>
      </c>
      <c r="G22">
        <v>2030.43</v>
      </c>
      <c r="I22" s="4" t="str">
        <f t="shared" si="0"/>
        <v>Operations20241</v>
      </c>
    </row>
    <row r="23" spans="1:9" x14ac:dyDescent="0.25">
      <c r="A23">
        <v>2024</v>
      </c>
      <c r="B23" t="s">
        <v>13</v>
      </c>
      <c r="C23">
        <v>2</v>
      </c>
      <c r="D23">
        <v>51361.43</v>
      </c>
      <c r="E23">
        <v>49600.67</v>
      </c>
      <c r="F23">
        <v>50515.69</v>
      </c>
      <c r="G23">
        <v>-845.74</v>
      </c>
      <c r="I23" s="4" t="str">
        <f t="shared" si="0"/>
        <v>Operations20242</v>
      </c>
    </row>
    <row r="24" spans="1:9" x14ac:dyDescent="0.25">
      <c r="A24">
        <v>2024</v>
      </c>
      <c r="B24" t="s">
        <v>13</v>
      </c>
      <c r="C24">
        <v>3</v>
      </c>
      <c r="D24">
        <v>29263.69</v>
      </c>
      <c r="E24">
        <v>28094.51</v>
      </c>
      <c r="F24">
        <v>28496.35</v>
      </c>
      <c r="G24">
        <v>-767.34</v>
      </c>
      <c r="I24" s="4" t="str">
        <f t="shared" si="0"/>
        <v>Operations20243</v>
      </c>
    </row>
    <row r="25" spans="1:9" x14ac:dyDescent="0.25">
      <c r="A25">
        <v>2024</v>
      </c>
      <c r="B25" t="s">
        <v>13</v>
      </c>
      <c r="C25">
        <v>4</v>
      </c>
      <c r="D25">
        <v>146937.60999999999</v>
      </c>
      <c r="E25">
        <v>139057.76</v>
      </c>
      <c r="F25">
        <v>147123.70000000001</v>
      </c>
      <c r="G25">
        <v>186.09</v>
      </c>
      <c r="I25" s="4" t="str">
        <f t="shared" si="0"/>
        <v>Operations20244</v>
      </c>
    </row>
    <row r="26" spans="1:9" x14ac:dyDescent="0.25">
      <c r="A26">
        <v>2025</v>
      </c>
      <c r="B26" t="s">
        <v>8</v>
      </c>
      <c r="C26">
        <v>1</v>
      </c>
      <c r="D26">
        <v>70700.52</v>
      </c>
      <c r="E26">
        <v>71487.460000000006</v>
      </c>
      <c r="F26">
        <v>70006.17</v>
      </c>
      <c r="G26">
        <v>-694.35</v>
      </c>
      <c r="I26" s="4" t="str">
        <f t="shared" si="0"/>
        <v>Finance20251</v>
      </c>
    </row>
    <row r="27" spans="1:9" x14ac:dyDescent="0.25">
      <c r="A27">
        <v>2025</v>
      </c>
      <c r="B27" t="s">
        <v>8</v>
      </c>
      <c r="C27">
        <v>2</v>
      </c>
      <c r="D27">
        <v>61495.92</v>
      </c>
      <c r="E27">
        <v>56931.54</v>
      </c>
      <c r="F27">
        <v>61359.25</v>
      </c>
      <c r="G27">
        <v>-136.66999999999999</v>
      </c>
      <c r="I27" s="4" t="str">
        <f t="shared" si="0"/>
        <v>Finance20252</v>
      </c>
    </row>
    <row r="28" spans="1:9" x14ac:dyDescent="0.25">
      <c r="A28">
        <v>2025</v>
      </c>
      <c r="B28" t="s">
        <v>8</v>
      </c>
      <c r="C28">
        <v>3</v>
      </c>
      <c r="D28">
        <v>55254.78</v>
      </c>
      <c r="E28">
        <v>57681.72</v>
      </c>
      <c r="F28">
        <v>57575</v>
      </c>
      <c r="G28">
        <v>2320.2199999999998</v>
      </c>
      <c r="I28" s="4" t="str">
        <f t="shared" si="0"/>
        <v>Finance20253</v>
      </c>
    </row>
    <row r="29" spans="1:9" x14ac:dyDescent="0.25">
      <c r="A29">
        <v>2025</v>
      </c>
      <c r="B29" t="s">
        <v>8</v>
      </c>
      <c r="C29">
        <v>4</v>
      </c>
      <c r="D29">
        <v>124523.7</v>
      </c>
      <c r="E29">
        <v>112740.47</v>
      </c>
      <c r="F29">
        <v>118711.72</v>
      </c>
      <c r="G29">
        <v>-5811.98</v>
      </c>
      <c r="I29" s="4" t="str">
        <f t="shared" si="0"/>
        <v>Finance20254</v>
      </c>
    </row>
    <row r="30" spans="1:9" x14ac:dyDescent="0.25">
      <c r="A30">
        <v>2025</v>
      </c>
      <c r="B30" t="s">
        <v>9</v>
      </c>
      <c r="C30">
        <v>1</v>
      </c>
      <c r="D30">
        <v>81015.75</v>
      </c>
      <c r="E30">
        <v>81988.100000000006</v>
      </c>
      <c r="F30">
        <v>86451.22</v>
      </c>
      <c r="G30">
        <v>5435.47</v>
      </c>
      <c r="I30" s="4" t="str">
        <f t="shared" si="0"/>
        <v>HR20251</v>
      </c>
    </row>
    <row r="31" spans="1:9" x14ac:dyDescent="0.25">
      <c r="A31">
        <v>2025</v>
      </c>
      <c r="B31" t="s">
        <v>9</v>
      </c>
      <c r="C31">
        <v>2</v>
      </c>
      <c r="D31">
        <v>55099.41</v>
      </c>
      <c r="E31">
        <v>51780.92</v>
      </c>
      <c r="F31">
        <v>56227.09</v>
      </c>
      <c r="G31">
        <v>1127.68</v>
      </c>
      <c r="I31" s="4" t="str">
        <f t="shared" si="0"/>
        <v>HR20252</v>
      </c>
    </row>
    <row r="32" spans="1:9" x14ac:dyDescent="0.25">
      <c r="A32">
        <v>2025</v>
      </c>
      <c r="B32" t="s">
        <v>9</v>
      </c>
      <c r="C32">
        <v>3</v>
      </c>
      <c r="D32">
        <v>120462.05</v>
      </c>
      <c r="E32">
        <v>127306.15</v>
      </c>
      <c r="F32">
        <v>128022.17</v>
      </c>
      <c r="G32">
        <v>7560.12</v>
      </c>
      <c r="I32" s="4" t="str">
        <f t="shared" si="0"/>
        <v>HR20253</v>
      </c>
    </row>
    <row r="33" spans="1:9" x14ac:dyDescent="0.25">
      <c r="A33">
        <v>2025</v>
      </c>
      <c r="B33" t="s">
        <v>9</v>
      </c>
      <c r="C33">
        <v>4</v>
      </c>
      <c r="D33">
        <v>90267.18</v>
      </c>
      <c r="E33">
        <v>85027.32</v>
      </c>
      <c r="F33">
        <v>88147.9</v>
      </c>
      <c r="G33">
        <v>-2119.2800000000002</v>
      </c>
      <c r="I33" s="4" t="str">
        <f t="shared" si="0"/>
        <v>HR20254</v>
      </c>
    </row>
    <row r="34" spans="1:9" x14ac:dyDescent="0.25">
      <c r="A34">
        <v>2025</v>
      </c>
      <c r="B34" t="s">
        <v>10</v>
      </c>
      <c r="C34">
        <v>1</v>
      </c>
      <c r="D34">
        <v>116604.87</v>
      </c>
      <c r="E34">
        <v>125973.73</v>
      </c>
      <c r="F34">
        <v>128463.24</v>
      </c>
      <c r="G34">
        <v>11858.37</v>
      </c>
      <c r="I34" s="4" t="str">
        <f t="shared" si="0"/>
        <v>IT20251</v>
      </c>
    </row>
    <row r="35" spans="1:9" x14ac:dyDescent="0.25">
      <c r="A35">
        <v>2025</v>
      </c>
      <c r="B35" t="s">
        <v>10</v>
      </c>
      <c r="C35">
        <v>2</v>
      </c>
      <c r="D35">
        <v>48595.51</v>
      </c>
      <c r="E35">
        <v>43972.66</v>
      </c>
      <c r="F35">
        <v>42981.29</v>
      </c>
      <c r="G35">
        <v>-5614.22</v>
      </c>
      <c r="I35" s="4" t="str">
        <f t="shared" si="0"/>
        <v>IT20252</v>
      </c>
    </row>
    <row r="36" spans="1:9" x14ac:dyDescent="0.25">
      <c r="A36">
        <v>2025</v>
      </c>
      <c r="B36" t="s">
        <v>10</v>
      </c>
      <c r="C36">
        <v>3</v>
      </c>
      <c r="D36">
        <v>28599.200000000001</v>
      </c>
      <c r="E36">
        <v>28718.48</v>
      </c>
      <c r="F36">
        <v>30923.94</v>
      </c>
      <c r="G36">
        <v>2324.7399999999998</v>
      </c>
      <c r="I36" s="4" t="str">
        <f t="shared" si="0"/>
        <v>IT20253</v>
      </c>
    </row>
    <row r="37" spans="1:9" x14ac:dyDescent="0.25">
      <c r="A37">
        <v>2025</v>
      </c>
      <c r="B37" t="s">
        <v>10</v>
      </c>
      <c r="C37">
        <v>4</v>
      </c>
      <c r="D37">
        <v>42077.120000000003</v>
      </c>
      <c r="E37">
        <v>39403.9</v>
      </c>
      <c r="F37">
        <v>39330.25</v>
      </c>
      <c r="G37">
        <v>-2746.87</v>
      </c>
      <c r="I37" s="4" t="str">
        <f t="shared" si="0"/>
        <v>IT20254</v>
      </c>
    </row>
    <row r="38" spans="1:9" x14ac:dyDescent="0.25">
      <c r="A38">
        <v>2025</v>
      </c>
      <c r="B38" t="s">
        <v>11</v>
      </c>
      <c r="C38">
        <v>1</v>
      </c>
      <c r="D38">
        <v>89482.9</v>
      </c>
      <c r="E38">
        <v>97911.07</v>
      </c>
      <c r="F38">
        <v>98559.24</v>
      </c>
      <c r="G38">
        <v>9076.34</v>
      </c>
      <c r="I38" s="4" t="str">
        <f t="shared" si="0"/>
        <v>Sales20251</v>
      </c>
    </row>
    <row r="39" spans="1:9" x14ac:dyDescent="0.25">
      <c r="A39">
        <v>2025</v>
      </c>
      <c r="B39" t="s">
        <v>11</v>
      </c>
      <c r="C39">
        <v>2</v>
      </c>
      <c r="D39">
        <v>66730.62</v>
      </c>
      <c r="E39">
        <v>63717.279999999999</v>
      </c>
      <c r="F39">
        <v>67871.69</v>
      </c>
      <c r="G39">
        <v>1141.07</v>
      </c>
      <c r="I39" s="4" t="str">
        <f t="shared" si="0"/>
        <v>Sales20252</v>
      </c>
    </row>
    <row r="40" spans="1:9" x14ac:dyDescent="0.25">
      <c r="A40">
        <v>2025</v>
      </c>
      <c r="B40" t="s">
        <v>11</v>
      </c>
      <c r="C40">
        <v>3</v>
      </c>
      <c r="D40">
        <v>127969.04</v>
      </c>
      <c r="E40">
        <v>117894.18</v>
      </c>
      <c r="F40">
        <v>115938.14</v>
      </c>
      <c r="G40">
        <v>-12030.9</v>
      </c>
      <c r="I40" s="4" t="str">
        <f t="shared" si="0"/>
        <v>Sales20253</v>
      </c>
    </row>
    <row r="41" spans="1:9" x14ac:dyDescent="0.25">
      <c r="A41">
        <v>2025</v>
      </c>
      <c r="B41" t="s">
        <v>11</v>
      </c>
      <c r="C41">
        <v>4</v>
      </c>
      <c r="D41">
        <v>98859.83</v>
      </c>
      <c r="E41">
        <v>100730.21</v>
      </c>
      <c r="F41">
        <v>97863.73</v>
      </c>
      <c r="G41">
        <v>-996.1</v>
      </c>
      <c r="I41" s="4" t="str">
        <f t="shared" si="0"/>
        <v>Sales20254</v>
      </c>
    </row>
    <row r="42" spans="1:9" x14ac:dyDescent="0.25">
      <c r="A42">
        <v>2025</v>
      </c>
      <c r="B42" t="s">
        <v>12</v>
      </c>
      <c r="C42">
        <v>1</v>
      </c>
      <c r="D42">
        <v>75571.7</v>
      </c>
      <c r="E42">
        <v>80720.77</v>
      </c>
      <c r="F42">
        <v>86587.65</v>
      </c>
      <c r="G42">
        <v>11015.95</v>
      </c>
      <c r="I42" s="4" t="str">
        <f t="shared" si="0"/>
        <v>Marketing20251</v>
      </c>
    </row>
    <row r="43" spans="1:9" x14ac:dyDescent="0.25">
      <c r="A43">
        <v>2025</v>
      </c>
      <c r="B43" t="s">
        <v>12</v>
      </c>
      <c r="C43">
        <v>2</v>
      </c>
      <c r="D43">
        <v>130984.44</v>
      </c>
      <c r="E43">
        <v>142175.37</v>
      </c>
      <c r="F43">
        <v>145492.07</v>
      </c>
      <c r="G43">
        <v>14507.63</v>
      </c>
      <c r="I43" s="4" t="str">
        <f t="shared" si="0"/>
        <v>Marketing20252</v>
      </c>
    </row>
    <row r="44" spans="1:9" x14ac:dyDescent="0.25">
      <c r="A44">
        <v>2025</v>
      </c>
      <c r="B44" t="s">
        <v>12</v>
      </c>
      <c r="C44">
        <v>3</v>
      </c>
      <c r="D44">
        <v>89085.04</v>
      </c>
      <c r="E44">
        <v>89296.12</v>
      </c>
      <c r="F44">
        <v>88359.56</v>
      </c>
      <c r="G44">
        <v>-725.48</v>
      </c>
      <c r="I44" s="4" t="str">
        <f t="shared" si="0"/>
        <v>Marketing20253</v>
      </c>
    </row>
    <row r="45" spans="1:9" x14ac:dyDescent="0.25">
      <c r="A45">
        <v>2025</v>
      </c>
      <c r="B45" t="s">
        <v>12</v>
      </c>
      <c r="C45">
        <v>4</v>
      </c>
      <c r="D45">
        <v>116081.08</v>
      </c>
      <c r="E45">
        <v>119772.47</v>
      </c>
      <c r="F45">
        <v>112381.38</v>
      </c>
      <c r="G45">
        <v>-3699.7</v>
      </c>
      <c r="I45" s="4" t="str">
        <f t="shared" si="0"/>
        <v>Marketing20254</v>
      </c>
    </row>
    <row r="46" spans="1:9" x14ac:dyDescent="0.25">
      <c r="A46">
        <v>2025</v>
      </c>
      <c r="B46" t="s">
        <v>13</v>
      </c>
      <c r="C46">
        <v>1</v>
      </c>
      <c r="D46">
        <v>64640.45</v>
      </c>
      <c r="E46">
        <v>70051.16</v>
      </c>
      <c r="F46">
        <v>66350.81</v>
      </c>
      <c r="G46">
        <v>1710.36</v>
      </c>
      <c r="I46" s="4" t="str">
        <f t="shared" si="0"/>
        <v>Operations20251</v>
      </c>
    </row>
    <row r="47" spans="1:9" x14ac:dyDescent="0.25">
      <c r="A47">
        <v>2025</v>
      </c>
      <c r="B47" t="s">
        <v>13</v>
      </c>
      <c r="C47">
        <v>2</v>
      </c>
      <c r="D47">
        <v>21211.21</v>
      </c>
      <c r="E47">
        <v>22362.69</v>
      </c>
      <c r="F47">
        <v>22368.41</v>
      </c>
      <c r="G47">
        <v>1157.2</v>
      </c>
      <c r="I47" s="4" t="str">
        <f t="shared" si="0"/>
        <v>Operations20252</v>
      </c>
    </row>
    <row r="48" spans="1:9" x14ac:dyDescent="0.25">
      <c r="A48">
        <v>2025</v>
      </c>
      <c r="B48" t="s">
        <v>13</v>
      </c>
      <c r="C48">
        <v>3</v>
      </c>
      <c r="D48">
        <v>37532.769999999997</v>
      </c>
      <c r="E48">
        <v>38564.660000000003</v>
      </c>
      <c r="F48">
        <v>37139</v>
      </c>
      <c r="G48">
        <v>-393.77</v>
      </c>
      <c r="I48" s="4" t="str">
        <f t="shared" si="0"/>
        <v>Operations20253</v>
      </c>
    </row>
    <row r="49" spans="1:9" x14ac:dyDescent="0.25">
      <c r="A49">
        <v>2025</v>
      </c>
      <c r="B49" t="s">
        <v>13</v>
      </c>
      <c r="C49">
        <v>4</v>
      </c>
      <c r="D49">
        <v>28580.31</v>
      </c>
      <c r="E49">
        <v>29613.63</v>
      </c>
      <c r="F49">
        <v>28551.84</v>
      </c>
      <c r="G49">
        <v>-28.47</v>
      </c>
      <c r="I49" s="4" t="str">
        <f t="shared" si="0"/>
        <v>Operations20254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A80EB-620B-4553-9FE7-C8B73A763121}">
  <dimension ref="A1:O2001"/>
  <sheetViews>
    <sheetView workbookViewId="0">
      <selection activeCell="A2" sqref="A2"/>
    </sheetView>
  </sheetViews>
  <sheetFormatPr defaultRowHeight="15" x14ac:dyDescent="0.25"/>
  <cols>
    <col min="2" max="2" width="10.42578125" bestFit="1" customWidth="1"/>
    <col min="10" max="10" width="9" customWidth="1"/>
    <col min="11" max="11" width="11.5703125" customWidth="1"/>
    <col min="12" max="12" width="10.42578125" customWidth="1"/>
    <col min="13" max="13" width="10.85546875" customWidth="1"/>
  </cols>
  <sheetData>
    <row r="1" spans="1:15" x14ac:dyDescent="0.25">
      <c r="A1" s="1" t="s">
        <v>14</v>
      </c>
      <c r="B1" s="1" t="s">
        <v>15</v>
      </c>
      <c r="C1" s="1" t="s">
        <v>16</v>
      </c>
      <c r="D1" s="1" t="s">
        <v>17</v>
      </c>
      <c r="E1" s="1" t="s">
        <v>18</v>
      </c>
      <c r="F1" s="1" t="s">
        <v>19</v>
      </c>
      <c r="G1" s="1" t="s">
        <v>1</v>
      </c>
      <c r="H1" s="1" t="s">
        <v>20</v>
      </c>
      <c r="I1" s="1" t="s">
        <v>21</v>
      </c>
      <c r="J1" s="1" t="s">
        <v>22</v>
      </c>
      <c r="K1" s="3" t="s">
        <v>5184</v>
      </c>
      <c r="L1" s="3" t="s">
        <v>5185</v>
      </c>
      <c r="M1" s="3" t="s">
        <v>5186</v>
      </c>
      <c r="N1" s="3" t="s">
        <v>5187</v>
      </c>
      <c r="O1" s="3" t="s">
        <v>2</v>
      </c>
    </row>
    <row r="2" spans="1:15" x14ac:dyDescent="0.25">
      <c r="A2" t="s">
        <v>23</v>
      </c>
      <c r="B2" s="2">
        <v>45417</v>
      </c>
      <c r="C2" t="s">
        <v>24</v>
      </c>
      <c r="D2" t="s">
        <v>25</v>
      </c>
      <c r="E2">
        <v>0</v>
      </c>
      <c r="F2">
        <v>2505.15</v>
      </c>
      <c r="G2" t="s">
        <v>11</v>
      </c>
      <c r="H2" t="s">
        <v>26</v>
      </c>
      <c r="I2" t="s">
        <v>27</v>
      </c>
      <c r="J2" t="s">
        <v>28</v>
      </c>
      <c r="K2">
        <f>VLOOKUP(J2,Exchange_Rates!A:B,2,FALSE)</f>
        <v>1.27</v>
      </c>
      <c r="L2">
        <f>E2*K2</f>
        <v>0</v>
      </c>
      <c r="M2">
        <f>F2*K2</f>
        <v>3181.5405000000001</v>
      </c>
      <c r="N2">
        <f>YEAR(B2)</f>
        <v>2024</v>
      </c>
      <c r="O2">
        <f>ROUNDUP(MONTH(B2)/3,0)</f>
        <v>2</v>
      </c>
    </row>
    <row r="3" spans="1:15" x14ac:dyDescent="0.25">
      <c r="A3" t="s">
        <v>29</v>
      </c>
      <c r="B3" s="2">
        <v>45466</v>
      </c>
      <c r="C3" t="s">
        <v>30</v>
      </c>
      <c r="D3" t="s">
        <v>31</v>
      </c>
      <c r="E3">
        <v>1184.73</v>
      </c>
      <c r="F3">
        <v>0</v>
      </c>
      <c r="G3" t="s">
        <v>9</v>
      </c>
      <c r="H3" t="s">
        <v>26</v>
      </c>
      <c r="I3" t="s">
        <v>32</v>
      </c>
      <c r="J3" t="s">
        <v>28</v>
      </c>
      <c r="K3" s="4">
        <f>VLOOKUP(J3,Exchange_Rates!A:B,2,FALSE)</f>
        <v>1.27</v>
      </c>
      <c r="L3" s="4">
        <f t="shared" ref="L3:L66" si="0">E3*K3</f>
        <v>1504.6070999999999</v>
      </c>
      <c r="M3" s="4">
        <f t="shared" ref="M3:M66" si="1">F3*K3</f>
        <v>0</v>
      </c>
      <c r="N3" s="4">
        <f t="shared" ref="N3:N66" si="2">YEAR(B3)</f>
        <v>2024</v>
      </c>
      <c r="O3" s="4">
        <f t="shared" ref="O3:O66" si="3">ROUNDUP(MONTH(B3)/3,0)</f>
        <v>2</v>
      </c>
    </row>
    <row r="4" spans="1:15" x14ac:dyDescent="0.25">
      <c r="A4" t="s">
        <v>33</v>
      </c>
      <c r="B4" s="2">
        <v>45666</v>
      </c>
      <c r="C4" t="s">
        <v>30</v>
      </c>
      <c r="D4" t="s">
        <v>31</v>
      </c>
      <c r="E4">
        <v>748.25</v>
      </c>
      <c r="F4">
        <v>0</v>
      </c>
      <c r="G4" t="s">
        <v>10</v>
      </c>
      <c r="H4" t="s">
        <v>34</v>
      </c>
      <c r="I4" t="s">
        <v>35</v>
      </c>
      <c r="J4" t="s">
        <v>36</v>
      </c>
      <c r="K4" s="4">
        <f>VLOOKUP(J4,Exchange_Rates!A:B,2,FALSE)</f>
        <v>1.08</v>
      </c>
      <c r="L4" s="4">
        <f t="shared" si="0"/>
        <v>808.11</v>
      </c>
      <c r="M4" s="4">
        <f t="shared" si="1"/>
        <v>0</v>
      </c>
      <c r="N4" s="4">
        <f t="shared" si="2"/>
        <v>2025</v>
      </c>
      <c r="O4" s="4">
        <f t="shared" si="3"/>
        <v>1</v>
      </c>
    </row>
    <row r="5" spans="1:15" x14ac:dyDescent="0.25">
      <c r="A5" t="s">
        <v>37</v>
      </c>
      <c r="B5" s="2">
        <v>45199</v>
      </c>
      <c r="C5" t="s">
        <v>38</v>
      </c>
      <c r="D5" t="s">
        <v>39</v>
      </c>
      <c r="E5">
        <v>1610.64</v>
      </c>
      <c r="F5">
        <v>0</v>
      </c>
      <c r="G5" t="s">
        <v>11</v>
      </c>
      <c r="H5" t="s">
        <v>40</v>
      </c>
      <c r="I5" t="s">
        <v>41</v>
      </c>
      <c r="J5" t="s">
        <v>42</v>
      </c>
      <c r="K5" s="4">
        <f>VLOOKUP(J5,Exchange_Rates!A:B,2,FALSE)</f>
        <v>0.66</v>
      </c>
      <c r="L5" s="4">
        <f t="shared" si="0"/>
        <v>1063.0224000000001</v>
      </c>
      <c r="M5" s="4">
        <f t="shared" si="1"/>
        <v>0</v>
      </c>
      <c r="N5" s="4">
        <f t="shared" si="2"/>
        <v>2023</v>
      </c>
      <c r="O5" s="4">
        <f t="shared" si="3"/>
        <v>3</v>
      </c>
    </row>
    <row r="6" spans="1:15" x14ac:dyDescent="0.25">
      <c r="A6" t="s">
        <v>43</v>
      </c>
      <c r="B6" s="2">
        <v>45141</v>
      </c>
      <c r="C6" t="s">
        <v>30</v>
      </c>
      <c r="D6" t="s">
        <v>31</v>
      </c>
      <c r="E6">
        <v>1053.1199999999999</v>
      </c>
      <c r="F6">
        <v>0</v>
      </c>
      <c r="G6" t="s">
        <v>9</v>
      </c>
      <c r="H6" t="s">
        <v>40</v>
      </c>
      <c r="I6" t="s">
        <v>44</v>
      </c>
      <c r="J6" t="s">
        <v>45</v>
      </c>
      <c r="K6" s="4">
        <f>VLOOKUP(J6,Exchange_Rates!A:B,2,FALSE)</f>
        <v>1</v>
      </c>
      <c r="L6" s="4">
        <f t="shared" si="0"/>
        <v>1053.1199999999999</v>
      </c>
      <c r="M6" s="4">
        <f t="shared" si="1"/>
        <v>0</v>
      </c>
      <c r="N6" s="4">
        <f t="shared" si="2"/>
        <v>2023</v>
      </c>
      <c r="O6" s="4">
        <f t="shared" si="3"/>
        <v>3</v>
      </c>
    </row>
    <row r="7" spans="1:15" x14ac:dyDescent="0.25">
      <c r="A7" t="s">
        <v>46</v>
      </c>
      <c r="B7" s="2">
        <v>45788</v>
      </c>
      <c r="C7" t="s">
        <v>38</v>
      </c>
      <c r="D7" t="s">
        <v>39</v>
      </c>
      <c r="E7">
        <v>1653.64</v>
      </c>
      <c r="F7">
        <v>0</v>
      </c>
      <c r="G7" t="s">
        <v>12</v>
      </c>
      <c r="H7" t="s">
        <v>40</v>
      </c>
      <c r="I7" t="s">
        <v>47</v>
      </c>
      <c r="J7" t="s">
        <v>45</v>
      </c>
      <c r="K7" s="4">
        <f>VLOOKUP(J7,Exchange_Rates!A:B,2,FALSE)</f>
        <v>1</v>
      </c>
      <c r="L7" s="4">
        <f t="shared" si="0"/>
        <v>1653.64</v>
      </c>
      <c r="M7" s="4">
        <f t="shared" si="1"/>
        <v>0</v>
      </c>
      <c r="N7" s="4">
        <f t="shared" si="2"/>
        <v>2025</v>
      </c>
      <c r="O7" s="4">
        <f t="shared" si="3"/>
        <v>2</v>
      </c>
    </row>
    <row r="8" spans="1:15" x14ac:dyDescent="0.25">
      <c r="A8" t="s">
        <v>48</v>
      </c>
      <c r="B8" s="2">
        <v>45142</v>
      </c>
      <c r="C8" t="s">
        <v>49</v>
      </c>
      <c r="D8" t="s">
        <v>50</v>
      </c>
      <c r="E8">
        <v>899.55</v>
      </c>
      <c r="F8">
        <v>0</v>
      </c>
      <c r="G8" t="s">
        <v>9</v>
      </c>
      <c r="H8" t="s">
        <v>51</v>
      </c>
      <c r="I8" t="s">
        <v>52</v>
      </c>
      <c r="J8" t="s">
        <v>45</v>
      </c>
      <c r="K8" s="4">
        <f>VLOOKUP(J8,Exchange_Rates!A:B,2,FALSE)</f>
        <v>1</v>
      </c>
      <c r="L8" s="4">
        <f t="shared" si="0"/>
        <v>899.55</v>
      </c>
      <c r="M8" s="4">
        <f t="shared" si="1"/>
        <v>0</v>
      </c>
      <c r="N8" s="4">
        <f t="shared" si="2"/>
        <v>2023</v>
      </c>
      <c r="O8" s="4">
        <f t="shared" si="3"/>
        <v>3</v>
      </c>
    </row>
    <row r="9" spans="1:15" x14ac:dyDescent="0.25">
      <c r="A9" t="s">
        <v>53</v>
      </c>
      <c r="B9" s="2">
        <v>45282</v>
      </c>
      <c r="C9" t="s">
        <v>38</v>
      </c>
      <c r="D9" t="s">
        <v>39</v>
      </c>
      <c r="E9">
        <v>247.27</v>
      </c>
      <c r="F9">
        <v>0</v>
      </c>
      <c r="G9" t="s">
        <v>12</v>
      </c>
      <c r="H9" t="s">
        <v>26</v>
      </c>
      <c r="I9" t="s">
        <v>54</v>
      </c>
      <c r="J9" t="s">
        <v>45</v>
      </c>
      <c r="K9" s="4">
        <f>VLOOKUP(J9,Exchange_Rates!A:B,2,FALSE)</f>
        <v>1</v>
      </c>
      <c r="L9" s="4">
        <f t="shared" si="0"/>
        <v>247.27</v>
      </c>
      <c r="M9" s="4">
        <f t="shared" si="1"/>
        <v>0</v>
      </c>
      <c r="N9" s="4">
        <f t="shared" si="2"/>
        <v>2023</v>
      </c>
      <c r="O9" s="4">
        <f t="shared" si="3"/>
        <v>4</v>
      </c>
    </row>
    <row r="10" spans="1:15" x14ac:dyDescent="0.25">
      <c r="A10" t="s">
        <v>55</v>
      </c>
      <c r="B10" s="2">
        <v>45412</v>
      </c>
      <c r="C10" t="s">
        <v>30</v>
      </c>
      <c r="D10" t="s">
        <v>31</v>
      </c>
      <c r="E10">
        <v>202.02</v>
      </c>
      <c r="F10">
        <v>0</v>
      </c>
      <c r="G10" t="s">
        <v>8</v>
      </c>
      <c r="H10" t="s">
        <v>34</v>
      </c>
      <c r="I10" t="s">
        <v>56</v>
      </c>
      <c r="J10" t="s">
        <v>28</v>
      </c>
      <c r="K10" s="4">
        <f>VLOOKUP(J10,Exchange_Rates!A:B,2,FALSE)</f>
        <v>1.27</v>
      </c>
      <c r="L10" s="4">
        <f t="shared" si="0"/>
        <v>256.56540000000001</v>
      </c>
      <c r="M10" s="4">
        <f t="shared" si="1"/>
        <v>0</v>
      </c>
      <c r="N10" s="4">
        <f t="shared" si="2"/>
        <v>2024</v>
      </c>
      <c r="O10" s="4">
        <f t="shared" si="3"/>
        <v>2</v>
      </c>
    </row>
    <row r="11" spans="1:15" x14ac:dyDescent="0.25">
      <c r="A11" t="s">
        <v>57</v>
      </c>
      <c r="B11" s="2">
        <v>45029</v>
      </c>
      <c r="C11" t="s">
        <v>30</v>
      </c>
      <c r="D11" t="s">
        <v>31</v>
      </c>
      <c r="E11">
        <v>1093.72</v>
      </c>
      <c r="F11">
        <v>0</v>
      </c>
      <c r="G11" t="s">
        <v>9</v>
      </c>
      <c r="H11" t="s">
        <v>40</v>
      </c>
      <c r="I11" t="s">
        <v>58</v>
      </c>
      <c r="J11" t="s">
        <v>45</v>
      </c>
      <c r="K11" s="4">
        <f>VLOOKUP(J11,Exchange_Rates!A:B,2,FALSE)</f>
        <v>1</v>
      </c>
      <c r="L11" s="4">
        <f t="shared" si="0"/>
        <v>1093.72</v>
      </c>
      <c r="M11" s="4">
        <f t="shared" si="1"/>
        <v>0</v>
      </c>
      <c r="N11" s="4">
        <f t="shared" si="2"/>
        <v>2023</v>
      </c>
      <c r="O11" s="4">
        <f t="shared" si="3"/>
        <v>2</v>
      </c>
    </row>
    <row r="12" spans="1:15" x14ac:dyDescent="0.25">
      <c r="A12" t="s">
        <v>59</v>
      </c>
      <c r="B12" s="2">
        <v>45250</v>
      </c>
      <c r="C12" t="s">
        <v>60</v>
      </c>
      <c r="D12" t="s">
        <v>61</v>
      </c>
      <c r="E12">
        <v>0</v>
      </c>
      <c r="F12">
        <v>3282.35</v>
      </c>
      <c r="G12" t="s">
        <v>12</v>
      </c>
      <c r="H12" t="s">
        <v>62</v>
      </c>
      <c r="I12" t="s">
        <v>63</v>
      </c>
      <c r="J12" t="s">
        <v>64</v>
      </c>
      <c r="K12" s="4">
        <f>VLOOKUP(J12,Exchange_Rates!A:B,2,FALSE)</f>
        <v>0.73</v>
      </c>
      <c r="L12" s="4">
        <f t="shared" si="0"/>
        <v>0</v>
      </c>
      <c r="M12" s="4">
        <f t="shared" si="1"/>
        <v>2396.1154999999999</v>
      </c>
      <c r="N12" s="4">
        <f t="shared" si="2"/>
        <v>2023</v>
      </c>
      <c r="O12" s="4">
        <f t="shared" si="3"/>
        <v>4</v>
      </c>
    </row>
    <row r="13" spans="1:15" x14ac:dyDescent="0.25">
      <c r="A13" t="s">
        <v>65</v>
      </c>
      <c r="B13" s="2">
        <v>45608</v>
      </c>
      <c r="C13" t="s">
        <v>24</v>
      </c>
      <c r="D13" t="s">
        <v>25</v>
      </c>
      <c r="E13">
        <v>0</v>
      </c>
      <c r="F13">
        <v>2452.1999999999998</v>
      </c>
      <c r="G13" t="s">
        <v>12</v>
      </c>
      <c r="H13" t="s">
        <v>51</v>
      </c>
      <c r="I13" t="s">
        <v>66</v>
      </c>
      <c r="J13" t="s">
        <v>36</v>
      </c>
      <c r="K13" s="4">
        <f>VLOOKUP(J13,Exchange_Rates!A:B,2,FALSE)</f>
        <v>1.08</v>
      </c>
      <c r="L13" s="4">
        <f t="shared" si="0"/>
        <v>0</v>
      </c>
      <c r="M13" s="4">
        <f t="shared" si="1"/>
        <v>2648.3760000000002</v>
      </c>
      <c r="N13" s="4">
        <f t="shared" si="2"/>
        <v>2024</v>
      </c>
      <c r="O13" s="4">
        <f t="shared" si="3"/>
        <v>4</v>
      </c>
    </row>
    <row r="14" spans="1:15" x14ac:dyDescent="0.25">
      <c r="A14" t="s">
        <v>67</v>
      </c>
      <c r="B14" s="2">
        <v>45437</v>
      </c>
      <c r="C14" t="s">
        <v>24</v>
      </c>
      <c r="D14" t="s">
        <v>25</v>
      </c>
      <c r="E14">
        <v>0</v>
      </c>
      <c r="F14">
        <v>3490.39</v>
      </c>
      <c r="G14" t="s">
        <v>12</v>
      </c>
      <c r="H14" t="s">
        <v>26</v>
      </c>
      <c r="I14" t="s">
        <v>68</v>
      </c>
      <c r="J14" t="s">
        <v>64</v>
      </c>
      <c r="K14" s="4">
        <f>VLOOKUP(J14,Exchange_Rates!A:B,2,FALSE)</f>
        <v>0.73</v>
      </c>
      <c r="L14" s="4">
        <f t="shared" si="0"/>
        <v>0</v>
      </c>
      <c r="M14" s="4">
        <f t="shared" si="1"/>
        <v>2547.9847</v>
      </c>
      <c r="N14" s="4">
        <f t="shared" si="2"/>
        <v>2024</v>
      </c>
      <c r="O14" s="4">
        <f t="shared" si="3"/>
        <v>2</v>
      </c>
    </row>
    <row r="15" spans="1:15" x14ac:dyDescent="0.25">
      <c r="A15" t="s">
        <v>69</v>
      </c>
      <c r="B15" s="2">
        <v>45344</v>
      </c>
      <c r="C15" t="s">
        <v>24</v>
      </c>
      <c r="D15" t="s">
        <v>25</v>
      </c>
      <c r="E15">
        <v>0</v>
      </c>
      <c r="F15">
        <v>3379.63</v>
      </c>
      <c r="G15" t="s">
        <v>11</v>
      </c>
      <c r="H15" t="s">
        <v>62</v>
      </c>
      <c r="I15" t="s">
        <v>70</v>
      </c>
      <c r="J15" t="s">
        <v>64</v>
      </c>
      <c r="K15" s="4">
        <f>VLOOKUP(J15,Exchange_Rates!A:B,2,FALSE)</f>
        <v>0.73</v>
      </c>
      <c r="L15" s="4">
        <f t="shared" si="0"/>
        <v>0</v>
      </c>
      <c r="M15" s="4">
        <f t="shared" si="1"/>
        <v>2467.1298999999999</v>
      </c>
      <c r="N15" s="4">
        <f t="shared" si="2"/>
        <v>2024</v>
      </c>
      <c r="O15" s="4">
        <f t="shared" si="3"/>
        <v>1</v>
      </c>
    </row>
    <row r="16" spans="1:15" x14ac:dyDescent="0.25">
      <c r="A16" t="s">
        <v>71</v>
      </c>
      <c r="B16" s="2">
        <v>45776</v>
      </c>
      <c r="C16" t="s">
        <v>60</v>
      </c>
      <c r="D16" t="s">
        <v>61</v>
      </c>
      <c r="E16">
        <v>0</v>
      </c>
      <c r="F16">
        <v>1490.43</v>
      </c>
      <c r="G16" t="s">
        <v>11</v>
      </c>
      <c r="H16" t="s">
        <v>40</v>
      </c>
      <c r="I16" t="s">
        <v>72</v>
      </c>
      <c r="J16" t="s">
        <v>28</v>
      </c>
      <c r="K16" s="4">
        <f>VLOOKUP(J16,Exchange_Rates!A:B,2,FALSE)</f>
        <v>1.27</v>
      </c>
      <c r="L16" s="4">
        <f t="shared" si="0"/>
        <v>0</v>
      </c>
      <c r="M16" s="4">
        <f t="shared" si="1"/>
        <v>1892.8461000000002</v>
      </c>
      <c r="N16" s="4">
        <f t="shared" si="2"/>
        <v>2025</v>
      </c>
      <c r="O16" s="4">
        <f t="shared" si="3"/>
        <v>2</v>
      </c>
    </row>
    <row r="17" spans="1:15" x14ac:dyDescent="0.25">
      <c r="A17" t="s">
        <v>73</v>
      </c>
      <c r="B17" s="2">
        <v>45018</v>
      </c>
      <c r="C17" t="s">
        <v>30</v>
      </c>
      <c r="D17" t="s">
        <v>31</v>
      </c>
      <c r="E17">
        <v>1119.05</v>
      </c>
      <c r="F17">
        <v>0</v>
      </c>
      <c r="G17" t="s">
        <v>9</v>
      </c>
      <c r="H17" t="s">
        <v>62</v>
      </c>
      <c r="I17" t="s">
        <v>74</v>
      </c>
      <c r="J17" t="s">
        <v>42</v>
      </c>
      <c r="K17" s="4">
        <f>VLOOKUP(J17,Exchange_Rates!A:B,2,FALSE)</f>
        <v>0.66</v>
      </c>
      <c r="L17" s="4">
        <f t="shared" si="0"/>
        <v>738.57299999999998</v>
      </c>
      <c r="M17" s="4">
        <f t="shared" si="1"/>
        <v>0</v>
      </c>
      <c r="N17" s="4">
        <f t="shared" si="2"/>
        <v>2023</v>
      </c>
      <c r="O17" s="4">
        <f t="shared" si="3"/>
        <v>2</v>
      </c>
    </row>
    <row r="18" spans="1:15" x14ac:dyDescent="0.25">
      <c r="A18" t="s">
        <v>75</v>
      </c>
      <c r="B18" s="2">
        <v>45722</v>
      </c>
      <c r="C18" t="s">
        <v>60</v>
      </c>
      <c r="D18" t="s">
        <v>61</v>
      </c>
      <c r="E18">
        <v>0</v>
      </c>
      <c r="F18">
        <v>4006.73</v>
      </c>
      <c r="G18" t="s">
        <v>11</v>
      </c>
      <c r="H18" t="s">
        <v>51</v>
      </c>
      <c r="I18" t="s">
        <v>76</v>
      </c>
      <c r="J18" t="s">
        <v>36</v>
      </c>
      <c r="K18" s="4">
        <f>VLOOKUP(J18,Exchange_Rates!A:B,2,FALSE)</f>
        <v>1.08</v>
      </c>
      <c r="L18" s="4">
        <f t="shared" si="0"/>
        <v>0</v>
      </c>
      <c r="M18" s="4">
        <f t="shared" si="1"/>
        <v>4327.2683999999999</v>
      </c>
      <c r="N18" s="4">
        <f t="shared" si="2"/>
        <v>2025</v>
      </c>
      <c r="O18" s="4">
        <f t="shared" si="3"/>
        <v>1</v>
      </c>
    </row>
    <row r="19" spans="1:15" x14ac:dyDescent="0.25">
      <c r="A19" t="s">
        <v>77</v>
      </c>
      <c r="B19" s="2">
        <v>45605</v>
      </c>
      <c r="C19" t="s">
        <v>24</v>
      </c>
      <c r="D19" t="s">
        <v>25</v>
      </c>
      <c r="E19">
        <v>0</v>
      </c>
      <c r="F19">
        <v>259.83999999999997</v>
      </c>
      <c r="G19" t="s">
        <v>13</v>
      </c>
      <c r="H19" t="s">
        <v>62</v>
      </c>
      <c r="I19" t="s">
        <v>78</v>
      </c>
      <c r="J19" t="s">
        <v>42</v>
      </c>
      <c r="K19" s="4">
        <f>VLOOKUP(J19,Exchange_Rates!A:B,2,FALSE)</f>
        <v>0.66</v>
      </c>
      <c r="L19" s="4">
        <f t="shared" si="0"/>
        <v>0</v>
      </c>
      <c r="M19" s="4">
        <f t="shared" si="1"/>
        <v>171.49439999999998</v>
      </c>
      <c r="N19" s="4">
        <f t="shared" si="2"/>
        <v>2024</v>
      </c>
      <c r="O19" s="4">
        <f t="shared" si="3"/>
        <v>4</v>
      </c>
    </row>
    <row r="20" spans="1:15" x14ac:dyDescent="0.25">
      <c r="A20" t="s">
        <v>79</v>
      </c>
      <c r="B20" s="2">
        <v>44953</v>
      </c>
      <c r="C20" t="s">
        <v>49</v>
      </c>
      <c r="D20" t="s">
        <v>50</v>
      </c>
      <c r="E20">
        <v>735.45</v>
      </c>
      <c r="F20">
        <v>0</v>
      </c>
      <c r="G20" t="s">
        <v>10</v>
      </c>
      <c r="H20" t="s">
        <v>62</v>
      </c>
      <c r="I20" t="s">
        <v>80</v>
      </c>
      <c r="J20" t="s">
        <v>64</v>
      </c>
      <c r="K20" s="4">
        <f>VLOOKUP(J20,Exchange_Rates!A:B,2,FALSE)</f>
        <v>0.73</v>
      </c>
      <c r="L20" s="4">
        <f t="shared" si="0"/>
        <v>536.87850000000003</v>
      </c>
      <c r="M20" s="4">
        <f t="shared" si="1"/>
        <v>0</v>
      </c>
      <c r="N20" s="4">
        <f t="shared" si="2"/>
        <v>2023</v>
      </c>
      <c r="O20" s="4">
        <f t="shared" si="3"/>
        <v>1</v>
      </c>
    </row>
    <row r="21" spans="1:15" x14ac:dyDescent="0.25">
      <c r="A21" t="s">
        <v>81</v>
      </c>
      <c r="B21" s="2">
        <v>45537</v>
      </c>
      <c r="C21" t="s">
        <v>30</v>
      </c>
      <c r="D21" t="s">
        <v>31</v>
      </c>
      <c r="E21">
        <v>154.43</v>
      </c>
      <c r="F21">
        <v>0</v>
      </c>
      <c r="G21" t="s">
        <v>13</v>
      </c>
      <c r="H21" t="s">
        <v>34</v>
      </c>
      <c r="I21" t="s">
        <v>82</v>
      </c>
      <c r="J21" t="s">
        <v>64</v>
      </c>
      <c r="K21" s="4">
        <f>VLOOKUP(J21,Exchange_Rates!A:B,2,FALSE)</f>
        <v>0.73</v>
      </c>
      <c r="L21" s="4">
        <f t="shared" si="0"/>
        <v>112.73390000000001</v>
      </c>
      <c r="M21" s="4">
        <f t="shared" si="1"/>
        <v>0</v>
      </c>
      <c r="N21" s="4">
        <f t="shared" si="2"/>
        <v>2024</v>
      </c>
      <c r="O21" s="4">
        <f t="shared" si="3"/>
        <v>3</v>
      </c>
    </row>
    <row r="22" spans="1:15" x14ac:dyDescent="0.25">
      <c r="A22" t="s">
        <v>83</v>
      </c>
      <c r="B22" s="2">
        <v>45379</v>
      </c>
      <c r="C22" t="s">
        <v>38</v>
      </c>
      <c r="D22" t="s">
        <v>39</v>
      </c>
      <c r="E22">
        <v>359.1</v>
      </c>
      <c r="F22">
        <v>0</v>
      </c>
      <c r="G22" t="s">
        <v>10</v>
      </c>
      <c r="H22" t="s">
        <v>34</v>
      </c>
      <c r="I22" t="s">
        <v>84</v>
      </c>
      <c r="J22" t="s">
        <v>64</v>
      </c>
      <c r="K22" s="4">
        <f>VLOOKUP(J22,Exchange_Rates!A:B,2,FALSE)</f>
        <v>0.73</v>
      </c>
      <c r="L22" s="4">
        <f t="shared" si="0"/>
        <v>262.14300000000003</v>
      </c>
      <c r="M22" s="4">
        <f t="shared" si="1"/>
        <v>0</v>
      </c>
      <c r="N22" s="4">
        <f t="shared" si="2"/>
        <v>2024</v>
      </c>
      <c r="O22" s="4">
        <f t="shared" si="3"/>
        <v>1</v>
      </c>
    </row>
    <row r="23" spans="1:15" x14ac:dyDescent="0.25">
      <c r="A23" t="s">
        <v>85</v>
      </c>
      <c r="B23" s="2">
        <v>45108</v>
      </c>
      <c r="C23" t="s">
        <v>60</v>
      </c>
      <c r="D23" t="s">
        <v>61</v>
      </c>
      <c r="E23">
        <v>0</v>
      </c>
      <c r="F23">
        <v>1632.86</v>
      </c>
      <c r="G23" t="s">
        <v>10</v>
      </c>
      <c r="H23" t="s">
        <v>26</v>
      </c>
      <c r="I23" t="s">
        <v>86</v>
      </c>
      <c r="J23" t="s">
        <v>64</v>
      </c>
      <c r="K23" s="4">
        <f>VLOOKUP(J23,Exchange_Rates!A:B,2,FALSE)</f>
        <v>0.73</v>
      </c>
      <c r="L23" s="4">
        <f t="shared" si="0"/>
        <v>0</v>
      </c>
      <c r="M23" s="4">
        <f t="shared" si="1"/>
        <v>1191.9877999999999</v>
      </c>
      <c r="N23" s="4">
        <f t="shared" si="2"/>
        <v>2023</v>
      </c>
      <c r="O23" s="4">
        <f t="shared" si="3"/>
        <v>3</v>
      </c>
    </row>
    <row r="24" spans="1:15" x14ac:dyDescent="0.25">
      <c r="A24" t="s">
        <v>87</v>
      </c>
      <c r="B24" s="2">
        <v>45441</v>
      </c>
      <c r="C24" t="s">
        <v>30</v>
      </c>
      <c r="D24" t="s">
        <v>31</v>
      </c>
      <c r="E24">
        <v>319.7</v>
      </c>
      <c r="F24">
        <v>0</v>
      </c>
      <c r="G24" t="s">
        <v>10</v>
      </c>
      <c r="H24" t="s">
        <v>26</v>
      </c>
      <c r="I24" t="s">
        <v>88</v>
      </c>
      <c r="J24" t="s">
        <v>45</v>
      </c>
      <c r="K24" s="4">
        <f>VLOOKUP(J24,Exchange_Rates!A:B,2,FALSE)</f>
        <v>1</v>
      </c>
      <c r="L24" s="4">
        <f t="shared" si="0"/>
        <v>319.7</v>
      </c>
      <c r="M24" s="4">
        <f t="shared" si="1"/>
        <v>0</v>
      </c>
      <c r="N24" s="4">
        <f t="shared" si="2"/>
        <v>2024</v>
      </c>
      <c r="O24" s="4">
        <f t="shared" si="3"/>
        <v>2</v>
      </c>
    </row>
    <row r="25" spans="1:15" x14ac:dyDescent="0.25">
      <c r="A25" t="s">
        <v>89</v>
      </c>
      <c r="B25" s="2">
        <v>45007</v>
      </c>
      <c r="C25" t="s">
        <v>30</v>
      </c>
      <c r="D25" t="s">
        <v>31</v>
      </c>
      <c r="E25">
        <v>546.02</v>
      </c>
      <c r="F25">
        <v>0</v>
      </c>
      <c r="G25" t="s">
        <v>10</v>
      </c>
      <c r="H25" t="s">
        <v>51</v>
      </c>
      <c r="I25" t="s">
        <v>90</v>
      </c>
      <c r="J25" t="s">
        <v>64</v>
      </c>
      <c r="K25" s="4">
        <f>VLOOKUP(J25,Exchange_Rates!A:B,2,FALSE)</f>
        <v>0.73</v>
      </c>
      <c r="L25" s="4">
        <f t="shared" si="0"/>
        <v>398.59459999999996</v>
      </c>
      <c r="M25" s="4">
        <f t="shared" si="1"/>
        <v>0</v>
      </c>
      <c r="N25" s="4">
        <f t="shared" si="2"/>
        <v>2023</v>
      </c>
      <c r="O25" s="4">
        <f t="shared" si="3"/>
        <v>1</v>
      </c>
    </row>
    <row r="26" spans="1:15" x14ac:dyDescent="0.25">
      <c r="A26" t="s">
        <v>91</v>
      </c>
      <c r="B26" s="2">
        <v>45025</v>
      </c>
      <c r="C26" t="s">
        <v>49</v>
      </c>
      <c r="D26" t="s">
        <v>50</v>
      </c>
      <c r="E26">
        <v>267.04000000000002</v>
      </c>
      <c r="F26">
        <v>0</v>
      </c>
      <c r="G26" t="s">
        <v>9</v>
      </c>
      <c r="H26" t="s">
        <v>51</v>
      </c>
      <c r="I26" t="s">
        <v>92</v>
      </c>
      <c r="J26" t="s">
        <v>42</v>
      </c>
      <c r="K26" s="4">
        <f>VLOOKUP(J26,Exchange_Rates!A:B,2,FALSE)</f>
        <v>0.66</v>
      </c>
      <c r="L26" s="4">
        <f t="shared" si="0"/>
        <v>176.24640000000002</v>
      </c>
      <c r="M26" s="4">
        <f t="shared" si="1"/>
        <v>0</v>
      </c>
      <c r="N26" s="4">
        <f t="shared" si="2"/>
        <v>2023</v>
      </c>
      <c r="O26" s="4">
        <f t="shared" si="3"/>
        <v>2</v>
      </c>
    </row>
    <row r="27" spans="1:15" x14ac:dyDescent="0.25">
      <c r="A27" t="s">
        <v>93</v>
      </c>
      <c r="B27" s="2">
        <v>45802</v>
      </c>
      <c r="C27" t="s">
        <v>24</v>
      </c>
      <c r="D27" t="s">
        <v>25</v>
      </c>
      <c r="E27">
        <v>0</v>
      </c>
      <c r="F27">
        <v>1650.08</v>
      </c>
      <c r="G27" t="s">
        <v>10</v>
      </c>
      <c r="H27" t="s">
        <v>51</v>
      </c>
      <c r="I27" t="s">
        <v>94</v>
      </c>
      <c r="J27" t="s">
        <v>45</v>
      </c>
      <c r="K27" s="4">
        <f>VLOOKUP(J27,Exchange_Rates!A:B,2,FALSE)</f>
        <v>1</v>
      </c>
      <c r="L27" s="4">
        <f t="shared" si="0"/>
        <v>0</v>
      </c>
      <c r="M27" s="4">
        <f t="shared" si="1"/>
        <v>1650.08</v>
      </c>
      <c r="N27" s="4">
        <f t="shared" si="2"/>
        <v>2025</v>
      </c>
      <c r="O27" s="4">
        <f t="shared" si="3"/>
        <v>2</v>
      </c>
    </row>
    <row r="28" spans="1:15" x14ac:dyDescent="0.25">
      <c r="A28" t="s">
        <v>95</v>
      </c>
      <c r="B28" s="2">
        <v>45610</v>
      </c>
      <c r="C28" t="s">
        <v>30</v>
      </c>
      <c r="D28" t="s">
        <v>31</v>
      </c>
      <c r="E28">
        <v>115</v>
      </c>
      <c r="F28">
        <v>0</v>
      </c>
      <c r="G28" t="s">
        <v>11</v>
      </c>
      <c r="H28" t="s">
        <v>62</v>
      </c>
      <c r="I28" t="s">
        <v>96</v>
      </c>
      <c r="J28" t="s">
        <v>42</v>
      </c>
      <c r="K28" s="4">
        <f>VLOOKUP(J28,Exchange_Rates!A:B,2,FALSE)</f>
        <v>0.66</v>
      </c>
      <c r="L28" s="4">
        <f t="shared" si="0"/>
        <v>75.900000000000006</v>
      </c>
      <c r="M28" s="4">
        <f t="shared" si="1"/>
        <v>0</v>
      </c>
      <c r="N28" s="4">
        <f t="shared" si="2"/>
        <v>2024</v>
      </c>
      <c r="O28" s="4">
        <f t="shared" si="3"/>
        <v>4</v>
      </c>
    </row>
    <row r="29" spans="1:15" x14ac:dyDescent="0.25">
      <c r="A29" t="s">
        <v>97</v>
      </c>
      <c r="B29" s="2">
        <v>45820</v>
      </c>
      <c r="C29" t="s">
        <v>60</v>
      </c>
      <c r="D29" t="s">
        <v>61</v>
      </c>
      <c r="E29">
        <v>0</v>
      </c>
      <c r="F29">
        <v>1073.4100000000001</v>
      </c>
      <c r="G29" t="s">
        <v>11</v>
      </c>
      <c r="H29" t="s">
        <v>40</v>
      </c>
      <c r="I29" t="s">
        <v>98</v>
      </c>
      <c r="J29" t="s">
        <v>42</v>
      </c>
      <c r="K29" s="4">
        <f>VLOOKUP(J29,Exchange_Rates!A:B,2,FALSE)</f>
        <v>0.66</v>
      </c>
      <c r="L29" s="4">
        <f t="shared" si="0"/>
        <v>0</v>
      </c>
      <c r="M29" s="4">
        <f t="shared" si="1"/>
        <v>708.45060000000012</v>
      </c>
      <c r="N29" s="4">
        <f t="shared" si="2"/>
        <v>2025</v>
      </c>
      <c r="O29" s="4">
        <f t="shared" si="3"/>
        <v>2</v>
      </c>
    </row>
    <row r="30" spans="1:15" x14ac:dyDescent="0.25">
      <c r="A30" t="s">
        <v>99</v>
      </c>
      <c r="B30" s="2">
        <v>45735</v>
      </c>
      <c r="C30" t="s">
        <v>60</v>
      </c>
      <c r="D30" t="s">
        <v>61</v>
      </c>
      <c r="E30">
        <v>0</v>
      </c>
      <c r="F30">
        <v>3466</v>
      </c>
      <c r="G30" t="s">
        <v>8</v>
      </c>
      <c r="H30" t="s">
        <v>40</v>
      </c>
      <c r="I30" t="s">
        <v>100</v>
      </c>
      <c r="J30" t="s">
        <v>28</v>
      </c>
      <c r="K30" s="4">
        <f>VLOOKUP(J30,Exchange_Rates!A:B,2,FALSE)</f>
        <v>1.27</v>
      </c>
      <c r="L30" s="4">
        <f t="shared" si="0"/>
        <v>0</v>
      </c>
      <c r="M30" s="4">
        <f t="shared" si="1"/>
        <v>4401.82</v>
      </c>
      <c r="N30" s="4">
        <f t="shared" si="2"/>
        <v>2025</v>
      </c>
      <c r="O30" s="4">
        <f t="shared" si="3"/>
        <v>1</v>
      </c>
    </row>
    <row r="31" spans="1:15" x14ac:dyDescent="0.25">
      <c r="A31" t="s">
        <v>101</v>
      </c>
      <c r="B31" s="2">
        <v>45377</v>
      </c>
      <c r="C31" t="s">
        <v>49</v>
      </c>
      <c r="D31" t="s">
        <v>50</v>
      </c>
      <c r="E31">
        <v>947.43</v>
      </c>
      <c r="F31">
        <v>0</v>
      </c>
      <c r="G31" t="s">
        <v>11</v>
      </c>
      <c r="H31" t="s">
        <v>34</v>
      </c>
      <c r="I31" t="s">
        <v>102</v>
      </c>
      <c r="J31" t="s">
        <v>64</v>
      </c>
      <c r="K31" s="4">
        <f>VLOOKUP(J31,Exchange_Rates!A:B,2,FALSE)</f>
        <v>0.73</v>
      </c>
      <c r="L31" s="4">
        <f t="shared" si="0"/>
        <v>691.62389999999994</v>
      </c>
      <c r="M31" s="4">
        <f t="shared" si="1"/>
        <v>0</v>
      </c>
      <c r="N31" s="4">
        <f t="shared" si="2"/>
        <v>2024</v>
      </c>
      <c r="O31" s="4">
        <f t="shared" si="3"/>
        <v>1</v>
      </c>
    </row>
    <row r="32" spans="1:15" x14ac:dyDescent="0.25">
      <c r="A32" t="s">
        <v>103</v>
      </c>
      <c r="B32" s="2">
        <v>45298</v>
      </c>
      <c r="C32" t="s">
        <v>60</v>
      </c>
      <c r="D32" t="s">
        <v>61</v>
      </c>
      <c r="E32">
        <v>0</v>
      </c>
      <c r="F32">
        <v>4495.8900000000003</v>
      </c>
      <c r="G32" t="s">
        <v>11</v>
      </c>
      <c r="H32" t="s">
        <v>40</v>
      </c>
      <c r="I32" t="s">
        <v>104</v>
      </c>
      <c r="J32" t="s">
        <v>28</v>
      </c>
      <c r="K32" s="4">
        <f>VLOOKUP(J32,Exchange_Rates!A:B,2,FALSE)</f>
        <v>1.27</v>
      </c>
      <c r="L32" s="4">
        <f t="shared" si="0"/>
        <v>0</v>
      </c>
      <c r="M32" s="4">
        <f t="shared" si="1"/>
        <v>5709.7803000000004</v>
      </c>
      <c r="N32" s="4">
        <f t="shared" si="2"/>
        <v>2024</v>
      </c>
      <c r="O32" s="4">
        <f t="shared" si="3"/>
        <v>1</v>
      </c>
    </row>
    <row r="33" spans="1:15" x14ac:dyDescent="0.25">
      <c r="A33" t="s">
        <v>105</v>
      </c>
      <c r="B33" s="2">
        <v>45416</v>
      </c>
      <c r="C33" t="s">
        <v>30</v>
      </c>
      <c r="D33" t="s">
        <v>31</v>
      </c>
      <c r="E33">
        <v>72.88</v>
      </c>
      <c r="F33">
        <v>0</v>
      </c>
      <c r="G33" t="s">
        <v>11</v>
      </c>
      <c r="H33" t="s">
        <v>26</v>
      </c>
      <c r="I33" t="s">
        <v>106</v>
      </c>
      <c r="J33" t="s">
        <v>64</v>
      </c>
      <c r="K33" s="4">
        <f>VLOOKUP(J33,Exchange_Rates!A:B,2,FALSE)</f>
        <v>0.73</v>
      </c>
      <c r="L33" s="4">
        <f t="shared" si="0"/>
        <v>53.202399999999997</v>
      </c>
      <c r="M33" s="4">
        <f t="shared" si="1"/>
        <v>0</v>
      </c>
      <c r="N33" s="4">
        <f t="shared" si="2"/>
        <v>2024</v>
      </c>
      <c r="O33" s="4">
        <f t="shared" si="3"/>
        <v>2</v>
      </c>
    </row>
    <row r="34" spans="1:15" x14ac:dyDescent="0.25">
      <c r="A34" t="s">
        <v>107</v>
      </c>
      <c r="B34" s="2">
        <v>44941</v>
      </c>
      <c r="C34" t="s">
        <v>60</v>
      </c>
      <c r="D34" t="s">
        <v>61</v>
      </c>
      <c r="E34">
        <v>0</v>
      </c>
      <c r="F34">
        <v>867.61</v>
      </c>
      <c r="G34" t="s">
        <v>10</v>
      </c>
      <c r="H34" t="s">
        <v>26</v>
      </c>
      <c r="I34" t="s">
        <v>108</v>
      </c>
      <c r="J34" t="s">
        <v>42</v>
      </c>
      <c r="K34" s="4">
        <f>VLOOKUP(J34,Exchange_Rates!A:B,2,FALSE)</f>
        <v>0.66</v>
      </c>
      <c r="L34" s="4">
        <f t="shared" si="0"/>
        <v>0</v>
      </c>
      <c r="M34" s="4">
        <f t="shared" si="1"/>
        <v>572.62260000000003</v>
      </c>
      <c r="N34" s="4">
        <f t="shared" si="2"/>
        <v>2023</v>
      </c>
      <c r="O34" s="4">
        <f t="shared" si="3"/>
        <v>1</v>
      </c>
    </row>
    <row r="35" spans="1:15" x14ac:dyDescent="0.25">
      <c r="A35" t="s">
        <v>109</v>
      </c>
      <c r="B35" s="2">
        <v>45247</v>
      </c>
      <c r="C35" t="s">
        <v>49</v>
      </c>
      <c r="D35" t="s">
        <v>50</v>
      </c>
      <c r="E35">
        <v>1416.83</v>
      </c>
      <c r="F35">
        <v>0</v>
      </c>
      <c r="G35" t="s">
        <v>13</v>
      </c>
      <c r="H35" t="s">
        <v>26</v>
      </c>
      <c r="I35" t="s">
        <v>110</v>
      </c>
      <c r="J35" t="s">
        <v>45</v>
      </c>
      <c r="K35" s="4">
        <f>VLOOKUP(J35,Exchange_Rates!A:B,2,FALSE)</f>
        <v>1</v>
      </c>
      <c r="L35" s="4">
        <f t="shared" si="0"/>
        <v>1416.83</v>
      </c>
      <c r="M35" s="4">
        <f t="shared" si="1"/>
        <v>0</v>
      </c>
      <c r="N35" s="4">
        <f t="shared" si="2"/>
        <v>2023</v>
      </c>
      <c r="O35" s="4">
        <f t="shared" si="3"/>
        <v>4</v>
      </c>
    </row>
    <row r="36" spans="1:15" x14ac:dyDescent="0.25">
      <c r="A36" t="s">
        <v>111</v>
      </c>
      <c r="B36" s="2">
        <v>45501</v>
      </c>
      <c r="C36" t="s">
        <v>49</v>
      </c>
      <c r="D36" t="s">
        <v>50</v>
      </c>
      <c r="E36">
        <v>806.72</v>
      </c>
      <c r="F36">
        <v>0</v>
      </c>
      <c r="G36" t="s">
        <v>11</v>
      </c>
      <c r="H36" t="s">
        <v>62</v>
      </c>
      <c r="I36" t="s">
        <v>112</v>
      </c>
      <c r="J36" t="s">
        <v>42</v>
      </c>
      <c r="K36" s="4">
        <f>VLOOKUP(J36,Exchange_Rates!A:B,2,FALSE)</f>
        <v>0.66</v>
      </c>
      <c r="L36" s="4">
        <f t="shared" si="0"/>
        <v>532.43520000000001</v>
      </c>
      <c r="M36" s="4">
        <f t="shared" si="1"/>
        <v>0</v>
      </c>
      <c r="N36" s="4">
        <f t="shared" si="2"/>
        <v>2024</v>
      </c>
      <c r="O36" s="4">
        <f t="shared" si="3"/>
        <v>3</v>
      </c>
    </row>
    <row r="37" spans="1:15" x14ac:dyDescent="0.25">
      <c r="A37" t="s">
        <v>113</v>
      </c>
      <c r="B37" s="2">
        <v>45425</v>
      </c>
      <c r="C37" t="s">
        <v>24</v>
      </c>
      <c r="D37" t="s">
        <v>25</v>
      </c>
      <c r="E37">
        <v>0</v>
      </c>
      <c r="F37">
        <v>391.57</v>
      </c>
      <c r="G37" t="s">
        <v>8</v>
      </c>
      <c r="H37" t="s">
        <v>51</v>
      </c>
      <c r="I37" t="s">
        <v>114</v>
      </c>
      <c r="J37" t="s">
        <v>36</v>
      </c>
      <c r="K37" s="4">
        <f>VLOOKUP(J37,Exchange_Rates!A:B,2,FALSE)</f>
        <v>1.08</v>
      </c>
      <c r="L37" s="4">
        <f t="shared" si="0"/>
        <v>0</v>
      </c>
      <c r="M37" s="4">
        <f t="shared" si="1"/>
        <v>422.8956</v>
      </c>
      <c r="N37" s="4">
        <f t="shared" si="2"/>
        <v>2024</v>
      </c>
      <c r="O37" s="4">
        <f t="shared" si="3"/>
        <v>2</v>
      </c>
    </row>
    <row r="38" spans="1:15" x14ac:dyDescent="0.25">
      <c r="A38" t="s">
        <v>115</v>
      </c>
      <c r="B38" s="2">
        <v>45767</v>
      </c>
      <c r="C38" t="s">
        <v>30</v>
      </c>
      <c r="D38" t="s">
        <v>31</v>
      </c>
      <c r="E38">
        <v>248.09</v>
      </c>
      <c r="F38">
        <v>0</v>
      </c>
      <c r="G38" t="s">
        <v>8</v>
      </c>
      <c r="H38" t="s">
        <v>26</v>
      </c>
      <c r="I38" t="s">
        <v>116</v>
      </c>
      <c r="J38" t="s">
        <v>36</v>
      </c>
      <c r="K38" s="4">
        <f>VLOOKUP(J38,Exchange_Rates!A:B,2,FALSE)</f>
        <v>1.08</v>
      </c>
      <c r="L38" s="4">
        <f t="shared" si="0"/>
        <v>267.93720000000002</v>
      </c>
      <c r="M38" s="4">
        <f t="shared" si="1"/>
        <v>0</v>
      </c>
      <c r="N38" s="4">
        <f t="shared" si="2"/>
        <v>2025</v>
      </c>
      <c r="O38" s="4">
        <f t="shared" si="3"/>
        <v>2</v>
      </c>
    </row>
    <row r="39" spans="1:15" x14ac:dyDescent="0.25">
      <c r="A39" t="s">
        <v>117</v>
      </c>
      <c r="B39" s="2">
        <v>45096</v>
      </c>
      <c r="C39" t="s">
        <v>49</v>
      </c>
      <c r="D39" t="s">
        <v>50</v>
      </c>
      <c r="E39">
        <v>1469.2</v>
      </c>
      <c r="F39">
        <v>0</v>
      </c>
      <c r="G39" t="s">
        <v>10</v>
      </c>
      <c r="H39" t="s">
        <v>26</v>
      </c>
      <c r="I39" t="s">
        <v>118</v>
      </c>
      <c r="J39" t="s">
        <v>45</v>
      </c>
      <c r="K39" s="4">
        <f>VLOOKUP(J39,Exchange_Rates!A:B,2,FALSE)</f>
        <v>1</v>
      </c>
      <c r="L39" s="4">
        <f t="shared" si="0"/>
        <v>1469.2</v>
      </c>
      <c r="M39" s="4">
        <f t="shared" si="1"/>
        <v>0</v>
      </c>
      <c r="N39" s="4">
        <f t="shared" si="2"/>
        <v>2023</v>
      </c>
      <c r="O39" s="4">
        <f t="shared" si="3"/>
        <v>2</v>
      </c>
    </row>
    <row r="40" spans="1:15" x14ac:dyDescent="0.25">
      <c r="A40" t="s">
        <v>119</v>
      </c>
      <c r="B40" s="2">
        <v>45660</v>
      </c>
      <c r="C40" t="s">
        <v>38</v>
      </c>
      <c r="D40" t="s">
        <v>39</v>
      </c>
      <c r="E40">
        <v>1924.85</v>
      </c>
      <c r="F40">
        <v>0</v>
      </c>
      <c r="G40" t="s">
        <v>8</v>
      </c>
      <c r="H40" t="s">
        <v>62</v>
      </c>
      <c r="I40" t="s">
        <v>120</v>
      </c>
      <c r="J40" t="s">
        <v>36</v>
      </c>
      <c r="K40" s="4">
        <f>VLOOKUP(J40,Exchange_Rates!A:B,2,FALSE)</f>
        <v>1.08</v>
      </c>
      <c r="L40" s="4">
        <f t="shared" si="0"/>
        <v>2078.8380000000002</v>
      </c>
      <c r="M40" s="4">
        <f t="shared" si="1"/>
        <v>0</v>
      </c>
      <c r="N40" s="4">
        <f t="shared" si="2"/>
        <v>2025</v>
      </c>
      <c r="O40" s="4">
        <f t="shared" si="3"/>
        <v>1</v>
      </c>
    </row>
    <row r="41" spans="1:15" x14ac:dyDescent="0.25">
      <c r="A41" t="s">
        <v>121</v>
      </c>
      <c r="B41" s="2">
        <v>45325</v>
      </c>
      <c r="C41" t="s">
        <v>49</v>
      </c>
      <c r="D41" t="s">
        <v>50</v>
      </c>
      <c r="E41">
        <v>1416.63</v>
      </c>
      <c r="F41">
        <v>0</v>
      </c>
      <c r="G41" t="s">
        <v>10</v>
      </c>
      <c r="H41" t="s">
        <v>40</v>
      </c>
      <c r="I41" t="s">
        <v>122</v>
      </c>
      <c r="J41" t="s">
        <v>64</v>
      </c>
      <c r="K41" s="4">
        <f>VLOOKUP(J41,Exchange_Rates!A:B,2,FALSE)</f>
        <v>0.73</v>
      </c>
      <c r="L41" s="4">
        <f t="shared" si="0"/>
        <v>1034.1399000000001</v>
      </c>
      <c r="M41" s="4">
        <f t="shared" si="1"/>
        <v>0</v>
      </c>
      <c r="N41" s="4">
        <f t="shared" si="2"/>
        <v>2024</v>
      </c>
      <c r="O41" s="4">
        <f t="shared" si="3"/>
        <v>1</v>
      </c>
    </row>
    <row r="42" spans="1:15" x14ac:dyDescent="0.25">
      <c r="A42" t="s">
        <v>123</v>
      </c>
      <c r="B42" s="2">
        <v>45648</v>
      </c>
      <c r="C42" t="s">
        <v>38</v>
      </c>
      <c r="D42" t="s">
        <v>39</v>
      </c>
      <c r="E42">
        <v>358.23</v>
      </c>
      <c r="F42">
        <v>0</v>
      </c>
      <c r="G42" t="s">
        <v>11</v>
      </c>
      <c r="H42" t="s">
        <v>40</v>
      </c>
      <c r="I42" t="s">
        <v>124</v>
      </c>
      <c r="J42" t="s">
        <v>42</v>
      </c>
      <c r="K42" s="4">
        <f>VLOOKUP(J42,Exchange_Rates!A:B,2,FALSE)</f>
        <v>0.66</v>
      </c>
      <c r="L42" s="4">
        <f t="shared" si="0"/>
        <v>236.43180000000001</v>
      </c>
      <c r="M42" s="4">
        <f t="shared" si="1"/>
        <v>0</v>
      </c>
      <c r="N42" s="4">
        <f t="shared" si="2"/>
        <v>2024</v>
      </c>
      <c r="O42" s="4">
        <f t="shared" si="3"/>
        <v>4</v>
      </c>
    </row>
    <row r="43" spans="1:15" x14ac:dyDescent="0.25">
      <c r="A43" t="s">
        <v>125</v>
      </c>
      <c r="B43" s="2">
        <v>45196</v>
      </c>
      <c r="C43" t="s">
        <v>49</v>
      </c>
      <c r="D43" t="s">
        <v>50</v>
      </c>
      <c r="E43">
        <v>1647.4</v>
      </c>
      <c r="F43">
        <v>0</v>
      </c>
      <c r="G43" t="s">
        <v>9</v>
      </c>
      <c r="H43" t="s">
        <v>62</v>
      </c>
      <c r="I43" t="s">
        <v>126</v>
      </c>
      <c r="J43" t="s">
        <v>36</v>
      </c>
      <c r="K43" s="4">
        <f>VLOOKUP(J43,Exchange_Rates!A:B,2,FALSE)</f>
        <v>1.08</v>
      </c>
      <c r="L43" s="4">
        <f t="shared" si="0"/>
        <v>1779.1920000000002</v>
      </c>
      <c r="M43" s="4">
        <f t="shared" si="1"/>
        <v>0</v>
      </c>
      <c r="N43" s="4">
        <f t="shared" si="2"/>
        <v>2023</v>
      </c>
      <c r="O43" s="4">
        <f t="shared" si="3"/>
        <v>3</v>
      </c>
    </row>
    <row r="44" spans="1:15" x14ac:dyDescent="0.25">
      <c r="A44" t="s">
        <v>127</v>
      </c>
      <c r="B44" s="2">
        <v>44965</v>
      </c>
      <c r="C44" t="s">
        <v>30</v>
      </c>
      <c r="D44" t="s">
        <v>31</v>
      </c>
      <c r="E44">
        <v>945.76</v>
      </c>
      <c r="F44">
        <v>0</v>
      </c>
      <c r="G44" t="s">
        <v>12</v>
      </c>
      <c r="H44" t="s">
        <v>34</v>
      </c>
      <c r="I44" t="s">
        <v>128</v>
      </c>
      <c r="J44" t="s">
        <v>42</v>
      </c>
      <c r="K44" s="4">
        <f>VLOOKUP(J44,Exchange_Rates!A:B,2,FALSE)</f>
        <v>0.66</v>
      </c>
      <c r="L44" s="4">
        <f t="shared" si="0"/>
        <v>624.20159999999998</v>
      </c>
      <c r="M44" s="4">
        <f t="shared" si="1"/>
        <v>0</v>
      </c>
      <c r="N44" s="4">
        <f t="shared" si="2"/>
        <v>2023</v>
      </c>
      <c r="O44" s="4">
        <f t="shared" si="3"/>
        <v>1</v>
      </c>
    </row>
    <row r="45" spans="1:15" x14ac:dyDescent="0.25">
      <c r="A45" t="s">
        <v>129</v>
      </c>
      <c r="B45" s="2">
        <v>45000</v>
      </c>
      <c r="C45" t="s">
        <v>38</v>
      </c>
      <c r="D45" t="s">
        <v>39</v>
      </c>
      <c r="E45">
        <v>941.14</v>
      </c>
      <c r="F45">
        <v>0</v>
      </c>
      <c r="G45" t="s">
        <v>8</v>
      </c>
      <c r="H45" t="s">
        <v>40</v>
      </c>
      <c r="I45" t="s">
        <v>130</v>
      </c>
      <c r="J45" t="s">
        <v>36</v>
      </c>
      <c r="K45" s="4">
        <f>VLOOKUP(J45,Exchange_Rates!A:B,2,FALSE)</f>
        <v>1.08</v>
      </c>
      <c r="L45" s="4">
        <f t="shared" si="0"/>
        <v>1016.4312000000001</v>
      </c>
      <c r="M45" s="4">
        <f t="shared" si="1"/>
        <v>0</v>
      </c>
      <c r="N45" s="4">
        <f t="shared" si="2"/>
        <v>2023</v>
      </c>
      <c r="O45" s="4">
        <f t="shared" si="3"/>
        <v>1</v>
      </c>
    </row>
    <row r="46" spans="1:15" x14ac:dyDescent="0.25">
      <c r="A46" t="s">
        <v>131</v>
      </c>
      <c r="B46" s="2">
        <v>45532</v>
      </c>
      <c r="C46" t="s">
        <v>38</v>
      </c>
      <c r="D46" t="s">
        <v>39</v>
      </c>
      <c r="E46">
        <v>142.16</v>
      </c>
      <c r="F46">
        <v>0</v>
      </c>
      <c r="G46" t="s">
        <v>13</v>
      </c>
      <c r="H46" t="s">
        <v>51</v>
      </c>
      <c r="I46" t="s">
        <v>132</v>
      </c>
      <c r="J46" t="s">
        <v>36</v>
      </c>
      <c r="K46" s="4">
        <f>VLOOKUP(J46,Exchange_Rates!A:B,2,FALSE)</f>
        <v>1.08</v>
      </c>
      <c r="L46" s="4">
        <f t="shared" si="0"/>
        <v>153.53280000000001</v>
      </c>
      <c r="M46" s="4">
        <f t="shared" si="1"/>
        <v>0</v>
      </c>
      <c r="N46" s="4">
        <f t="shared" si="2"/>
        <v>2024</v>
      </c>
      <c r="O46" s="4">
        <f t="shared" si="3"/>
        <v>3</v>
      </c>
    </row>
    <row r="47" spans="1:15" x14ac:dyDescent="0.25">
      <c r="A47" t="s">
        <v>133</v>
      </c>
      <c r="B47" s="2">
        <v>45370</v>
      </c>
      <c r="C47" t="s">
        <v>60</v>
      </c>
      <c r="D47" t="s">
        <v>61</v>
      </c>
      <c r="E47">
        <v>0</v>
      </c>
      <c r="F47">
        <v>1368.77</v>
      </c>
      <c r="G47" t="s">
        <v>12</v>
      </c>
      <c r="H47" t="s">
        <v>26</v>
      </c>
      <c r="I47" t="s">
        <v>134</v>
      </c>
      <c r="J47" t="s">
        <v>36</v>
      </c>
      <c r="K47" s="4">
        <f>VLOOKUP(J47,Exchange_Rates!A:B,2,FALSE)</f>
        <v>1.08</v>
      </c>
      <c r="L47" s="4">
        <f t="shared" si="0"/>
        <v>0</v>
      </c>
      <c r="M47" s="4">
        <f t="shared" si="1"/>
        <v>1478.2716</v>
      </c>
      <c r="N47" s="4">
        <f t="shared" si="2"/>
        <v>2024</v>
      </c>
      <c r="O47" s="4">
        <f t="shared" si="3"/>
        <v>1</v>
      </c>
    </row>
    <row r="48" spans="1:15" x14ac:dyDescent="0.25">
      <c r="A48" t="s">
        <v>135</v>
      </c>
      <c r="B48" s="2">
        <v>44951</v>
      </c>
      <c r="C48" t="s">
        <v>24</v>
      </c>
      <c r="D48" t="s">
        <v>25</v>
      </c>
      <c r="E48">
        <v>0</v>
      </c>
      <c r="F48">
        <v>2507.52</v>
      </c>
      <c r="G48" t="s">
        <v>12</v>
      </c>
      <c r="H48" t="s">
        <v>40</v>
      </c>
      <c r="I48" t="s">
        <v>136</v>
      </c>
      <c r="J48" t="s">
        <v>36</v>
      </c>
      <c r="K48" s="4">
        <f>VLOOKUP(J48,Exchange_Rates!A:B,2,FALSE)</f>
        <v>1.08</v>
      </c>
      <c r="L48" s="4">
        <f t="shared" si="0"/>
        <v>0</v>
      </c>
      <c r="M48" s="4">
        <f t="shared" si="1"/>
        <v>2708.1215999999999</v>
      </c>
      <c r="N48" s="4">
        <f t="shared" si="2"/>
        <v>2023</v>
      </c>
      <c r="O48" s="4">
        <f t="shared" si="3"/>
        <v>1</v>
      </c>
    </row>
    <row r="49" spans="1:15" x14ac:dyDescent="0.25">
      <c r="A49" t="s">
        <v>137</v>
      </c>
      <c r="B49" s="2">
        <v>45359</v>
      </c>
      <c r="C49" t="s">
        <v>24</v>
      </c>
      <c r="D49" t="s">
        <v>25</v>
      </c>
      <c r="E49">
        <v>0</v>
      </c>
      <c r="F49">
        <v>1744.89</v>
      </c>
      <c r="G49" t="s">
        <v>8</v>
      </c>
      <c r="H49" t="s">
        <v>40</v>
      </c>
      <c r="I49" t="s">
        <v>138</v>
      </c>
      <c r="J49" t="s">
        <v>45</v>
      </c>
      <c r="K49" s="4">
        <f>VLOOKUP(J49,Exchange_Rates!A:B,2,FALSE)</f>
        <v>1</v>
      </c>
      <c r="L49" s="4">
        <f t="shared" si="0"/>
        <v>0</v>
      </c>
      <c r="M49" s="4">
        <f t="shared" si="1"/>
        <v>1744.89</v>
      </c>
      <c r="N49" s="4">
        <f t="shared" si="2"/>
        <v>2024</v>
      </c>
      <c r="O49" s="4">
        <f t="shared" si="3"/>
        <v>1</v>
      </c>
    </row>
    <row r="50" spans="1:15" x14ac:dyDescent="0.25">
      <c r="A50" t="s">
        <v>139</v>
      </c>
      <c r="B50" s="2">
        <v>45788</v>
      </c>
      <c r="C50" t="s">
        <v>38</v>
      </c>
      <c r="D50" t="s">
        <v>39</v>
      </c>
      <c r="E50">
        <v>1408.09</v>
      </c>
      <c r="F50">
        <v>0</v>
      </c>
      <c r="G50" t="s">
        <v>10</v>
      </c>
      <c r="H50" t="s">
        <v>40</v>
      </c>
      <c r="I50" t="s">
        <v>140</v>
      </c>
      <c r="J50" t="s">
        <v>64</v>
      </c>
      <c r="K50" s="4">
        <f>VLOOKUP(J50,Exchange_Rates!A:B,2,FALSE)</f>
        <v>0.73</v>
      </c>
      <c r="L50" s="4">
        <f t="shared" si="0"/>
        <v>1027.9057</v>
      </c>
      <c r="M50" s="4">
        <f t="shared" si="1"/>
        <v>0</v>
      </c>
      <c r="N50" s="4">
        <f t="shared" si="2"/>
        <v>2025</v>
      </c>
      <c r="O50" s="4">
        <f t="shared" si="3"/>
        <v>2</v>
      </c>
    </row>
    <row r="51" spans="1:15" x14ac:dyDescent="0.25">
      <c r="A51" t="s">
        <v>141</v>
      </c>
      <c r="B51" s="2">
        <v>44999</v>
      </c>
      <c r="C51" t="s">
        <v>38</v>
      </c>
      <c r="D51" t="s">
        <v>39</v>
      </c>
      <c r="E51">
        <v>480.19</v>
      </c>
      <c r="F51">
        <v>0</v>
      </c>
      <c r="G51" t="s">
        <v>12</v>
      </c>
      <c r="H51" t="s">
        <v>62</v>
      </c>
      <c r="I51" t="s">
        <v>142</v>
      </c>
      <c r="J51" t="s">
        <v>36</v>
      </c>
      <c r="K51" s="4">
        <f>VLOOKUP(J51,Exchange_Rates!A:B,2,FALSE)</f>
        <v>1.08</v>
      </c>
      <c r="L51" s="4">
        <f t="shared" si="0"/>
        <v>518.60520000000008</v>
      </c>
      <c r="M51" s="4">
        <f t="shared" si="1"/>
        <v>0</v>
      </c>
      <c r="N51" s="4">
        <f t="shared" si="2"/>
        <v>2023</v>
      </c>
      <c r="O51" s="4">
        <f t="shared" si="3"/>
        <v>1</v>
      </c>
    </row>
    <row r="52" spans="1:15" x14ac:dyDescent="0.25">
      <c r="A52" t="s">
        <v>143</v>
      </c>
      <c r="B52" s="2">
        <v>45553</v>
      </c>
      <c r="C52" t="s">
        <v>30</v>
      </c>
      <c r="D52" t="s">
        <v>31</v>
      </c>
      <c r="E52">
        <v>1444.62</v>
      </c>
      <c r="F52">
        <v>0</v>
      </c>
      <c r="G52" t="s">
        <v>12</v>
      </c>
      <c r="H52" t="s">
        <v>62</v>
      </c>
      <c r="I52" t="s">
        <v>144</v>
      </c>
      <c r="J52" t="s">
        <v>64</v>
      </c>
      <c r="K52" s="4">
        <f>VLOOKUP(J52,Exchange_Rates!A:B,2,FALSE)</f>
        <v>0.73</v>
      </c>
      <c r="L52" s="4">
        <f t="shared" si="0"/>
        <v>1054.5726</v>
      </c>
      <c r="M52" s="4">
        <f t="shared" si="1"/>
        <v>0</v>
      </c>
      <c r="N52" s="4">
        <f t="shared" si="2"/>
        <v>2024</v>
      </c>
      <c r="O52" s="4">
        <f t="shared" si="3"/>
        <v>3</v>
      </c>
    </row>
    <row r="53" spans="1:15" x14ac:dyDescent="0.25">
      <c r="A53" t="s">
        <v>145</v>
      </c>
      <c r="B53" s="2">
        <v>45591</v>
      </c>
      <c r="C53" t="s">
        <v>24</v>
      </c>
      <c r="D53" t="s">
        <v>25</v>
      </c>
      <c r="E53">
        <v>0</v>
      </c>
      <c r="F53">
        <v>4456.24</v>
      </c>
      <c r="G53" t="s">
        <v>9</v>
      </c>
      <c r="H53" t="s">
        <v>40</v>
      </c>
      <c r="I53" t="s">
        <v>146</v>
      </c>
      <c r="J53" t="s">
        <v>64</v>
      </c>
      <c r="K53" s="4">
        <f>VLOOKUP(J53,Exchange_Rates!A:B,2,FALSE)</f>
        <v>0.73</v>
      </c>
      <c r="L53" s="4">
        <f t="shared" si="0"/>
        <v>0</v>
      </c>
      <c r="M53" s="4">
        <f t="shared" si="1"/>
        <v>3253.0551999999998</v>
      </c>
      <c r="N53" s="4">
        <f t="shared" si="2"/>
        <v>2024</v>
      </c>
      <c r="O53" s="4">
        <f t="shared" si="3"/>
        <v>4</v>
      </c>
    </row>
    <row r="54" spans="1:15" x14ac:dyDescent="0.25">
      <c r="A54" t="s">
        <v>147</v>
      </c>
      <c r="B54" s="2">
        <v>45817</v>
      </c>
      <c r="C54" t="s">
        <v>24</v>
      </c>
      <c r="D54" t="s">
        <v>25</v>
      </c>
      <c r="E54">
        <v>0</v>
      </c>
      <c r="F54">
        <v>4800.28</v>
      </c>
      <c r="G54" t="s">
        <v>13</v>
      </c>
      <c r="H54" t="s">
        <v>40</v>
      </c>
      <c r="I54" t="s">
        <v>148</v>
      </c>
      <c r="J54" t="s">
        <v>64</v>
      </c>
      <c r="K54" s="4">
        <f>VLOOKUP(J54,Exchange_Rates!A:B,2,FALSE)</f>
        <v>0.73</v>
      </c>
      <c r="L54" s="4">
        <f t="shared" si="0"/>
        <v>0</v>
      </c>
      <c r="M54" s="4">
        <f t="shared" si="1"/>
        <v>3504.2043999999996</v>
      </c>
      <c r="N54" s="4">
        <f t="shared" si="2"/>
        <v>2025</v>
      </c>
      <c r="O54" s="4">
        <f t="shared" si="3"/>
        <v>2</v>
      </c>
    </row>
    <row r="55" spans="1:15" x14ac:dyDescent="0.25">
      <c r="A55" t="s">
        <v>149</v>
      </c>
      <c r="B55" s="2">
        <v>45249</v>
      </c>
      <c r="C55" t="s">
        <v>30</v>
      </c>
      <c r="D55" t="s">
        <v>31</v>
      </c>
      <c r="E55">
        <v>425.12</v>
      </c>
      <c r="F55">
        <v>0</v>
      </c>
      <c r="G55" t="s">
        <v>12</v>
      </c>
      <c r="H55" t="s">
        <v>26</v>
      </c>
      <c r="I55" t="s">
        <v>150</v>
      </c>
      <c r="J55" t="s">
        <v>42</v>
      </c>
      <c r="K55" s="4">
        <f>VLOOKUP(J55,Exchange_Rates!A:B,2,FALSE)</f>
        <v>0.66</v>
      </c>
      <c r="L55" s="4">
        <f t="shared" si="0"/>
        <v>280.57920000000001</v>
      </c>
      <c r="M55" s="4">
        <f t="shared" si="1"/>
        <v>0</v>
      </c>
      <c r="N55" s="4">
        <f t="shared" si="2"/>
        <v>2023</v>
      </c>
      <c r="O55" s="4">
        <f t="shared" si="3"/>
        <v>4</v>
      </c>
    </row>
    <row r="56" spans="1:15" x14ac:dyDescent="0.25">
      <c r="A56" t="s">
        <v>151</v>
      </c>
      <c r="B56" s="2">
        <v>45408</v>
      </c>
      <c r="C56" t="s">
        <v>38</v>
      </c>
      <c r="D56" t="s">
        <v>39</v>
      </c>
      <c r="E56">
        <v>1830.18</v>
      </c>
      <c r="F56">
        <v>0</v>
      </c>
      <c r="G56" t="s">
        <v>8</v>
      </c>
      <c r="H56" t="s">
        <v>26</v>
      </c>
      <c r="I56" t="s">
        <v>152</v>
      </c>
      <c r="J56" t="s">
        <v>36</v>
      </c>
      <c r="K56" s="4">
        <f>VLOOKUP(J56,Exchange_Rates!A:B,2,FALSE)</f>
        <v>1.08</v>
      </c>
      <c r="L56" s="4">
        <f t="shared" si="0"/>
        <v>1976.5944000000002</v>
      </c>
      <c r="M56" s="4">
        <f t="shared" si="1"/>
        <v>0</v>
      </c>
      <c r="N56" s="4">
        <f t="shared" si="2"/>
        <v>2024</v>
      </c>
      <c r="O56" s="4">
        <f t="shared" si="3"/>
        <v>2</v>
      </c>
    </row>
    <row r="57" spans="1:15" x14ac:dyDescent="0.25">
      <c r="A57" t="s">
        <v>153</v>
      </c>
      <c r="B57" s="2">
        <v>45598</v>
      </c>
      <c r="C57" t="s">
        <v>24</v>
      </c>
      <c r="D57" t="s">
        <v>25</v>
      </c>
      <c r="E57">
        <v>0</v>
      </c>
      <c r="F57">
        <v>4128.6400000000003</v>
      </c>
      <c r="G57" t="s">
        <v>11</v>
      </c>
      <c r="H57" t="s">
        <v>62</v>
      </c>
      <c r="I57" t="s">
        <v>154</v>
      </c>
      <c r="J57" t="s">
        <v>42</v>
      </c>
      <c r="K57" s="4">
        <f>VLOOKUP(J57,Exchange_Rates!A:B,2,FALSE)</f>
        <v>0.66</v>
      </c>
      <c r="L57" s="4">
        <f t="shared" si="0"/>
        <v>0</v>
      </c>
      <c r="M57" s="4">
        <f t="shared" si="1"/>
        <v>2724.9024000000004</v>
      </c>
      <c r="N57" s="4">
        <f t="shared" si="2"/>
        <v>2024</v>
      </c>
      <c r="O57" s="4">
        <f t="shared" si="3"/>
        <v>4</v>
      </c>
    </row>
    <row r="58" spans="1:15" x14ac:dyDescent="0.25">
      <c r="A58" t="s">
        <v>155</v>
      </c>
      <c r="B58" s="2">
        <v>45041</v>
      </c>
      <c r="C58" t="s">
        <v>30</v>
      </c>
      <c r="D58" t="s">
        <v>31</v>
      </c>
      <c r="E58">
        <v>609.79999999999995</v>
      </c>
      <c r="F58">
        <v>0</v>
      </c>
      <c r="G58" t="s">
        <v>9</v>
      </c>
      <c r="H58" t="s">
        <v>34</v>
      </c>
      <c r="I58" t="s">
        <v>156</v>
      </c>
      <c r="J58" t="s">
        <v>64</v>
      </c>
      <c r="K58" s="4">
        <f>VLOOKUP(J58,Exchange_Rates!A:B,2,FALSE)</f>
        <v>0.73</v>
      </c>
      <c r="L58" s="4">
        <f t="shared" si="0"/>
        <v>445.15399999999994</v>
      </c>
      <c r="M58" s="4">
        <f t="shared" si="1"/>
        <v>0</v>
      </c>
      <c r="N58" s="4">
        <f t="shared" si="2"/>
        <v>2023</v>
      </c>
      <c r="O58" s="4">
        <f t="shared" si="3"/>
        <v>2</v>
      </c>
    </row>
    <row r="59" spans="1:15" x14ac:dyDescent="0.25">
      <c r="A59" t="s">
        <v>157</v>
      </c>
      <c r="B59" s="2">
        <v>45279</v>
      </c>
      <c r="C59" t="s">
        <v>49</v>
      </c>
      <c r="D59" t="s">
        <v>50</v>
      </c>
      <c r="E59">
        <v>279.32</v>
      </c>
      <c r="F59">
        <v>0</v>
      </c>
      <c r="G59" t="s">
        <v>12</v>
      </c>
      <c r="H59" t="s">
        <v>40</v>
      </c>
      <c r="I59" t="s">
        <v>158</v>
      </c>
      <c r="J59" t="s">
        <v>45</v>
      </c>
      <c r="K59" s="4">
        <f>VLOOKUP(J59,Exchange_Rates!A:B,2,FALSE)</f>
        <v>1</v>
      </c>
      <c r="L59" s="4">
        <f t="shared" si="0"/>
        <v>279.32</v>
      </c>
      <c r="M59" s="4">
        <f t="shared" si="1"/>
        <v>0</v>
      </c>
      <c r="N59" s="4">
        <f t="shared" si="2"/>
        <v>2023</v>
      </c>
      <c r="O59" s="4">
        <f t="shared" si="3"/>
        <v>4</v>
      </c>
    </row>
    <row r="60" spans="1:15" x14ac:dyDescent="0.25">
      <c r="A60" t="s">
        <v>159</v>
      </c>
      <c r="B60" s="2">
        <v>45546</v>
      </c>
      <c r="C60" t="s">
        <v>60</v>
      </c>
      <c r="D60" t="s">
        <v>61</v>
      </c>
      <c r="E60">
        <v>0</v>
      </c>
      <c r="F60">
        <v>1790.31</v>
      </c>
      <c r="G60" t="s">
        <v>8</v>
      </c>
      <c r="H60" t="s">
        <v>26</v>
      </c>
      <c r="I60" t="s">
        <v>160</v>
      </c>
      <c r="J60" t="s">
        <v>64</v>
      </c>
      <c r="K60" s="4">
        <f>VLOOKUP(J60,Exchange_Rates!A:B,2,FALSE)</f>
        <v>0.73</v>
      </c>
      <c r="L60" s="4">
        <f t="shared" si="0"/>
        <v>0</v>
      </c>
      <c r="M60" s="4">
        <f t="shared" si="1"/>
        <v>1306.9262999999999</v>
      </c>
      <c r="N60" s="4">
        <f t="shared" si="2"/>
        <v>2024</v>
      </c>
      <c r="O60" s="4">
        <f t="shared" si="3"/>
        <v>3</v>
      </c>
    </row>
    <row r="61" spans="1:15" x14ac:dyDescent="0.25">
      <c r="A61" t="s">
        <v>161</v>
      </c>
      <c r="B61" s="2">
        <v>45324</v>
      </c>
      <c r="C61" t="s">
        <v>49</v>
      </c>
      <c r="D61" t="s">
        <v>50</v>
      </c>
      <c r="E61">
        <v>1635.65</v>
      </c>
      <c r="F61">
        <v>0</v>
      </c>
      <c r="G61" t="s">
        <v>9</v>
      </c>
      <c r="H61" t="s">
        <v>40</v>
      </c>
      <c r="I61" t="s">
        <v>162</v>
      </c>
      <c r="J61" t="s">
        <v>64</v>
      </c>
      <c r="K61" s="4">
        <f>VLOOKUP(J61,Exchange_Rates!A:B,2,FALSE)</f>
        <v>0.73</v>
      </c>
      <c r="L61" s="4">
        <f t="shared" si="0"/>
        <v>1194.0245</v>
      </c>
      <c r="M61" s="4">
        <f t="shared" si="1"/>
        <v>0</v>
      </c>
      <c r="N61" s="4">
        <f t="shared" si="2"/>
        <v>2024</v>
      </c>
      <c r="O61" s="4">
        <f t="shared" si="3"/>
        <v>1</v>
      </c>
    </row>
    <row r="62" spans="1:15" x14ac:dyDescent="0.25">
      <c r="A62" t="s">
        <v>163</v>
      </c>
      <c r="B62" s="2">
        <v>45412</v>
      </c>
      <c r="C62" t="s">
        <v>24</v>
      </c>
      <c r="D62" t="s">
        <v>25</v>
      </c>
      <c r="E62">
        <v>0</v>
      </c>
      <c r="F62">
        <v>3300.5</v>
      </c>
      <c r="G62" t="s">
        <v>8</v>
      </c>
      <c r="H62" t="s">
        <v>40</v>
      </c>
      <c r="I62" t="s">
        <v>164</v>
      </c>
      <c r="J62" t="s">
        <v>45</v>
      </c>
      <c r="K62" s="4">
        <f>VLOOKUP(J62,Exchange_Rates!A:B,2,FALSE)</f>
        <v>1</v>
      </c>
      <c r="L62" s="4">
        <f t="shared" si="0"/>
        <v>0</v>
      </c>
      <c r="M62" s="4">
        <f t="shared" si="1"/>
        <v>3300.5</v>
      </c>
      <c r="N62" s="4">
        <f t="shared" si="2"/>
        <v>2024</v>
      </c>
      <c r="O62" s="4">
        <f t="shared" si="3"/>
        <v>2</v>
      </c>
    </row>
    <row r="63" spans="1:15" x14ac:dyDescent="0.25">
      <c r="A63" t="s">
        <v>165</v>
      </c>
      <c r="B63" s="2">
        <v>45465</v>
      </c>
      <c r="C63" t="s">
        <v>38</v>
      </c>
      <c r="D63" t="s">
        <v>39</v>
      </c>
      <c r="E63">
        <v>1704.76</v>
      </c>
      <c r="F63">
        <v>0</v>
      </c>
      <c r="G63" t="s">
        <v>12</v>
      </c>
      <c r="H63" t="s">
        <v>34</v>
      </c>
      <c r="I63" t="s">
        <v>166</v>
      </c>
      <c r="J63" t="s">
        <v>42</v>
      </c>
      <c r="K63" s="4">
        <f>VLOOKUP(J63,Exchange_Rates!A:B,2,FALSE)</f>
        <v>0.66</v>
      </c>
      <c r="L63" s="4">
        <f t="shared" si="0"/>
        <v>1125.1416000000002</v>
      </c>
      <c r="M63" s="4">
        <f t="shared" si="1"/>
        <v>0</v>
      </c>
      <c r="N63" s="4">
        <f t="shared" si="2"/>
        <v>2024</v>
      </c>
      <c r="O63" s="4">
        <f t="shared" si="3"/>
        <v>2</v>
      </c>
    </row>
    <row r="64" spans="1:15" x14ac:dyDescent="0.25">
      <c r="A64" t="s">
        <v>167</v>
      </c>
      <c r="B64" s="2">
        <v>45185</v>
      </c>
      <c r="C64" t="s">
        <v>49</v>
      </c>
      <c r="D64" t="s">
        <v>50</v>
      </c>
      <c r="E64">
        <v>145.25</v>
      </c>
      <c r="F64">
        <v>0</v>
      </c>
      <c r="G64" t="s">
        <v>10</v>
      </c>
      <c r="H64" t="s">
        <v>34</v>
      </c>
      <c r="I64" t="s">
        <v>168</v>
      </c>
      <c r="J64" t="s">
        <v>36</v>
      </c>
      <c r="K64" s="4">
        <f>VLOOKUP(J64,Exchange_Rates!A:B,2,FALSE)</f>
        <v>1.08</v>
      </c>
      <c r="L64" s="4">
        <f t="shared" si="0"/>
        <v>156.87</v>
      </c>
      <c r="M64" s="4">
        <f t="shared" si="1"/>
        <v>0</v>
      </c>
      <c r="N64" s="4">
        <f t="shared" si="2"/>
        <v>2023</v>
      </c>
      <c r="O64" s="4">
        <f t="shared" si="3"/>
        <v>3</v>
      </c>
    </row>
    <row r="65" spans="1:15" x14ac:dyDescent="0.25">
      <c r="A65" t="s">
        <v>169</v>
      </c>
      <c r="B65" s="2">
        <v>45529</v>
      </c>
      <c r="C65" t="s">
        <v>38</v>
      </c>
      <c r="D65" t="s">
        <v>39</v>
      </c>
      <c r="E65">
        <v>1423.44</v>
      </c>
      <c r="F65">
        <v>0</v>
      </c>
      <c r="G65" t="s">
        <v>12</v>
      </c>
      <c r="H65" t="s">
        <v>34</v>
      </c>
      <c r="I65" t="s">
        <v>170</v>
      </c>
      <c r="J65" t="s">
        <v>36</v>
      </c>
      <c r="K65" s="4">
        <f>VLOOKUP(J65,Exchange_Rates!A:B,2,FALSE)</f>
        <v>1.08</v>
      </c>
      <c r="L65" s="4">
        <f t="shared" si="0"/>
        <v>1537.3152000000002</v>
      </c>
      <c r="M65" s="4">
        <f t="shared" si="1"/>
        <v>0</v>
      </c>
      <c r="N65" s="4">
        <f t="shared" si="2"/>
        <v>2024</v>
      </c>
      <c r="O65" s="4">
        <f t="shared" si="3"/>
        <v>3</v>
      </c>
    </row>
    <row r="66" spans="1:15" x14ac:dyDescent="0.25">
      <c r="A66" t="s">
        <v>171</v>
      </c>
      <c r="B66" s="2">
        <v>45172</v>
      </c>
      <c r="C66" t="s">
        <v>49</v>
      </c>
      <c r="D66" t="s">
        <v>50</v>
      </c>
      <c r="E66">
        <v>793.01</v>
      </c>
      <c r="F66">
        <v>0</v>
      </c>
      <c r="G66" t="s">
        <v>10</v>
      </c>
      <c r="H66" t="s">
        <v>62</v>
      </c>
      <c r="I66" t="s">
        <v>172</v>
      </c>
      <c r="J66" t="s">
        <v>64</v>
      </c>
      <c r="K66" s="4">
        <f>VLOOKUP(J66,Exchange_Rates!A:B,2,FALSE)</f>
        <v>0.73</v>
      </c>
      <c r="L66" s="4">
        <f t="shared" si="0"/>
        <v>578.89729999999997</v>
      </c>
      <c r="M66" s="4">
        <f t="shared" si="1"/>
        <v>0</v>
      </c>
      <c r="N66" s="4">
        <f t="shared" si="2"/>
        <v>2023</v>
      </c>
      <c r="O66" s="4">
        <f t="shared" si="3"/>
        <v>3</v>
      </c>
    </row>
    <row r="67" spans="1:15" x14ac:dyDescent="0.25">
      <c r="A67" t="s">
        <v>173</v>
      </c>
      <c r="B67" s="2">
        <v>44984</v>
      </c>
      <c r="C67" t="s">
        <v>60</v>
      </c>
      <c r="D67" t="s">
        <v>61</v>
      </c>
      <c r="E67">
        <v>0</v>
      </c>
      <c r="F67">
        <v>2977.78</v>
      </c>
      <c r="G67" t="s">
        <v>12</v>
      </c>
      <c r="H67" t="s">
        <v>34</v>
      </c>
      <c r="I67" t="s">
        <v>174</v>
      </c>
      <c r="J67" t="s">
        <v>45</v>
      </c>
      <c r="K67" s="4">
        <f>VLOOKUP(J67,Exchange_Rates!A:B,2,FALSE)</f>
        <v>1</v>
      </c>
      <c r="L67" s="4">
        <f t="shared" ref="L67:L130" si="4">E67*K67</f>
        <v>0</v>
      </c>
      <c r="M67" s="4">
        <f t="shared" ref="M67:M130" si="5">F67*K67</f>
        <v>2977.78</v>
      </c>
      <c r="N67" s="4">
        <f t="shared" ref="N67:N130" si="6">YEAR(B67)</f>
        <v>2023</v>
      </c>
      <c r="O67" s="4">
        <f t="shared" ref="O67:O130" si="7">ROUNDUP(MONTH(B67)/3,0)</f>
        <v>1</v>
      </c>
    </row>
    <row r="68" spans="1:15" x14ac:dyDescent="0.25">
      <c r="A68" t="s">
        <v>175</v>
      </c>
      <c r="B68" s="2">
        <v>45214</v>
      </c>
      <c r="C68" t="s">
        <v>49</v>
      </c>
      <c r="D68" t="s">
        <v>50</v>
      </c>
      <c r="E68">
        <v>1212.6500000000001</v>
      </c>
      <c r="F68">
        <v>0</v>
      </c>
      <c r="G68" t="s">
        <v>13</v>
      </c>
      <c r="H68" t="s">
        <v>26</v>
      </c>
      <c r="I68" t="s">
        <v>176</v>
      </c>
      <c r="J68" t="s">
        <v>36</v>
      </c>
      <c r="K68" s="4">
        <f>VLOOKUP(J68,Exchange_Rates!A:B,2,FALSE)</f>
        <v>1.08</v>
      </c>
      <c r="L68" s="4">
        <f t="shared" si="4"/>
        <v>1309.6620000000003</v>
      </c>
      <c r="M68" s="4">
        <f t="shared" si="5"/>
        <v>0</v>
      </c>
      <c r="N68" s="4">
        <f t="shared" si="6"/>
        <v>2023</v>
      </c>
      <c r="O68" s="4">
        <f t="shared" si="7"/>
        <v>4</v>
      </c>
    </row>
    <row r="69" spans="1:15" x14ac:dyDescent="0.25">
      <c r="A69" t="s">
        <v>177</v>
      </c>
      <c r="B69" s="2">
        <v>45778</v>
      </c>
      <c r="C69" t="s">
        <v>24</v>
      </c>
      <c r="D69" t="s">
        <v>25</v>
      </c>
      <c r="E69">
        <v>0</v>
      </c>
      <c r="F69">
        <v>1204.96</v>
      </c>
      <c r="G69" t="s">
        <v>13</v>
      </c>
      <c r="H69" t="s">
        <v>34</v>
      </c>
      <c r="I69" t="s">
        <v>178</v>
      </c>
      <c r="J69" t="s">
        <v>28</v>
      </c>
      <c r="K69" s="4">
        <f>VLOOKUP(J69,Exchange_Rates!A:B,2,FALSE)</f>
        <v>1.27</v>
      </c>
      <c r="L69" s="4">
        <f t="shared" si="4"/>
        <v>0</v>
      </c>
      <c r="M69" s="4">
        <f t="shared" si="5"/>
        <v>1530.2992000000002</v>
      </c>
      <c r="N69" s="4">
        <f t="shared" si="6"/>
        <v>2025</v>
      </c>
      <c r="O69" s="4">
        <f t="shared" si="7"/>
        <v>2</v>
      </c>
    </row>
    <row r="70" spans="1:15" x14ac:dyDescent="0.25">
      <c r="A70" t="s">
        <v>179</v>
      </c>
      <c r="B70" s="2">
        <v>45831</v>
      </c>
      <c r="C70" t="s">
        <v>49</v>
      </c>
      <c r="D70" t="s">
        <v>50</v>
      </c>
      <c r="E70">
        <v>1735.7</v>
      </c>
      <c r="F70">
        <v>0</v>
      </c>
      <c r="G70" t="s">
        <v>12</v>
      </c>
      <c r="H70" t="s">
        <v>62</v>
      </c>
      <c r="I70" t="s">
        <v>180</v>
      </c>
      <c r="J70" t="s">
        <v>45</v>
      </c>
      <c r="K70" s="4">
        <f>VLOOKUP(J70,Exchange_Rates!A:B,2,FALSE)</f>
        <v>1</v>
      </c>
      <c r="L70" s="4">
        <f t="shared" si="4"/>
        <v>1735.7</v>
      </c>
      <c r="M70" s="4">
        <f t="shared" si="5"/>
        <v>0</v>
      </c>
      <c r="N70" s="4">
        <f t="shared" si="6"/>
        <v>2025</v>
      </c>
      <c r="O70" s="4">
        <f t="shared" si="7"/>
        <v>2</v>
      </c>
    </row>
    <row r="71" spans="1:15" x14ac:dyDescent="0.25">
      <c r="A71" t="s">
        <v>181</v>
      </c>
      <c r="B71" s="2">
        <v>45826</v>
      </c>
      <c r="C71" t="s">
        <v>38</v>
      </c>
      <c r="D71" t="s">
        <v>39</v>
      </c>
      <c r="E71">
        <v>1095.32</v>
      </c>
      <c r="F71">
        <v>0</v>
      </c>
      <c r="G71" t="s">
        <v>8</v>
      </c>
      <c r="H71" t="s">
        <v>26</v>
      </c>
      <c r="I71" t="s">
        <v>182</v>
      </c>
      <c r="J71" t="s">
        <v>42</v>
      </c>
      <c r="K71" s="4">
        <f>VLOOKUP(J71,Exchange_Rates!A:B,2,FALSE)</f>
        <v>0.66</v>
      </c>
      <c r="L71" s="4">
        <f t="shared" si="4"/>
        <v>722.91120000000001</v>
      </c>
      <c r="M71" s="4">
        <f t="shared" si="5"/>
        <v>0</v>
      </c>
      <c r="N71" s="4">
        <f t="shared" si="6"/>
        <v>2025</v>
      </c>
      <c r="O71" s="4">
        <f t="shared" si="7"/>
        <v>2</v>
      </c>
    </row>
    <row r="72" spans="1:15" x14ac:dyDescent="0.25">
      <c r="A72" t="s">
        <v>183</v>
      </c>
      <c r="B72" s="2">
        <v>45430</v>
      </c>
      <c r="C72" t="s">
        <v>38</v>
      </c>
      <c r="D72" t="s">
        <v>39</v>
      </c>
      <c r="E72">
        <v>553.17999999999995</v>
      </c>
      <c r="F72">
        <v>0</v>
      </c>
      <c r="G72" t="s">
        <v>10</v>
      </c>
      <c r="H72" t="s">
        <v>34</v>
      </c>
      <c r="I72" t="s">
        <v>184</v>
      </c>
      <c r="J72" t="s">
        <v>45</v>
      </c>
      <c r="K72" s="4">
        <f>VLOOKUP(J72,Exchange_Rates!A:B,2,FALSE)</f>
        <v>1</v>
      </c>
      <c r="L72" s="4">
        <f t="shared" si="4"/>
        <v>553.17999999999995</v>
      </c>
      <c r="M72" s="4">
        <f t="shared" si="5"/>
        <v>0</v>
      </c>
      <c r="N72" s="4">
        <f t="shared" si="6"/>
        <v>2024</v>
      </c>
      <c r="O72" s="4">
        <f t="shared" si="7"/>
        <v>2</v>
      </c>
    </row>
    <row r="73" spans="1:15" x14ac:dyDescent="0.25">
      <c r="A73" t="s">
        <v>185</v>
      </c>
      <c r="B73" s="2">
        <v>45781</v>
      </c>
      <c r="C73" t="s">
        <v>24</v>
      </c>
      <c r="D73" t="s">
        <v>25</v>
      </c>
      <c r="E73">
        <v>0</v>
      </c>
      <c r="F73">
        <v>2434.5500000000002</v>
      </c>
      <c r="G73" t="s">
        <v>8</v>
      </c>
      <c r="H73" t="s">
        <v>34</v>
      </c>
      <c r="I73" t="s">
        <v>186</v>
      </c>
      <c r="J73" t="s">
        <v>64</v>
      </c>
      <c r="K73" s="4">
        <f>VLOOKUP(J73,Exchange_Rates!A:B,2,FALSE)</f>
        <v>0.73</v>
      </c>
      <c r="L73" s="4">
        <f t="shared" si="4"/>
        <v>0</v>
      </c>
      <c r="M73" s="4">
        <f t="shared" si="5"/>
        <v>1777.2215000000001</v>
      </c>
      <c r="N73" s="4">
        <f t="shared" si="6"/>
        <v>2025</v>
      </c>
      <c r="O73" s="4">
        <f t="shared" si="7"/>
        <v>2</v>
      </c>
    </row>
    <row r="74" spans="1:15" x14ac:dyDescent="0.25">
      <c r="A74" t="s">
        <v>187</v>
      </c>
      <c r="B74" s="2">
        <v>45343</v>
      </c>
      <c r="C74" t="s">
        <v>30</v>
      </c>
      <c r="D74" t="s">
        <v>31</v>
      </c>
      <c r="E74">
        <v>156.53</v>
      </c>
      <c r="F74">
        <v>0</v>
      </c>
      <c r="G74" t="s">
        <v>8</v>
      </c>
      <c r="H74" t="s">
        <v>26</v>
      </c>
      <c r="I74" t="s">
        <v>188</v>
      </c>
      <c r="J74" t="s">
        <v>45</v>
      </c>
      <c r="K74" s="4">
        <f>VLOOKUP(J74,Exchange_Rates!A:B,2,FALSE)</f>
        <v>1</v>
      </c>
      <c r="L74" s="4">
        <f t="shared" si="4"/>
        <v>156.53</v>
      </c>
      <c r="M74" s="4">
        <f t="shared" si="5"/>
        <v>0</v>
      </c>
      <c r="N74" s="4">
        <f t="shared" si="6"/>
        <v>2024</v>
      </c>
      <c r="O74" s="4">
        <f t="shared" si="7"/>
        <v>1</v>
      </c>
    </row>
    <row r="75" spans="1:15" x14ac:dyDescent="0.25">
      <c r="A75" t="s">
        <v>189</v>
      </c>
      <c r="B75" s="2">
        <v>45690</v>
      </c>
      <c r="C75" t="s">
        <v>38</v>
      </c>
      <c r="D75" t="s">
        <v>39</v>
      </c>
      <c r="E75">
        <v>1231.32</v>
      </c>
      <c r="F75">
        <v>0</v>
      </c>
      <c r="G75" t="s">
        <v>9</v>
      </c>
      <c r="H75" t="s">
        <v>51</v>
      </c>
      <c r="I75" t="s">
        <v>190</v>
      </c>
      <c r="J75" t="s">
        <v>28</v>
      </c>
      <c r="K75" s="4">
        <f>VLOOKUP(J75,Exchange_Rates!A:B,2,FALSE)</f>
        <v>1.27</v>
      </c>
      <c r="L75" s="4">
        <f t="shared" si="4"/>
        <v>1563.7764</v>
      </c>
      <c r="M75" s="4">
        <f t="shared" si="5"/>
        <v>0</v>
      </c>
      <c r="N75" s="4">
        <f t="shared" si="6"/>
        <v>2025</v>
      </c>
      <c r="O75" s="4">
        <f t="shared" si="7"/>
        <v>1</v>
      </c>
    </row>
    <row r="76" spans="1:15" x14ac:dyDescent="0.25">
      <c r="A76" t="s">
        <v>191</v>
      </c>
      <c r="B76" s="2">
        <v>45551</v>
      </c>
      <c r="C76" t="s">
        <v>49</v>
      </c>
      <c r="D76" t="s">
        <v>50</v>
      </c>
      <c r="E76">
        <v>1844.88</v>
      </c>
      <c r="F76">
        <v>0</v>
      </c>
      <c r="G76" t="s">
        <v>11</v>
      </c>
      <c r="H76" t="s">
        <v>62</v>
      </c>
      <c r="I76" t="s">
        <v>192</v>
      </c>
      <c r="J76" t="s">
        <v>42</v>
      </c>
      <c r="K76" s="4">
        <f>VLOOKUP(J76,Exchange_Rates!A:B,2,FALSE)</f>
        <v>0.66</v>
      </c>
      <c r="L76" s="4">
        <f t="shared" si="4"/>
        <v>1217.6208000000001</v>
      </c>
      <c r="M76" s="4">
        <f t="shared" si="5"/>
        <v>0</v>
      </c>
      <c r="N76" s="4">
        <f t="shared" si="6"/>
        <v>2024</v>
      </c>
      <c r="O76" s="4">
        <f t="shared" si="7"/>
        <v>3</v>
      </c>
    </row>
    <row r="77" spans="1:15" x14ac:dyDescent="0.25">
      <c r="A77" t="s">
        <v>193</v>
      </c>
      <c r="B77" s="2">
        <v>45751</v>
      </c>
      <c r="C77" t="s">
        <v>49</v>
      </c>
      <c r="D77" t="s">
        <v>50</v>
      </c>
      <c r="E77">
        <v>1368.26</v>
      </c>
      <c r="F77">
        <v>0</v>
      </c>
      <c r="G77" t="s">
        <v>8</v>
      </c>
      <c r="H77" t="s">
        <v>26</v>
      </c>
      <c r="I77" t="s">
        <v>194</v>
      </c>
      <c r="J77" t="s">
        <v>28</v>
      </c>
      <c r="K77" s="4">
        <f>VLOOKUP(J77,Exchange_Rates!A:B,2,FALSE)</f>
        <v>1.27</v>
      </c>
      <c r="L77" s="4">
        <f t="shared" si="4"/>
        <v>1737.6902</v>
      </c>
      <c r="M77" s="4">
        <f t="shared" si="5"/>
        <v>0</v>
      </c>
      <c r="N77" s="4">
        <f t="shared" si="6"/>
        <v>2025</v>
      </c>
      <c r="O77" s="4">
        <f t="shared" si="7"/>
        <v>2</v>
      </c>
    </row>
    <row r="78" spans="1:15" x14ac:dyDescent="0.25">
      <c r="A78" t="s">
        <v>195</v>
      </c>
      <c r="B78" s="2">
        <v>45437</v>
      </c>
      <c r="C78" t="s">
        <v>24</v>
      </c>
      <c r="D78" t="s">
        <v>25</v>
      </c>
      <c r="E78">
        <v>0</v>
      </c>
      <c r="F78">
        <v>2609.56</v>
      </c>
      <c r="G78" t="s">
        <v>11</v>
      </c>
      <c r="H78" t="s">
        <v>40</v>
      </c>
      <c r="I78" t="s">
        <v>196</v>
      </c>
      <c r="J78" t="s">
        <v>28</v>
      </c>
      <c r="K78" s="4">
        <f>VLOOKUP(J78,Exchange_Rates!A:B,2,FALSE)</f>
        <v>1.27</v>
      </c>
      <c r="L78" s="4">
        <f t="shared" si="4"/>
        <v>0</v>
      </c>
      <c r="M78" s="4">
        <f t="shared" si="5"/>
        <v>3314.1412</v>
      </c>
      <c r="N78" s="4">
        <f t="shared" si="6"/>
        <v>2024</v>
      </c>
      <c r="O78" s="4">
        <f t="shared" si="7"/>
        <v>2</v>
      </c>
    </row>
    <row r="79" spans="1:15" x14ac:dyDescent="0.25">
      <c r="A79" t="s">
        <v>197</v>
      </c>
      <c r="B79" s="2">
        <v>45012</v>
      </c>
      <c r="C79" t="s">
        <v>38</v>
      </c>
      <c r="D79" t="s">
        <v>39</v>
      </c>
      <c r="E79">
        <v>1420.84</v>
      </c>
      <c r="F79">
        <v>0</v>
      </c>
      <c r="G79" t="s">
        <v>10</v>
      </c>
      <c r="H79" t="s">
        <v>40</v>
      </c>
      <c r="I79" t="s">
        <v>198</v>
      </c>
      <c r="J79" t="s">
        <v>42</v>
      </c>
      <c r="K79" s="4">
        <f>VLOOKUP(J79,Exchange_Rates!A:B,2,FALSE)</f>
        <v>0.66</v>
      </c>
      <c r="L79" s="4">
        <f t="shared" si="4"/>
        <v>937.75440000000003</v>
      </c>
      <c r="M79" s="4">
        <f t="shared" si="5"/>
        <v>0</v>
      </c>
      <c r="N79" s="4">
        <f t="shared" si="6"/>
        <v>2023</v>
      </c>
      <c r="O79" s="4">
        <f t="shared" si="7"/>
        <v>1</v>
      </c>
    </row>
    <row r="80" spans="1:15" x14ac:dyDescent="0.25">
      <c r="A80" t="s">
        <v>199</v>
      </c>
      <c r="B80" s="2">
        <v>45742</v>
      </c>
      <c r="C80" t="s">
        <v>30</v>
      </c>
      <c r="D80" t="s">
        <v>31</v>
      </c>
      <c r="E80">
        <v>1671.57</v>
      </c>
      <c r="F80">
        <v>0</v>
      </c>
      <c r="G80" t="s">
        <v>8</v>
      </c>
      <c r="H80" t="s">
        <v>34</v>
      </c>
      <c r="I80" t="s">
        <v>200</v>
      </c>
      <c r="J80" t="s">
        <v>28</v>
      </c>
      <c r="K80" s="4">
        <f>VLOOKUP(J80,Exchange_Rates!A:B,2,FALSE)</f>
        <v>1.27</v>
      </c>
      <c r="L80" s="4">
        <f t="shared" si="4"/>
        <v>2122.8939</v>
      </c>
      <c r="M80" s="4">
        <f t="shared" si="5"/>
        <v>0</v>
      </c>
      <c r="N80" s="4">
        <f t="shared" si="6"/>
        <v>2025</v>
      </c>
      <c r="O80" s="4">
        <f t="shared" si="7"/>
        <v>1</v>
      </c>
    </row>
    <row r="81" spans="1:15" x14ac:dyDescent="0.25">
      <c r="A81" t="s">
        <v>201</v>
      </c>
      <c r="B81" s="2">
        <v>45001</v>
      </c>
      <c r="C81" t="s">
        <v>38</v>
      </c>
      <c r="D81" t="s">
        <v>39</v>
      </c>
      <c r="E81">
        <v>498.83</v>
      </c>
      <c r="F81">
        <v>0</v>
      </c>
      <c r="G81" t="s">
        <v>13</v>
      </c>
      <c r="H81" t="s">
        <v>34</v>
      </c>
      <c r="I81" t="s">
        <v>202</v>
      </c>
      <c r="J81" t="s">
        <v>42</v>
      </c>
      <c r="K81" s="4">
        <f>VLOOKUP(J81,Exchange_Rates!A:B,2,FALSE)</f>
        <v>0.66</v>
      </c>
      <c r="L81" s="4">
        <f t="shared" si="4"/>
        <v>329.2278</v>
      </c>
      <c r="M81" s="4">
        <f t="shared" si="5"/>
        <v>0</v>
      </c>
      <c r="N81" s="4">
        <f t="shared" si="6"/>
        <v>2023</v>
      </c>
      <c r="O81" s="4">
        <f t="shared" si="7"/>
        <v>1</v>
      </c>
    </row>
    <row r="82" spans="1:15" x14ac:dyDescent="0.25">
      <c r="A82" t="s">
        <v>203</v>
      </c>
      <c r="B82" s="2">
        <v>45799</v>
      </c>
      <c r="C82" t="s">
        <v>49</v>
      </c>
      <c r="D82" t="s">
        <v>50</v>
      </c>
      <c r="E82">
        <v>1528.9</v>
      </c>
      <c r="F82">
        <v>0</v>
      </c>
      <c r="G82" t="s">
        <v>11</v>
      </c>
      <c r="H82" t="s">
        <v>51</v>
      </c>
      <c r="I82" t="s">
        <v>204</v>
      </c>
      <c r="J82" t="s">
        <v>45</v>
      </c>
      <c r="K82" s="4">
        <f>VLOOKUP(J82,Exchange_Rates!A:B,2,FALSE)</f>
        <v>1</v>
      </c>
      <c r="L82" s="4">
        <f t="shared" si="4"/>
        <v>1528.9</v>
      </c>
      <c r="M82" s="4">
        <f t="shared" si="5"/>
        <v>0</v>
      </c>
      <c r="N82" s="4">
        <f t="shared" si="6"/>
        <v>2025</v>
      </c>
      <c r="O82" s="4">
        <f t="shared" si="7"/>
        <v>2</v>
      </c>
    </row>
    <row r="83" spans="1:15" x14ac:dyDescent="0.25">
      <c r="A83" t="s">
        <v>205</v>
      </c>
      <c r="B83" s="2">
        <v>45172</v>
      </c>
      <c r="C83" t="s">
        <v>24</v>
      </c>
      <c r="D83" t="s">
        <v>25</v>
      </c>
      <c r="E83">
        <v>0</v>
      </c>
      <c r="F83">
        <v>4706.6099999999997</v>
      </c>
      <c r="G83" t="s">
        <v>10</v>
      </c>
      <c r="H83" t="s">
        <v>34</v>
      </c>
      <c r="I83" t="s">
        <v>206</v>
      </c>
      <c r="J83" t="s">
        <v>36</v>
      </c>
      <c r="K83" s="4">
        <f>VLOOKUP(J83,Exchange_Rates!A:B,2,FALSE)</f>
        <v>1.08</v>
      </c>
      <c r="L83" s="4">
        <f t="shared" si="4"/>
        <v>0</v>
      </c>
      <c r="M83" s="4">
        <f t="shared" si="5"/>
        <v>5083.1387999999997</v>
      </c>
      <c r="N83" s="4">
        <f t="shared" si="6"/>
        <v>2023</v>
      </c>
      <c r="O83" s="4">
        <f t="shared" si="7"/>
        <v>3</v>
      </c>
    </row>
    <row r="84" spans="1:15" x14ac:dyDescent="0.25">
      <c r="A84" t="s">
        <v>207</v>
      </c>
      <c r="B84" s="2">
        <v>45284</v>
      </c>
      <c r="C84" t="s">
        <v>49</v>
      </c>
      <c r="D84" t="s">
        <v>50</v>
      </c>
      <c r="E84">
        <v>1105.6300000000001</v>
      </c>
      <c r="F84">
        <v>0</v>
      </c>
      <c r="G84" t="s">
        <v>11</v>
      </c>
      <c r="H84" t="s">
        <v>34</v>
      </c>
      <c r="I84" t="s">
        <v>208</v>
      </c>
      <c r="J84" t="s">
        <v>42</v>
      </c>
      <c r="K84" s="4">
        <f>VLOOKUP(J84,Exchange_Rates!A:B,2,FALSE)</f>
        <v>0.66</v>
      </c>
      <c r="L84" s="4">
        <f t="shared" si="4"/>
        <v>729.71580000000006</v>
      </c>
      <c r="M84" s="4">
        <f t="shared" si="5"/>
        <v>0</v>
      </c>
      <c r="N84" s="4">
        <f t="shared" si="6"/>
        <v>2023</v>
      </c>
      <c r="O84" s="4">
        <f t="shared" si="7"/>
        <v>4</v>
      </c>
    </row>
    <row r="85" spans="1:15" x14ac:dyDescent="0.25">
      <c r="A85" t="s">
        <v>209</v>
      </c>
      <c r="B85" s="2">
        <v>45222</v>
      </c>
      <c r="C85" t="s">
        <v>60</v>
      </c>
      <c r="D85" t="s">
        <v>61</v>
      </c>
      <c r="E85">
        <v>0</v>
      </c>
      <c r="F85">
        <v>3399.04</v>
      </c>
      <c r="G85" t="s">
        <v>10</v>
      </c>
      <c r="H85" t="s">
        <v>51</v>
      </c>
      <c r="I85" t="s">
        <v>210</v>
      </c>
      <c r="J85" t="s">
        <v>42</v>
      </c>
      <c r="K85" s="4">
        <f>VLOOKUP(J85,Exchange_Rates!A:B,2,FALSE)</f>
        <v>0.66</v>
      </c>
      <c r="L85" s="4">
        <f t="shared" si="4"/>
        <v>0</v>
      </c>
      <c r="M85" s="4">
        <f t="shared" si="5"/>
        <v>2243.3663999999999</v>
      </c>
      <c r="N85" s="4">
        <f t="shared" si="6"/>
        <v>2023</v>
      </c>
      <c r="O85" s="4">
        <f t="shared" si="7"/>
        <v>4</v>
      </c>
    </row>
    <row r="86" spans="1:15" x14ac:dyDescent="0.25">
      <c r="A86" t="s">
        <v>211</v>
      </c>
      <c r="B86" s="2">
        <v>45291</v>
      </c>
      <c r="C86" t="s">
        <v>49</v>
      </c>
      <c r="D86" t="s">
        <v>50</v>
      </c>
      <c r="E86">
        <v>1163.98</v>
      </c>
      <c r="F86">
        <v>0</v>
      </c>
      <c r="G86" t="s">
        <v>11</v>
      </c>
      <c r="H86" t="s">
        <v>62</v>
      </c>
      <c r="I86" t="s">
        <v>212</v>
      </c>
      <c r="J86" t="s">
        <v>28</v>
      </c>
      <c r="K86" s="4">
        <f>VLOOKUP(J86,Exchange_Rates!A:B,2,FALSE)</f>
        <v>1.27</v>
      </c>
      <c r="L86" s="4">
        <f t="shared" si="4"/>
        <v>1478.2546</v>
      </c>
      <c r="M86" s="4">
        <f t="shared" si="5"/>
        <v>0</v>
      </c>
      <c r="N86" s="4">
        <f t="shared" si="6"/>
        <v>2023</v>
      </c>
      <c r="O86" s="4">
        <f t="shared" si="7"/>
        <v>4</v>
      </c>
    </row>
    <row r="87" spans="1:15" x14ac:dyDescent="0.25">
      <c r="A87" t="s">
        <v>213</v>
      </c>
      <c r="B87" s="2">
        <v>45221</v>
      </c>
      <c r="C87" t="s">
        <v>24</v>
      </c>
      <c r="D87" t="s">
        <v>25</v>
      </c>
      <c r="E87">
        <v>0</v>
      </c>
      <c r="F87">
        <v>3532.66</v>
      </c>
      <c r="G87" t="s">
        <v>10</v>
      </c>
      <c r="H87" t="s">
        <v>34</v>
      </c>
      <c r="I87" t="s">
        <v>214</v>
      </c>
      <c r="J87" t="s">
        <v>45</v>
      </c>
      <c r="K87" s="4">
        <f>VLOOKUP(J87,Exchange_Rates!A:B,2,FALSE)</f>
        <v>1</v>
      </c>
      <c r="L87" s="4">
        <f t="shared" si="4"/>
        <v>0</v>
      </c>
      <c r="M87" s="4">
        <f t="shared" si="5"/>
        <v>3532.66</v>
      </c>
      <c r="N87" s="4">
        <f t="shared" si="6"/>
        <v>2023</v>
      </c>
      <c r="O87" s="4">
        <f t="shared" si="7"/>
        <v>4</v>
      </c>
    </row>
    <row r="88" spans="1:15" x14ac:dyDescent="0.25">
      <c r="A88" t="s">
        <v>215</v>
      </c>
      <c r="B88" s="2">
        <v>45709</v>
      </c>
      <c r="C88" t="s">
        <v>49</v>
      </c>
      <c r="D88" t="s">
        <v>50</v>
      </c>
      <c r="E88">
        <v>1395.59</v>
      </c>
      <c r="F88">
        <v>0</v>
      </c>
      <c r="G88" t="s">
        <v>9</v>
      </c>
      <c r="H88" t="s">
        <v>62</v>
      </c>
      <c r="I88" t="s">
        <v>216</v>
      </c>
      <c r="J88" t="s">
        <v>45</v>
      </c>
      <c r="K88" s="4">
        <f>VLOOKUP(J88,Exchange_Rates!A:B,2,FALSE)</f>
        <v>1</v>
      </c>
      <c r="L88" s="4">
        <f t="shared" si="4"/>
        <v>1395.59</v>
      </c>
      <c r="M88" s="4">
        <f t="shared" si="5"/>
        <v>0</v>
      </c>
      <c r="N88" s="4">
        <f t="shared" si="6"/>
        <v>2025</v>
      </c>
      <c r="O88" s="4">
        <f t="shared" si="7"/>
        <v>1</v>
      </c>
    </row>
    <row r="89" spans="1:15" x14ac:dyDescent="0.25">
      <c r="A89" t="s">
        <v>217</v>
      </c>
      <c r="B89" s="2">
        <v>45618</v>
      </c>
      <c r="C89" t="s">
        <v>30</v>
      </c>
      <c r="D89" t="s">
        <v>31</v>
      </c>
      <c r="E89">
        <v>1441.07</v>
      </c>
      <c r="F89">
        <v>0</v>
      </c>
      <c r="G89" t="s">
        <v>8</v>
      </c>
      <c r="H89" t="s">
        <v>62</v>
      </c>
      <c r="I89" t="s">
        <v>218</v>
      </c>
      <c r="J89" t="s">
        <v>64</v>
      </c>
      <c r="K89" s="4">
        <f>VLOOKUP(J89,Exchange_Rates!A:B,2,FALSE)</f>
        <v>0.73</v>
      </c>
      <c r="L89" s="4">
        <f t="shared" si="4"/>
        <v>1051.9811</v>
      </c>
      <c r="M89" s="4">
        <f t="shared" si="5"/>
        <v>0</v>
      </c>
      <c r="N89" s="4">
        <f t="shared" si="6"/>
        <v>2024</v>
      </c>
      <c r="O89" s="4">
        <f t="shared" si="7"/>
        <v>4</v>
      </c>
    </row>
    <row r="90" spans="1:15" x14ac:dyDescent="0.25">
      <c r="A90" t="s">
        <v>219</v>
      </c>
      <c r="B90" s="2">
        <v>45275</v>
      </c>
      <c r="C90" t="s">
        <v>60</v>
      </c>
      <c r="D90" t="s">
        <v>61</v>
      </c>
      <c r="E90">
        <v>0</v>
      </c>
      <c r="F90">
        <v>3845.76</v>
      </c>
      <c r="G90" t="s">
        <v>11</v>
      </c>
      <c r="H90" t="s">
        <v>26</v>
      </c>
      <c r="I90" t="s">
        <v>220</v>
      </c>
      <c r="J90" t="s">
        <v>45</v>
      </c>
      <c r="K90" s="4">
        <f>VLOOKUP(J90,Exchange_Rates!A:B,2,FALSE)</f>
        <v>1</v>
      </c>
      <c r="L90" s="4">
        <f t="shared" si="4"/>
        <v>0</v>
      </c>
      <c r="M90" s="4">
        <f t="shared" si="5"/>
        <v>3845.76</v>
      </c>
      <c r="N90" s="4">
        <f t="shared" si="6"/>
        <v>2023</v>
      </c>
      <c r="O90" s="4">
        <f t="shared" si="7"/>
        <v>4</v>
      </c>
    </row>
    <row r="91" spans="1:15" x14ac:dyDescent="0.25">
      <c r="A91" t="s">
        <v>221</v>
      </c>
      <c r="B91" s="2">
        <v>45135</v>
      </c>
      <c r="C91" t="s">
        <v>38</v>
      </c>
      <c r="D91" t="s">
        <v>39</v>
      </c>
      <c r="E91">
        <v>1448.69</v>
      </c>
      <c r="F91">
        <v>0</v>
      </c>
      <c r="G91" t="s">
        <v>12</v>
      </c>
      <c r="H91" t="s">
        <v>34</v>
      </c>
      <c r="I91" t="s">
        <v>222</v>
      </c>
      <c r="J91" t="s">
        <v>64</v>
      </c>
      <c r="K91" s="4">
        <f>VLOOKUP(J91,Exchange_Rates!A:B,2,FALSE)</f>
        <v>0.73</v>
      </c>
      <c r="L91" s="4">
        <f t="shared" si="4"/>
        <v>1057.5436999999999</v>
      </c>
      <c r="M91" s="4">
        <f t="shared" si="5"/>
        <v>0</v>
      </c>
      <c r="N91" s="4">
        <f t="shared" si="6"/>
        <v>2023</v>
      </c>
      <c r="O91" s="4">
        <f t="shared" si="7"/>
        <v>3</v>
      </c>
    </row>
    <row r="92" spans="1:15" x14ac:dyDescent="0.25">
      <c r="A92" t="s">
        <v>223</v>
      </c>
      <c r="B92" s="2">
        <v>45396</v>
      </c>
      <c r="C92" t="s">
        <v>30</v>
      </c>
      <c r="D92" t="s">
        <v>31</v>
      </c>
      <c r="E92">
        <v>74.5</v>
      </c>
      <c r="F92">
        <v>0</v>
      </c>
      <c r="G92" t="s">
        <v>10</v>
      </c>
      <c r="H92" t="s">
        <v>26</v>
      </c>
      <c r="I92" t="s">
        <v>224</v>
      </c>
      <c r="J92" t="s">
        <v>28</v>
      </c>
      <c r="K92" s="4">
        <f>VLOOKUP(J92,Exchange_Rates!A:B,2,FALSE)</f>
        <v>1.27</v>
      </c>
      <c r="L92" s="4">
        <f t="shared" si="4"/>
        <v>94.614999999999995</v>
      </c>
      <c r="M92" s="4">
        <f t="shared" si="5"/>
        <v>0</v>
      </c>
      <c r="N92" s="4">
        <f t="shared" si="6"/>
        <v>2024</v>
      </c>
      <c r="O92" s="4">
        <f t="shared" si="7"/>
        <v>2</v>
      </c>
    </row>
    <row r="93" spans="1:15" x14ac:dyDescent="0.25">
      <c r="A93" t="s">
        <v>225</v>
      </c>
      <c r="B93" s="2">
        <v>45620</v>
      </c>
      <c r="C93" t="s">
        <v>24</v>
      </c>
      <c r="D93" t="s">
        <v>25</v>
      </c>
      <c r="E93">
        <v>0</v>
      </c>
      <c r="F93">
        <v>1071.73</v>
      </c>
      <c r="G93" t="s">
        <v>13</v>
      </c>
      <c r="H93" t="s">
        <v>40</v>
      </c>
      <c r="I93" t="s">
        <v>226</v>
      </c>
      <c r="J93" t="s">
        <v>45</v>
      </c>
      <c r="K93" s="4">
        <f>VLOOKUP(J93,Exchange_Rates!A:B,2,FALSE)</f>
        <v>1</v>
      </c>
      <c r="L93" s="4">
        <f t="shared" si="4"/>
        <v>0</v>
      </c>
      <c r="M93" s="4">
        <f t="shared" si="5"/>
        <v>1071.73</v>
      </c>
      <c r="N93" s="4">
        <f t="shared" si="6"/>
        <v>2024</v>
      </c>
      <c r="O93" s="4">
        <f t="shared" si="7"/>
        <v>4</v>
      </c>
    </row>
    <row r="94" spans="1:15" x14ac:dyDescent="0.25">
      <c r="A94" t="s">
        <v>227</v>
      </c>
      <c r="B94" s="2">
        <v>45709</v>
      </c>
      <c r="C94" t="s">
        <v>30</v>
      </c>
      <c r="D94" t="s">
        <v>31</v>
      </c>
      <c r="E94">
        <v>1875.56</v>
      </c>
      <c r="F94">
        <v>0</v>
      </c>
      <c r="G94" t="s">
        <v>8</v>
      </c>
      <c r="H94" t="s">
        <v>34</v>
      </c>
      <c r="I94" t="s">
        <v>228</v>
      </c>
      <c r="J94" t="s">
        <v>28</v>
      </c>
      <c r="K94" s="4">
        <f>VLOOKUP(J94,Exchange_Rates!A:B,2,FALSE)</f>
        <v>1.27</v>
      </c>
      <c r="L94" s="4">
        <f t="shared" si="4"/>
        <v>2381.9612000000002</v>
      </c>
      <c r="M94" s="4">
        <f t="shared" si="5"/>
        <v>0</v>
      </c>
      <c r="N94" s="4">
        <f t="shared" si="6"/>
        <v>2025</v>
      </c>
      <c r="O94" s="4">
        <f t="shared" si="7"/>
        <v>1</v>
      </c>
    </row>
    <row r="95" spans="1:15" x14ac:dyDescent="0.25">
      <c r="A95" t="s">
        <v>229</v>
      </c>
      <c r="B95" s="2">
        <v>45424</v>
      </c>
      <c r="C95" t="s">
        <v>38</v>
      </c>
      <c r="D95" t="s">
        <v>39</v>
      </c>
      <c r="E95">
        <v>1449.67</v>
      </c>
      <c r="F95">
        <v>0</v>
      </c>
      <c r="G95" t="s">
        <v>11</v>
      </c>
      <c r="H95" t="s">
        <v>51</v>
      </c>
      <c r="I95" t="s">
        <v>230</v>
      </c>
      <c r="J95" t="s">
        <v>45</v>
      </c>
      <c r="K95" s="4">
        <f>VLOOKUP(J95,Exchange_Rates!A:B,2,FALSE)</f>
        <v>1</v>
      </c>
      <c r="L95" s="4">
        <f t="shared" si="4"/>
        <v>1449.67</v>
      </c>
      <c r="M95" s="4">
        <f t="shared" si="5"/>
        <v>0</v>
      </c>
      <c r="N95" s="4">
        <f t="shared" si="6"/>
        <v>2024</v>
      </c>
      <c r="O95" s="4">
        <f t="shared" si="7"/>
        <v>2</v>
      </c>
    </row>
    <row r="96" spans="1:15" x14ac:dyDescent="0.25">
      <c r="A96" t="s">
        <v>231</v>
      </c>
      <c r="B96" s="2">
        <v>45215</v>
      </c>
      <c r="C96" t="s">
        <v>30</v>
      </c>
      <c r="D96" t="s">
        <v>31</v>
      </c>
      <c r="E96">
        <v>1782.21</v>
      </c>
      <c r="F96">
        <v>0</v>
      </c>
      <c r="G96" t="s">
        <v>13</v>
      </c>
      <c r="H96" t="s">
        <v>26</v>
      </c>
      <c r="I96" t="s">
        <v>232</v>
      </c>
      <c r="J96" t="s">
        <v>42</v>
      </c>
      <c r="K96" s="4">
        <f>VLOOKUP(J96,Exchange_Rates!A:B,2,FALSE)</f>
        <v>0.66</v>
      </c>
      <c r="L96" s="4">
        <f t="shared" si="4"/>
        <v>1176.2586000000001</v>
      </c>
      <c r="M96" s="4">
        <f t="shared" si="5"/>
        <v>0</v>
      </c>
      <c r="N96" s="4">
        <f t="shared" si="6"/>
        <v>2023</v>
      </c>
      <c r="O96" s="4">
        <f t="shared" si="7"/>
        <v>4</v>
      </c>
    </row>
    <row r="97" spans="1:15" x14ac:dyDescent="0.25">
      <c r="A97" t="s">
        <v>233</v>
      </c>
      <c r="B97" s="2">
        <v>45041</v>
      </c>
      <c r="C97" t="s">
        <v>60</v>
      </c>
      <c r="D97" t="s">
        <v>61</v>
      </c>
      <c r="E97">
        <v>0</v>
      </c>
      <c r="F97">
        <v>4889.25</v>
      </c>
      <c r="G97" t="s">
        <v>13</v>
      </c>
      <c r="H97" t="s">
        <v>34</v>
      </c>
      <c r="I97" t="s">
        <v>234</v>
      </c>
      <c r="J97" t="s">
        <v>42</v>
      </c>
      <c r="K97" s="4">
        <f>VLOOKUP(J97,Exchange_Rates!A:B,2,FALSE)</f>
        <v>0.66</v>
      </c>
      <c r="L97" s="4">
        <f t="shared" si="4"/>
        <v>0</v>
      </c>
      <c r="M97" s="4">
        <f t="shared" si="5"/>
        <v>3226.9050000000002</v>
      </c>
      <c r="N97" s="4">
        <f t="shared" si="6"/>
        <v>2023</v>
      </c>
      <c r="O97" s="4">
        <f t="shared" si="7"/>
        <v>2</v>
      </c>
    </row>
    <row r="98" spans="1:15" x14ac:dyDescent="0.25">
      <c r="A98" t="s">
        <v>235</v>
      </c>
      <c r="B98" s="2">
        <v>45211</v>
      </c>
      <c r="C98" t="s">
        <v>38</v>
      </c>
      <c r="D98" t="s">
        <v>39</v>
      </c>
      <c r="E98">
        <v>1101.33</v>
      </c>
      <c r="F98">
        <v>0</v>
      </c>
      <c r="G98" t="s">
        <v>11</v>
      </c>
      <c r="H98" t="s">
        <v>26</v>
      </c>
      <c r="I98" t="s">
        <v>236</v>
      </c>
      <c r="J98" t="s">
        <v>28</v>
      </c>
      <c r="K98" s="4">
        <f>VLOOKUP(J98,Exchange_Rates!A:B,2,FALSE)</f>
        <v>1.27</v>
      </c>
      <c r="L98" s="4">
        <f t="shared" si="4"/>
        <v>1398.6890999999998</v>
      </c>
      <c r="M98" s="4">
        <f t="shared" si="5"/>
        <v>0</v>
      </c>
      <c r="N98" s="4">
        <f t="shared" si="6"/>
        <v>2023</v>
      </c>
      <c r="O98" s="4">
        <f t="shared" si="7"/>
        <v>4</v>
      </c>
    </row>
    <row r="99" spans="1:15" x14ac:dyDescent="0.25">
      <c r="A99" t="s">
        <v>237</v>
      </c>
      <c r="B99" s="2">
        <v>45789</v>
      </c>
      <c r="C99" t="s">
        <v>49</v>
      </c>
      <c r="D99" t="s">
        <v>50</v>
      </c>
      <c r="E99">
        <v>121.65</v>
      </c>
      <c r="F99">
        <v>0</v>
      </c>
      <c r="G99" t="s">
        <v>9</v>
      </c>
      <c r="H99" t="s">
        <v>51</v>
      </c>
      <c r="I99" t="s">
        <v>238</v>
      </c>
      <c r="J99" t="s">
        <v>45</v>
      </c>
      <c r="K99" s="4">
        <f>VLOOKUP(J99,Exchange_Rates!A:B,2,FALSE)</f>
        <v>1</v>
      </c>
      <c r="L99" s="4">
        <f t="shared" si="4"/>
        <v>121.65</v>
      </c>
      <c r="M99" s="4">
        <f t="shared" si="5"/>
        <v>0</v>
      </c>
      <c r="N99" s="4">
        <f t="shared" si="6"/>
        <v>2025</v>
      </c>
      <c r="O99" s="4">
        <f t="shared" si="7"/>
        <v>2</v>
      </c>
    </row>
    <row r="100" spans="1:15" x14ac:dyDescent="0.25">
      <c r="A100" t="s">
        <v>239</v>
      </c>
      <c r="B100" s="2">
        <v>44972</v>
      </c>
      <c r="C100" t="s">
        <v>49</v>
      </c>
      <c r="D100" t="s">
        <v>50</v>
      </c>
      <c r="E100">
        <v>137.87</v>
      </c>
      <c r="F100">
        <v>0</v>
      </c>
      <c r="G100" t="s">
        <v>11</v>
      </c>
      <c r="H100" t="s">
        <v>26</v>
      </c>
      <c r="I100" t="s">
        <v>240</v>
      </c>
      <c r="J100" t="s">
        <v>42</v>
      </c>
      <c r="K100" s="4">
        <f>VLOOKUP(J100,Exchange_Rates!A:B,2,FALSE)</f>
        <v>0.66</v>
      </c>
      <c r="L100" s="4">
        <f t="shared" si="4"/>
        <v>90.994200000000006</v>
      </c>
      <c r="M100" s="4">
        <f t="shared" si="5"/>
        <v>0</v>
      </c>
      <c r="N100" s="4">
        <f t="shared" si="6"/>
        <v>2023</v>
      </c>
      <c r="O100" s="4">
        <f t="shared" si="7"/>
        <v>1</v>
      </c>
    </row>
    <row r="101" spans="1:15" x14ac:dyDescent="0.25">
      <c r="A101" t="s">
        <v>241</v>
      </c>
      <c r="B101" s="2">
        <v>44935</v>
      </c>
      <c r="C101" t="s">
        <v>24</v>
      </c>
      <c r="D101" t="s">
        <v>25</v>
      </c>
      <c r="E101">
        <v>0</v>
      </c>
      <c r="F101">
        <v>792.94</v>
      </c>
      <c r="G101" t="s">
        <v>8</v>
      </c>
      <c r="H101" t="s">
        <v>40</v>
      </c>
      <c r="I101" t="s">
        <v>242</v>
      </c>
      <c r="J101" t="s">
        <v>64</v>
      </c>
      <c r="K101" s="4">
        <f>VLOOKUP(J101,Exchange_Rates!A:B,2,FALSE)</f>
        <v>0.73</v>
      </c>
      <c r="L101" s="4">
        <f t="shared" si="4"/>
        <v>0</v>
      </c>
      <c r="M101" s="4">
        <f t="shared" si="5"/>
        <v>578.84620000000007</v>
      </c>
      <c r="N101" s="4">
        <f t="shared" si="6"/>
        <v>2023</v>
      </c>
      <c r="O101" s="4">
        <f t="shared" si="7"/>
        <v>1</v>
      </c>
    </row>
    <row r="102" spans="1:15" x14ac:dyDescent="0.25">
      <c r="A102" t="s">
        <v>243</v>
      </c>
      <c r="B102" s="2">
        <v>45667</v>
      </c>
      <c r="C102" t="s">
        <v>60</v>
      </c>
      <c r="D102" t="s">
        <v>61</v>
      </c>
      <c r="E102">
        <v>0</v>
      </c>
      <c r="F102">
        <v>1346.1</v>
      </c>
      <c r="G102" t="s">
        <v>9</v>
      </c>
      <c r="H102" t="s">
        <v>34</v>
      </c>
      <c r="I102" t="s">
        <v>244</v>
      </c>
      <c r="J102" t="s">
        <v>45</v>
      </c>
      <c r="K102" s="4">
        <f>VLOOKUP(J102,Exchange_Rates!A:B,2,FALSE)</f>
        <v>1</v>
      </c>
      <c r="L102" s="4">
        <f t="shared" si="4"/>
        <v>0</v>
      </c>
      <c r="M102" s="4">
        <f t="shared" si="5"/>
        <v>1346.1</v>
      </c>
      <c r="N102" s="4">
        <f t="shared" si="6"/>
        <v>2025</v>
      </c>
      <c r="O102" s="4">
        <f t="shared" si="7"/>
        <v>1</v>
      </c>
    </row>
    <row r="103" spans="1:15" x14ac:dyDescent="0.25">
      <c r="A103" t="s">
        <v>245</v>
      </c>
      <c r="B103" s="2">
        <v>45478</v>
      </c>
      <c r="C103" t="s">
        <v>60</v>
      </c>
      <c r="D103" t="s">
        <v>61</v>
      </c>
      <c r="E103">
        <v>0</v>
      </c>
      <c r="F103">
        <v>961.26</v>
      </c>
      <c r="G103" t="s">
        <v>13</v>
      </c>
      <c r="H103" t="s">
        <v>34</v>
      </c>
      <c r="I103" t="s">
        <v>246</v>
      </c>
      <c r="J103" t="s">
        <v>64</v>
      </c>
      <c r="K103" s="4">
        <f>VLOOKUP(J103,Exchange_Rates!A:B,2,FALSE)</f>
        <v>0.73</v>
      </c>
      <c r="L103" s="4">
        <f t="shared" si="4"/>
        <v>0</v>
      </c>
      <c r="M103" s="4">
        <f t="shared" si="5"/>
        <v>701.71979999999996</v>
      </c>
      <c r="N103" s="4">
        <f t="shared" si="6"/>
        <v>2024</v>
      </c>
      <c r="O103" s="4">
        <f t="shared" si="7"/>
        <v>3</v>
      </c>
    </row>
    <row r="104" spans="1:15" x14ac:dyDescent="0.25">
      <c r="A104" t="s">
        <v>247</v>
      </c>
      <c r="B104" s="2">
        <v>45572</v>
      </c>
      <c r="C104" t="s">
        <v>30</v>
      </c>
      <c r="D104" t="s">
        <v>31</v>
      </c>
      <c r="E104">
        <v>421.91</v>
      </c>
      <c r="F104">
        <v>0</v>
      </c>
      <c r="G104" t="s">
        <v>13</v>
      </c>
      <c r="H104" t="s">
        <v>34</v>
      </c>
      <c r="I104" t="s">
        <v>248</v>
      </c>
      <c r="J104" t="s">
        <v>36</v>
      </c>
      <c r="K104" s="4">
        <f>VLOOKUP(J104,Exchange_Rates!A:B,2,FALSE)</f>
        <v>1.08</v>
      </c>
      <c r="L104" s="4">
        <f t="shared" si="4"/>
        <v>455.66280000000006</v>
      </c>
      <c r="M104" s="4">
        <f t="shared" si="5"/>
        <v>0</v>
      </c>
      <c r="N104" s="4">
        <f t="shared" si="6"/>
        <v>2024</v>
      </c>
      <c r="O104" s="4">
        <f t="shared" si="7"/>
        <v>4</v>
      </c>
    </row>
    <row r="105" spans="1:15" x14ac:dyDescent="0.25">
      <c r="A105" t="s">
        <v>249</v>
      </c>
      <c r="B105" s="2">
        <v>45799</v>
      </c>
      <c r="C105" t="s">
        <v>24</v>
      </c>
      <c r="D105" t="s">
        <v>25</v>
      </c>
      <c r="E105">
        <v>0</v>
      </c>
      <c r="F105">
        <v>1902.45</v>
      </c>
      <c r="G105" t="s">
        <v>10</v>
      </c>
      <c r="H105" t="s">
        <v>26</v>
      </c>
      <c r="I105" t="s">
        <v>250</v>
      </c>
      <c r="J105" t="s">
        <v>28</v>
      </c>
      <c r="K105" s="4">
        <f>VLOOKUP(J105,Exchange_Rates!A:B,2,FALSE)</f>
        <v>1.27</v>
      </c>
      <c r="L105" s="4">
        <f t="shared" si="4"/>
        <v>0</v>
      </c>
      <c r="M105" s="4">
        <f t="shared" si="5"/>
        <v>2416.1115</v>
      </c>
      <c r="N105" s="4">
        <f t="shared" si="6"/>
        <v>2025</v>
      </c>
      <c r="O105" s="4">
        <f t="shared" si="7"/>
        <v>2</v>
      </c>
    </row>
    <row r="106" spans="1:15" x14ac:dyDescent="0.25">
      <c r="A106" t="s">
        <v>251</v>
      </c>
      <c r="B106" s="2">
        <v>45170</v>
      </c>
      <c r="C106" t="s">
        <v>38</v>
      </c>
      <c r="D106" t="s">
        <v>39</v>
      </c>
      <c r="E106">
        <v>764.96</v>
      </c>
      <c r="F106">
        <v>0</v>
      </c>
      <c r="G106" t="s">
        <v>8</v>
      </c>
      <c r="H106" t="s">
        <v>51</v>
      </c>
      <c r="I106" t="s">
        <v>252</v>
      </c>
      <c r="J106" t="s">
        <v>45</v>
      </c>
      <c r="K106" s="4">
        <f>VLOOKUP(J106,Exchange_Rates!A:B,2,FALSE)</f>
        <v>1</v>
      </c>
      <c r="L106" s="4">
        <f t="shared" si="4"/>
        <v>764.96</v>
      </c>
      <c r="M106" s="4">
        <f t="shared" si="5"/>
        <v>0</v>
      </c>
      <c r="N106" s="4">
        <f t="shared" si="6"/>
        <v>2023</v>
      </c>
      <c r="O106" s="4">
        <f t="shared" si="7"/>
        <v>3</v>
      </c>
    </row>
    <row r="107" spans="1:15" x14ac:dyDescent="0.25">
      <c r="A107" t="s">
        <v>253</v>
      </c>
      <c r="B107" s="2">
        <v>45162</v>
      </c>
      <c r="C107" t="s">
        <v>24</v>
      </c>
      <c r="D107" t="s">
        <v>25</v>
      </c>
      <c r="E107">
        <v>0</v>
      </c>
      <c r="F107">
        <v>734.03</v>
      </c>
      <c r="G107" t="s">
        <v>11</v>
      </c>
      <c r="H107" t="s">
        <v>62</v>
      </c>
      <c r="I107" t="s">
        <v>254</v>
      </c>
      <c r="J107" t="s">
        <v>36</v>
      </c>
      <c r="K107" s="4">
        <f>VLOOKUP(J107,Exchange_Rates!A:B,2,FALSE)</f>
        <v>1.08</v>
      </c>
      <c r="L107" s="4">
        <f t="shared" si="4"/>
        <v>0</v>
      </c>
      <c r="M107" s="4">
        <f t="shared" si="5"/>
        <v>792.75239999999997</v>
      </c>
      <c r="N107" s="4">
        <f t="shared" si="6"/>
        <v>2023</v>
      </c>
      <c r="O107" s="4">
        <f t="shared" si="7"/>
        <v>3</v>
      </c>
    </row>
    <row r="108" spans="1:15" x14ac:dyDescent="0.25">
      <c r="A108" t="s">
        <v>255</v>
      </c>
      <c r="B108" s="2">
        <v>45107</v>
      </c>
      <c r="C108" t="s">
        <v>30</v>
      </c>
      <c r="D108" t="s">
        <v>31</v>
      </c>
      <c r="E108">
        <v>1157.81</v>
      </c>
      <c r="F108">
        <v>0</v>
      </c>
      <c r="G108" t="s">
        <v>12</v>
      </c>
      <c r="H108" t="s">
        <v>40</v>
      </c>
      <c r="I108" t="s">
        <v>256</v>
      </c>
      <c r="J108" t="s">
        <v>42</v>
      </c>
      <c r="K108" s="4">
        <f>VLOOKUP(J108,Exchange_Rates!A:B,2,FALSE)</f>
        <v>0.66</v>
      </c>
      <c r="L108" s="4">
        <f t="shared" si="4"/>
        <v>764.15459999999996</v>
      </c>
      <c r="M108" s="4">
        <f t="shared" si="5"/>
        <v>0</v>
      </c>
      <c r="N108" s="4">
        <f t="shared" si="6"/>
        <v>2023</v>
      </c>
      <c r="O108" s="4">
        <f t="shared" si="7"/>
        <v>2</v>
      </c>
    </row>
    <row r="109" spans="1:15" x14ac:dyDescent="0.25">
      <c r="A109" t="s">
        <v>257</v>
      </c>
      <c r="B109" s="2">
        <v>45823</v>
      </c>
      <c r="C109" t="s">
        <v>49</v>
      </c>
      <c r="D109" t="s">
        <v>50</v>
      </c>
      <c r="E109">
        <v>1552.29</v>
      </c>
      <c r="F109">
        <v>0</v>
      </c>
      <c r="G109" t="s">
        <v>8</v>
      </c>
      <c r="H109" t="s">
        <v>40</v>
      </c>
      <c r="I109" t="s">
        <v>258</v>
      </c>
      <c r="J109" t="s">
        <v>28</v>
      </c>
      <c r="K109" s="4">
        <f>VLOOKUP(J109,Exchange_Rates!A:B,2,FALSE)</f>
        <v>1.27</v>
      </c>
      <c r="L109" s="4">
        <f t="shared" si="4"/>
        <v>1971.4083000000001</v>
      </c>
      <c r="M109" s="4">
        <f t="shared" si="5"/>
        <v>0</v>
      </c>
      <c r="N109" s="4">
        <f t="shared" si="6"/>
        <v>2025</v>
      </c>
      <c r="O109" s="4">
        <f t="shared" si="7"/>
        <v>2</v>
      </c>
    </row>
    <row r="110" spans="1:15" x14ac:dyDescent="0.25">
      <c r="A110" t="s">
        <v>259</v>
      </c>
      <c r="B110" s="2">
        <v>45319</v>
      </c>
      <c r="C110" t="s">
        <v>38</v>
      </c>
      <c r="D110" t="s">
        <v>39</v>
      </c>
      <c r="E110">
        <v>1400.69</v>
      </c>
      <c r="F110">
        <v>0</v>
      </c>
      <c r="G110" t="s">
        <v>9</v>
      </c>
      <c r="H110" t="s">
        <v>40</v>
      </c>
      <c r="I110" t="s">
        <v>260</v>
      </c>
      <c r="J110" t="s">
        <v>28</v>
      </c>
      <c r="K110" s="4">
        <f>VLOOKUP(J110,Exchange_Rates!A:B,2,FALSE)</f>
        <v>1.27</v>
      </c>
      <c r="L110" s="4">
        <f t="shared" si="4"/>
        <v>1778.8763000000001</v>
      </c>
      <c r="M110" s="4">
        <f t="shared" si="5"/>
        <v>0</v>
      </c>
      <c r="N110" s="4">
        <f t="shared" si="6"/>
        <v>2024</v>
      </c>
      <c r="O110" s="4">
        <f t="shared" si="7"/>
        <v>1</v>
      </c>
    </row>
    <row r="111" spans="1:15" x14ac:dyDescent="0.25">
      <c r="A111" t="s">
        <v>261</v>
      </c>
      <c r="B111" s="2">
        <v>45355</v>
      </c>
      <c r="C111" t="s">
        <v>49</v>
      </c>
      <c r="D111" t="s">
        <v>50</v>
      </c>
      <c r="E111">
        <v>1548.81</v>
      </c>
      <c r="F111">
        <v>0</v>
      </c>
      <c r="G111" t="s">
        <v>13</v>
      </c>
      <c r="H111" t="s">
        <v>62</v>
      </c>
      <c r="I111" t="s">
        <v>262</v>
      </c>
      <c r="J111" t="s">
        <v>42</v>
      </c>
      <c r="K111" s="4">
        <f>VLOOKUP(J111,Exchange_Rates!A:B,2,FALSE)</f>
        <v>0.66</v>
      </c>
      <c r="L111" s="4">
        <f t="shared" si="4"/>
        <v>1022.2146</v>
      </c>
      <c r="M111" s="4">
        <f t="shared" si="5"/>
        <v>0</v>
      </c>
      <c r="N111" s="4">
        <f t="shared" si="6"/>
        <v>2024</v>
      </c>
      <c r="O111" s="4">
        <f t="shared" si="7"/>
        <v>1</v>
      </c>
    </row>
    <row r="112" spans="1:15" x14ac:dyDescent="0.25">
      <c r="A112" t="s">
        <v>263</v>
      </c>
      <c r="B112" s="2">
        <v>45702</v>
      </c>
      <c r="C112" t="s">
        <v>38</v>
      </c>
      <c r="D112" t="s">
        <v>39</v>
      </c>
      <c r="E112">
        <v>1166.95</v>
      </c>
      <c r="F112">
        <v>0</v>
      </c>
      <c r="G112" t="s">
        <v>11</v>
      </c>
      <c r="H112" t="s">
        <v>62</v>
      </c>
      <c r="I112" t="s">
        <v>264</v>
      </c>
      <c r="J112" t="s">
        <v>28</v>
      </c>
      <c r="K112" s="4">
        <f>VLOOKUP(J112,Exchange_Rates!A:B,2,FALSE)</f>
        <v>1.27</v>
      </c>
      <c r="L112" s="4">
        <f t="shared" si="4"/>
        <v>1482.0265000000002</v>
      </c>
      <c r="M112" s="4">
        <f t="shared" si="5"/>
        <v>0</v>
      </c>
      <c r="N112" s="4">
        <f t="shared" si="6"/>
        <v>2025</v>
      </c>
      <c r="O112" s="4">
        <f t="shared" si="7"/>
        <v>1</v>
      </c>
    </row>
    <row r="113" spans="1:15" x14ac:dyDescent="0.25">
      <c r="A113" t="s">
        <v>265</v>
      </c>
      <c r="B113" s="2">
        <v>45102</v>
      </c>
      <c r="C113" t="s">
        <v>24</v>
      </c>
      <c r="D113" t="s">
        <v>25</v>
      </c>
      <c r="E113">
        <v>0</v>
      </c>
      <c r="F113">
        <v>3630.78</v>
      </c>
      <c r="G113" t="s">
        <v>8</v>
      </c>
      <c r="H113" t="s">
        <v>34</v>
      </c>
      <c r="I113" t="s">
        <v>266</v>
      </c>
      <c r="J113" t="s">
        <v>64</v>
      </c>
      <c r="K113" s="4">
        <f>VLOOKUP(J113,Exchange_Rates!A:B,2,FALSE)</f>
        <v>0.73</v>
      </c>
      <c r="L113" s="4">
        <f t="shared" si="4"/>
        <v>0</v>
      </c>
      <c r="M113" s="4">
        <f t="shared" si="5"/>
        <v>2650.4694</v>
      </c>
      <c r="N113" s="4">
        <f t="shared" si="6"/>
        <v>2023</v>
      </c>
      <c r="O113" s="4">
        <f t="shared" si="7"/>
        <v>2</v>
      </c>
    </row>
    <row r="114" spans="1:15" x14ac:dyDescent="0.25">
      <c r="A114" t="s">
        <v>267</v>
      </c>
      <c r="B114" s="2">
        <v>45381</v>
      </c>
      <c r="C114" t="s">
        <v>24</v>
      </c>
      <c r="D114" t="s">
        <v>25</v>
      </c>
      <c r="E114">
        <v>0</v>
      </c>
      <c r="F114">
        <v>1148.97</v>
      </c>
      <c r="G114" t="s">
        <v>9</v>
      </c>
      <c r="H114" t="s">
        <v>62</v>
      </c>
      <c r="I114" t="s">
        <v>268</v>
      </c>
      <c r="J114" t="s">
        <v>64</v>
      </c>
      <c r="K114" s="4">
        <f>VLOOKUP(J114,Exchange_Rates!A:B,2,FALSE)</f>
        <v>0.73</v>
      </c>
      <c r="L114" s="4">
        <f t="shared" si="4"/>
        <v>0</v>
      </c>
      <c r="M114" s="4">
        <f t="shared" si="5"/>
        <v>838.74810000000002</v>
      </c>
      <c r="N114" s="4">
        <f t="shared" si="6"/>
        <v>2024</v>
      </c>
      <c r="O114" s="4">
        <f t="shared" si="7"/>
        <v>1</v>
      </c>
    </row>
    <row r="115" spans="1:15" x14ac:dyDescent="0.25">
      <c r="A115" t="s">
        <v>269</v>
      </c>
      <c r="B115" s="2">
        <v>45545</v>
      </c>
      <c r="C115" t="s">
        <v>24</v>
      </c>
      <c r="D115" t="s">
        <v>25</v>
      </c>
      <c r="E115">
        <v>0</v>
      </c>
      <c r="F115">
        <v>1826.98</v>
      </c>
      <c r="G115" t="s">
        <v>8</v>
      </c>
      <c r="H115" t="s">
        <v>51</v>
      </c>
      <c r="I115" t="s">
        <v>270</v>
      </c>
      <c r="J115" t="s">
        <v>42</v>
      </c>
      <c r="K115" s="4">
        <f>VLOOKUP(J115,Exchange_Rates!A:B,2,FALSE)</f>
        <v>0.66</v>
      </c>
      <c r="L115" s="4">
        <f t="shared" si="4"/>
        <v>0</v>
      </c>
      <c r="M115" s="4">
        <f t="shared" si="5"/>
        <v>1205.8068000000001</v>
      </c>
      <c r="N115" s="4">
        <f t="shared" si="6"/>
        <v>2024</v>
      </c>
      <c r="O115" s="4">
        <f t="shared" si="7"/>
        <v>3</v>
      </c>
    </row>
    <row r="116" spans="1:15" x14ac:dyDescent="0.25">
      <c r="A116" t="s">
        <v>271</v>
      </c>
      <c r="B116" s="2">
        <v>45227</v>
      </c>
      <c r="C116" t="s">
        <v>49</v>
      </c>
      <c r="D116" t="s">
        <v>50</v>
      </c>
      <c r="E116">
        <v>464.27</v>
      </c>
      <c r="F116">
        <v>0</v>
      </c>
      <c r="G116" t="s">
        <v>8</v>
      </c>
      <c r="H116" t="s">
        <v>26</v>
      </c>
      <c r="I116" t="s">
        <v>272</v>
      </c>
      <c r="J116" t="s">
        <v>45</v>
      </c>
      <c r="K116" s="4">
        <f>VLOOKUP(J116,Exchange_Rates!A:B,2,FALSE)</f>
        <v>1</v>
      </c>
      <c r="L116" s="4">
        <f t="shared" si="4"/>
        <v>464.27</v>
      </c>
      <c r="M116" s="4">
        <f t="shared" si="5"/>
        <v>0</v>
      </c>
      <c r="N116" s="4">
        <f t="shared" si="6"/>
        <v>2023</v>
      </c>
      <c r="O116" s="4">
        <f t="shared" si="7"/>
        <v>4</v>
      </c>
    </row>
    <row r="117" spans="1:15" x14ac:dyDescent="0.25">
      <c r="A117" t="s">
        <v>273</v>
      </c>
      <c r="B117" s="2">
        <v>45762</v>
      </c>
      <c r="C117" t="s">
        <v>49</v>
      </c>
      <c r="D117" t="s">
        <v>50</v>
      </c>
      <c r="E117">
        <v>325.08999999999997</v>
      </c>
      <c r="F117">
        <v>0</v>
      </c>
      <c r="G117" t="s">
        <v>8</v>
      </c>
      <c r="H117" t="s">
        <v>40</v>
      </c>
      <c r="I117" t="s">
        <v>274</v>
      </c>
      <c r="J117" t="s">
        <v>45</v>
      </c>
      <c r="K117" s="4">
        <f>VLOOKUP(J117,Exchange_Rates!A:B,2,FALSE)</f>
        <v>1</v>
      </c>
      <c r="L117" s="4">
        <f t="shared" si="4"/>
        <v>325.08999999999997</v>
      </c>
      <c r="M117" s="4">
        <f t="shared" si="5"/>
        <v>0</v>
      </c>
      <c r="N117" s="4">
        <f t="shared" si="6"/>
        <v>2025</v>
      </c>
      <c r="O117" s="4">
        <f t="shared" si="7"/>
        <v>2</v>
      </c>
    </row>
    <row r="118" spans="1:15" x14ac:dyDescent="0.25">
      <c r="A118" t="s">
        <v>275</v>
      </c>
      <c r="B118" s="2">
        <v>45029</v>
      </c>
      <c r="C118" t="s">
        <v>24</v>
      </c>
      <c r="D118" t="s">
        <v>25</v>
      </c>
      <c r="E118">
        <v>0</v>
      </c>
      <c r="F118">
        <v>3674.13</v>
      </c>
      <c r="G118" t="s">
        <v>9</v>
      </c>
      <c r="H118" t="s">
        <v>62</v>
      </c>
      <c r="I118" t="s">
        <v>276</v>
      </c>
      <c r="J118" t="s">
        <v>64</v>
      </c>
      <c r="K118" s="4">
        <f>VLOOKUP(J118,Exchange_Rates!A:B,2,FALSE)</f>
        <v>0.73</v>
      </c>
      <c r="L118" s="4">
        <f t="shared" si="4"/>
        <v>0</v>
      </c>
      <c r="M118" s="4">
        <f t="shared" si="5"/>
        <v>2682.1149</v>
      </c>
      <c r="N118" s="4">
        <f t="shared" si="6"/>
        <v>2023</v>
      </c>
      <c r="O118" s="4">
        <f t="shared" si="7"/>
        <v>2</v>
      </c>
    </row>
    <row r="119" spans="1:15" x14ac:dyDescent="0.25">
      <c r="A119" t="s">
        <v>277</v>
      </c>
      <c r="B119" s="2">
        <v>45170</v>
      </c>
      <c r="C119" t="s">
        <v>60</v>
      </c>
      <c r="D119" t="s">
        <v>61</v>
      </c>
      <c r="E119">
        <v>0</v>
      </c>
      <c r="F119">
        <v>2578.4299999999998</v>
      </c>
      <c r="G119" t="s">
        <v>8</v>
      </c>
      <c r="H119" t="s">
        <v>34</v>
      </c>
      <c r="I119" t="s">
        <v>278</v>
      </c>
      <c r="J119" t="s">
        <v>28</v>
      </c>
      <c r="K119" s="4">
        <f>VLOOKUP(J119,Exchange_Rates!A:B,2,FALSE)</f>
        <v>1.27</v>
      </c>
      <c r="L119" s="4">
        <f t="shared" si="4"/>
        <v>0</v>
      </c>
      <c r="M119" s="4">
        <f t="shared" si="5"/>
        <v>3274.6061</v>
      </c>
      <c r="N119" s="4">
        <f t="shared" si="6"/>
        <v>2023</v>
      </c>
      <c r="O119" s="4">
        <f t="shared" si="7"/>
        <v>3</v>
      </c>
    </row>
    <row r="120" spans="1:15" x14ac:dyDescent="0.25">
      <c r="A120" t="s">
        <v>279</v>
      </c>
      <c r="B120" s="2">
        <v>45669</v>
      </c>
      <c r="C120" t="s">
        <v>38</v>
      </c>
      <c r="D120" t="s">
        <v>39</v>
      </c>
      <c r="E120">
        <v>523.80999999999995</v>
      </c>
      <c r="F120">
        <v>0</v>
      </c>
      <c r="G120" t="s">
        <v>12</v>
      </c>
      <c r="H120" t="s">
        <v>26</v>
      </c>
      <c r="I120" t="s">
        <v>280</v>
      </c>
      <c r="J120" t="s">
        <v>42</v>
      </c>
      <c r="K120" s="4">
        <f>VLOOKUP(J120,Exchange_Rates!A:B,2,FALSE)</f>
        <v>0.66</v>
      </c>
      <c r="L120" s="4">
        <f t="shared" si="4"/>
        <v>345.71459999999996</v>
      </c>
      <c r="M120" s="4">
        <f t="shared" si="5"/>
        <v>0</v>
      </c>
      <c r="N120" s="4">
        <f t="shared" si="6"/>
        <v>2025</v>
      </c>
      <c r="O120" s="4">
        <f t="shared" si="7"/>
        <v>1</v>
      </c>
    </row>
    <row r="121" spans="1:15" x14ac:dyDescent="0.25">
      <c r="A121" t="s">
        <v>281</v>
      </c>
      <c r="B121" s="2">
        <v>45626</v>
      </c>
      <c r="C121" t="s">
        <v>49</v>
      </c>
      <c r="D121" t="s">
        <v>50</v>
      </c>
      <c r="E121">
        <v>1120.46</v>
      </c>
      <c r="F121">
        <v>0</v>
      </c>
      <c r="G121" t="s">
        <v>8</v>
      </c>
      <c r="H121" t="s">
        <v>34</v>
      </c>
      <c r="I121" t="s">
        <v>282</v>
      </c>
      <c r="J121" t="s">
        <v>42</v>
      </c>
      <c r="K121" s="4">
        <f>VLOOKUP(J121,Exchange_Rates!A:B,2,FALSE)</f>
        <v>0.66</v>
      </c>
      <c r="L121" s="4">
        <f t="shared" si="4"/>
        <v>739.50360000000001</v>
      </c>
      <c r="M121" s="4">
        <f t="shared" si="5"/>
        <v>0</v>
      </c>
      <c r="N121" s="4">
        <f t="shared" si="6"/>
        <v>2024</v>
      </c>
      <c r="O121" s="4">
        <f t="shared" si="7"/>
        <v>4</v>
      </c>
    </row>
    <row r="122" spans="1:15" x14ac:dyDescent="0.25">
      <c r="A122" t="s">
        <v>283</v>
      </c>
      <c r="B122" s="2">
        <v>45000</v>
      </c>
      <c r="C122" t="s">
        <v>30</v>
      </c>
      <c r="D122" t="s">
        <v>31</v>
      </c>
      <c r="E122">
        <v>547.59</v>
      </c>
      <c r="F122">
        <v>0</v>
      </c>
      <c r="G122" t="s">
        <v>10</v>
      </c>
      <c r="H122" t="s">
        <v>26</v>
      </c>
      <c r="I122" t="s">
        <v>284</v>
      </c>
      <c r="J122" t="s">
        <v>42</v>
      </c>
      <c r="K122" s="4">
        <f>VLOOKUP(J122,Exchange_Rates!A:B,2,FALSE)</f>
        <v>0.66</v>
      </c>
      <c r="L122" s="4">
        <f t="shared" si="4"/>
        <v>361.40940000000006</v>
      </c>
      <c r="M122" s="4">
        <f t="shared" si="5"/>
        <v>0</v>
      </c>
      <c r="N122" s="4">
        <f t="shared" si="6"/>
        <v>2023</v>
      </c>
      <c r="O122" s="4">
        <f t="shared" si="7"/>
        <v>1</v>
      </c>
    </row>
    <row r="123" spans="1:15" x14ac:dyDescent="0.25">
      <c r="A123" t="s">
        <v>285</v>
      </c>
      <c r="B123" s="2">
        <v>45681</v>
      </c>
      <c r="C123" t="s">
        <v>60</v>
      </c>
      <c r="D123" t="s">
        <v>61</v>
      </c>
      <c r="E123">
        <v>0</v>
      </c>
      <c r="F123">
        <v>2032.52</v>
      </c>
      <c r="G123" t="s">
        <v>13</v>
      </c>
      <c r="H123" t="s">
        <v>40</v>
      </c>
      <c r="I123" t="s">
        <v>286</v>
      </c>
      <c r="J123" t="s">
        <v>64</v>
      </c>
      <c r="K123" s="4">
        <f>VLOOKUP(J123,Exchange_Rates!A:B,2,FALSE)</f>
        <v>0.73</v>
      </c>
      <c r="L123" s="4">
        <f t="shared" si="4"/>
        <v>0</v>
      </c>
      <c r="M123" s="4">
        <f t="shared" si="5"/>
        <v>1483.7395999999999</v>
      </c>
      <c r="N123" s="4">
        <f t="shared" si="6"/>
        <v>2025</v>
      </c>
      <c r="O123" s="4">
        <f t="shared" si="7"/>
        <v>1</v>
      </c>
    </row>
    <row r="124" spans="1:15" x14ac:dyDescent="0.25">
      <c r="A124" t="s">
        <v>287</v>
      </c>
      <c r="B124" s="2">
        <v>45128</v>
      </c>
      <c r="C124" t="s">
        <v>38</v>
      </c>
      <c r="D124" t="s">
        <v>39</v>
      </c>
      <c r="E124">
        <v>1405.18</v>
      </c>
      <c r="F124">
        <v>0</v>
      </c>
      <c r="G124" t="s">
        <v>13</v>
      </c>
      <c r="H124" t="s">
        <v>34</v>
      </c>
      <c r="I124" t="s">
        <v>288</v>
      </c>
      <c r="J124" t="s">
        <v>28</v>
      </c>
      <c r="K124" s="4">
        <f>VLOOKUP(J124,Exchange_Rates!A:B,2,FALSE)</f>
        <v>1.27</v>
      </c>
      <c r="L124" s="4">
        <f t="shared" si="4"/>
        <v>1784.5786000000001</v>
      </c>
      <c r="M124" s="4">
        <f t="shared" si="5"/>
        <v>0</v>
      </c>
      <c r="N124" s="4">
        <f t="shared" si="6"/>
        <v>2023</v>
      </c>
      <c r="O124" s="4">
        <f t="shared" si="7"/>
        <v>3</v>
      </c>
    </row>
    <row r="125" spans="1:15" x14ac:dyDescent="0.25">
      <c r="A125" t="s">
        <v>289</v>
      </c>
      <c r="B125" s="2">
        <v>45345</v>
      </c>
      <c r="C125" t="s">
        <v>30</v>
      </c>
      <c r="D125" t="s">
        <v>31</v>
      </c>
      <c r="E125">
        <v>150.66999999999999</v>
      </c>
      <c r="F125">
        <v>0</v>
      </c>
      <c r="G125" t="s">
        <v>12</v>
      </c>
      <c r="H125" t="s">
        <v>26</v>
      </c>
      <c r="I125" t="s">
        <v>290</v>
      </c>
      <c r="J125" t="s">
        <v>64</v>
      </c>
      <c r="K125" s="4">
        <f>VLOOKUP(J125,Exchange_Rates!A:B,2,FALSE)</f>
        <v>0.73</v>
      </c>
      <c r="L125" s="4">
        <f t="shared" si="4"/>
        <v>109.98909999999999</v>
      </c>
      <c r="M125" s="4">
        <f t="shared" si="5"/>
        <v>0</v>
      </c>
      <c r="N125" s="4">
        <f t="shared" si="6"/>
        <v>2024</v>
      </c>
      <c r="O125" s="4">
        <f t="shared" si="7"/>
        <v>1</v>
      </c>
    </row>
    <row r="126" spans="1:15" x14ac:dyDescent="0.25">
      <c r="A126" t="s">
        <v>291</v>
      </c>
      <c r="B126" s="2">
        <v>45510</v>
      </c>
      <c r="C126" t="s">
        <v>60</v>
      </c>
      <c r="D126" t="s">
        <v>61</v>
      </c>
      <c r="E126">
        <v>0</v>
      </c>
      <c r="F126">
        <v>902.67</v>
      </c>
      <c r="G126" t="s">
        <v>10</v>
      </c>
      <c r="H126" t="s">
        <v>34</v>
      </c>
      <c r="I126" t="s">
        <v>292</v>
      </c>
      <c r="J126" t="s">
        <v>64</v>
      </c>
      <c r="K126" s="4">
        <f>VLOOKUP(J126,Exchange_Rates!A:B,2,FALSE)</f>
        <v>0.73</v>
      </c>
      <c r="L126" s="4">
        <f t="shared" si="4"/>
        <v>0</v>
      </c>
      <c r="M126" s="4">
        <f t="shared" si="5"/>
        <v>658.94909999999993</v>
      </c>
      <c r="N126" s="4">
        <f t="shared" si="6"/>
        <v>2024</v>
      </c>
      <c r="O126" s="4">
        <f t="shared" si="7"/>
        <v>3</v>
      </c>
    </row>
    <row r="127" spans="1:15" x14ac:dyDescent="0.25">
      <c r="A127" t="s">
        <v>293</v>
      </c>
      <c r="B127" s="2">
        <v>45260</v>
      </c>
      <c r="C127" t="s">
        <v>24</v>
      </c>
      <c r="D127" t="s">
        <v>25</v>
      </c>
      <c r="E127">
        <v>0</v>
      </c>
      <c r="F127">
        <v>160.09</v>
      </c>
      <c r="G127" t="s">
        <v>8</v>
      </c>
      <c r="H127" t="s">
        <v>26</v>
      </c>
      <c r="I127" t="s">
        <v>294</v>
      </c>
      <c r="J127" t="s">
        <v>64</v>
      </c>
      <c r="K127" s="4">
        <f>VLOOKUP(J127,Exchange_Rates!A:B,2,FALSE)</f>
        <v>0.73</v>
      </c>
      <c r="L127" s="4">
        <f t="shared" si="4"/>
        <v>0</v>
      </c>
      <c r="M127" s="4">
        <f t="shared" si="5"/>
        <v>116.8657</v>
      </c>
      <c r="N127" s="4">
        <f t="shared" si="6"/>
        <v>2023</v>
      </c>
      <c r="O127" s="4">
        <f t="shared" si="7"/>
        <v>4</v>
      </c>
    </row>
    <row r="128" spans="1:15" x14ac:dyDescent="0.25">
      <c r="A128" t="s">
        <v>295</v>
      </c>
      <c r="B128" s="2">
        <v>45276</v>
      </c>
      <c r="C128" t="s">
        <v>49</v>
      </c>
      <c r="D128" t="s">
        <v>50</v>
      </c>
      <c r="E128">
        <v>367.4</v>
      </c>
      <c r="F128">
        <v>0</v>
      </c>
      <c r="G128" t="s">
        <v>10</v>
      </c>
      <c r="H128" t="s">
        <v>26</v>
      </c>
      <c r="I128" t="s">
        <v>296</v>
      </c>
      <c r="J128" t="s">
        <v>42</v>
      </c>
      <c r="K128" s="4">
        <f>VLOOKUP(J128,Exchange_Rates!A:B,2,FALSE)</f>
        <v>0.66</v>
      </c>
      <c r="L128" s="4">
        <f t="shared" si="4"/>
        <v>242.48400000000001</v>
      </c>
      <c r="M128" s="4">
        <f t="shared" si="5"/>
        <v>0</v>
      </c>
      <c r="N128" s="4">
        <f t="shared" si="6"/>
        <v>2023</v>
      </c>
      <c r="O128" s="4">
        <f t="shared" si="7"/>
        <v>4</v>
      </c>
    </row>
    <row r="129" spans="1:15" x14ac:dyDescent="0.25">
      <c r="A129" t="s">
        <v>297</v>
      </c>
      <c r="B129" s="2">
        <v>44962</v>
      </c>
      <c r="C129" t="s">
        <v>24</v>
      </c>
      <c r="D129" t="s">
        <v>25</v>
      </c>
      <c r="E129">
        <v>0</v>
      </c>
      <c r="F129">
        <v>4964.84</v>
      </c>
      <c r="G129" t="s">
        <v>9</v>
      </c>
      <c r="H129" t="s">
        <v>26</v>
      </c>
      <c r="I129" t="s">
        <v>298</v>
      </c>
      <c r="J129" t="s">
        <v>28</v>
      </c>
      <c r="K129" s="4">
        <f>VLOOKUP(J129,Exchange_Rates!A:B,2,FALSE)</f>
        <v>1.27</v>
      </c>
      <c r="L129" s="4">
        <f t="shared" si="4"/>
        <v>0</v>
      </c>
      <c r="M129" s="4">
        <f t="shared" si="5"/>
        <v>6305.3468000000003</v>
      </c>
      <c r="N129" s="4">
        <f t="shared" si="6"/>
        <v>2023</v>
      </c>
      <c r="O129" s="4">
        <f t="shared" si="7"/>
        <v>1</v>
      </c>
    </row>
    <row r="130" spans="1:15" x14ac:dyDescent="0.25">
      <c r="A130" t="s">
        <v>299</v>
      </c>
      <c r="B130" s="2">
        <v>45762</v>
      </c>
      <c r="C130" t="s">
        <v>49</v>
      </c>
      <c r="D130" t="s">
        <v>50</v>
      </c>
      <c r="E130">
        <v>925</v>
      </c>
      <c r="F130">
        <v>0</v>
      </c>
      <c r="G130" t="s">
        <v>11</v>
      </c>
      <c r="H130" t="s">
        <v>26</v>
      </c>
      <c r="I130" t="s">
        <v>300</v>
      </c>
      <c r="J130" t="s">
        <v>36</v>
      </c>
      <c r="K130" s="4">
        <f>VLOOKUP(J130,Exchange_Rates!A:B,2,FALSE)</f>
        <v>1.08</v>
      </c>
      <c r="L130" s="4">
        <f t="shared" si="4"/>
        <v>999.00000000000011</v>
      </c>
      <c r="M130" s="4">
        <f t="shared" si="5"/>
        <v>0</v>
      </c>
      <c r="N130" s="4">
        <f t="shared" si="6"/>
        <v>2025</v>
      </c>
      <c r="O130" s="4">
        <f t="shared" si="7"/>
        <v>2</v>
      </c>
    </row>
    <row r="131" spans="1:15" x14ac:dyDescent="0.25">
      <c r="A131" t="s">
        <v>301</v>
      </c>
      <c r="B131" s="2">
        <v>45671</v>
      </c>
      <c r="C131" t="s">
        <v>30</v>
      </c>
      <c r="D131" t="s">
        <v>31</v>
      </c>
      <c r="E131">
        <v>1697.34</v>
      </c>
      <c r="F131">
        <v>0</v>
      </c>
      <c r="G131" t="s">
        <v>10</v>
      </c>
      <c r="H131" t="s">
        <v>26</v>
      </c>
      <c r="I131" t="s">
        <v>302</v>
      </c>
      <c r="J131" t="s">
        <v>36</v>
      </c>
      <c r="K131" s="4">
        <f>VLOOKUP(J131,Exchange_Rates!A:B,2,FALSE)</f>
        <v>1.08</v>
      </c>
      <c r="L131" s="4">
        <f t="shared" ref="L131:L194" si="8">E131*K131</f>
        <v>1833.1272000000001</v>
      </c>
      <c r="M131" s="4">
        <f t="shared" ref="M131:M194" si="9">F131*K131</f>
        <v>0</v>
      </c>
      <c r="N131" s="4">
        <f t="shared" ref="N131:N194" si="10">YEAR(B131)</f>
        <v>2025</v>
      </c>
      <c r="O131" s="4">
        <f t="shared" ref="O131:O194" si="11">ROUNDUP(MONTH(B131)/3,0)</f>
        <v>1</v>
      </c>
    </row>
    <row r="132" spans="1:15" x14ac:dyDescent="0.25">
      <c r="A132" t="s">
        <v>303</v>
      </c>
      <c r="B132" s="2">
        <v>45174</v>
      </c>
      <c r="C132" t="s">
        <v>30</v>
      </c>
      <c r="D132" t="s">
        <v>31</v>
      </c>
      <c r="E132">
        <v>308.37</v>
      </c>
      <c r="F132">
        <v>0</v>
      </c>
      <c r="G132" t="s">
        <v>13</v>
      </c>
      <c r="H132" t="s">
        <v>26</v>
      </c>
      <c r="I132" t="s">
        <v>304</v>
      </c>
      <c r="J132" t="s">
        <v>64</v>
      </c>
      <c r="K132" s="4">
        <f>VLOOKUP(J132,Exchange_Rates!A:B,2,FALSE)</f>
        <v>0.73</v>
      </c>
      <c r="L132" s="4">
        <f t="shared" si="8"/>
        <v>225.11009999999999</v>
      </c>
      <c r="M132" s="4">
        <f t="shared" si="9"/>
        <v>0</v>
      </c>
      <c r="N132" s="4">
        <f t="shared" si="10"/>
        <v>2023</v>
      </c>
      <c r="O132" s="4">
        <f t="shared" si="11"/>
        <v>3</v>
      </c>
    </row>
    <row r="133" spans="1:15" x14ac:dyDescent="0.25">
      <c r="A133" t="s">
        <v>305</v>
      </c>
      <c r="B133" s="2">
        <v>45478</v>
      </c>
      <c r="C133" t="s">
        <v>30</v>
      </c>
      <c r="D133" t="s">
        <v>31</v>
      </c>
      <c r="E133">
        <v>1304.32</v>
      </c>
      <c r="F133">
        <v>0</v>
      </c>
      <c r="G133" t="s">
        <v>13</v>
      </c>
      <c r="H133" t="s">
        <v>40</v>
      </c>
      <c r="I133" t="s">
        <v>306</v>
      </c>
      <c r="J133" t="s">
        <v>45</v>
      </c>
      <c r="K133" s="4">
        <f>VLOOKUP(J133,Exchange_Rates!A:B,2,FALSE)</f>
        <v>1</v>
      </c>
      <c r="L133" s="4">
        <f t="shared" si="8"/>
        <v>1304.32</v>
      </c>
      <c r="M133" s="4">
        <f t="shared" si="9"/>
        <v>0</v>
      </c>
      <c r="N133" s="4">
        <f t="shared" si="10"/>
        <v>2024</v>
      </c>
      <c r="O133" s="4">
        <f t="shared" si="11"/>
        <v>3</v>
      </c>
    </row>
    <row r="134" spans="1:15" x14ac:dyDescent="0.25">
      <c r="A134" t="s">
        <v>307</v>
      </c>
      <c r="B134" s="2">
        <v>45355</v>
      </c>
      <c r="C134" t="s">
        <v>60</v>
      </c>
      <c r="D134" t="s">
        <v>61</v>
      </c>
      <c r="E134">
        <v>0</v>
      </c>
      <c r="F134">
        <v>3993.88</v>
      </c>
      <c r="G134" t="s">
        <v>10</v>
      </c>
      <c r="H134" t="s">
        <v>62</v>
      </c>
      <c r="I134" t="s">
        <v>308</v>
      </c>
      <c r="J134" t="s">
        <v>42</v>
      </c>
      <c r="K134" s="4">
        <f>VLOOKUP(J134,Exchange_Rates!A:B,2,FALSE)</f>
        <v>0.66</v>
      </c>
      <c r="L134" s="4">
        <f t="shared" si="8"/>
        <v>0</v>
      </c>
      <c r="M134" s="4">
        <f t="shared" si="9"/>
        <v>2635.9608000000003</v>
      </c>
      <c r="N134" s="4">
        <f t="shared" si="10"/>
        <v>2024</v>
      </c>
      <c r="O134" s="4">
        <f t="shared" si="11"/>
        <v>1</v>
      </c>
    </row>
    <row r="135" spans="1:15" x14ac:dyDescent="0.25">
      <c r="A135" t="s">
        <v>309</v>
      </c>
      <c r="B135" s="2">
        <v>45710</v>
      </c>
      <c r="C135" t="s">
        <v>24</v>
      </c>
      <c r="D135" t="s">
        <v>25</v>
      </c>
      <c r="E135">
        <v>0</v>
      </c>
      <c r="F135">
        <v>703.6</v>
      </c>
      <c r="G135" t="s">
        <v>12</v>
      </c>
      <c r="H135" t="s">
        <v>62</v>
      </c>
      <c r="I135" t="s">
        <v>310</v>
      </c>
      <c r="J135" t="s">
        <v>28</v>
      </c>
      <c r="K135" s="4">
        <f>VLOOKUP(J135,Exchange_Rates!A:B,2,FALSE)</f>
        <v>1.27</v>
      </c>
      <c r="L135" s="4">
        <f t="shared" si="8"/>
        <v>0</v>
      </c>
      <c r="M135" s="4">
        <f t="shared" si="9"/>
        <v>893.572</v>
      </c>
      <c r="N135" s="4">
        <f t="shared" si="10"/>
        <v>2025</v>
      </c>
      <c r="O135" s="4">
        <f t="shared" si="11"/>
        <v>1</v>
      </c>
    </row>
    <row r="136" spans="1:15" x14ac:dyDescent="0.25">
      <c r="A136" t="s">
        <v>311</v>
      </c>
      <c r="B136" s="2">
        <v>45535</v>
      </c>
      <c r="C136" t="s">
        <v>49</v>
      </c>
      <c r="D136" t="s">
        <v>50</v>
      </c>
      <c r="E136">
        <v>355.53</v>
      </c>
      <c r="F136">
        <v>0</v>
      </c>
      <c r="G136" t="s">
        <v>12</v>
      </c>
      <c r="H136" t="s">
        <v>40</v>
      </c>
      <c r="I136" t="s">
        <v>312</v>
      </c>
      <c r="J136" t="s">
        <v>36</v>
      </c>
      <c r="K136" s="4">
        <f>VLOOKUP(J136,Exchange_Rates!A:B,2,FALSE)</f>
        <v>1.08</v>
      </c>
      <c r="L136" s="4">
        <f t="shared" si="8"/>
        <v>383.97239999999999</v>
      </c>
      <c r="M136" s="4">
        <f t="shared" si="9"/>
        <v>0</v>
      </c>
      <c r="N136" s="4">
        <f t="shared" si="10"/>
        <v>2024</v>
      </c>
      <c r="O136" s="4">
        <f t="shared" si="11"/>
        <v>3</v>
      </c>
    </row>
    <row r="137" spans="1:15" x14ac:dyDescent="0.25">
      <c r="A137" t="s">
        <v>313</v>
      </c>
      <c r="B137" s="2">
        <v>45537</v>
      </c>
      <c r="C137" t="s">
        <v>30</v>
      </c>
      <c r="D137" t="s">
        <v>31</v>
      </c>
      <c r="E137">
        <v>1915.19</v>
      </c>
      <c r="F137">
        <v>0</v>
      </c>
      <c r="G137" t="s">
        <v>9</v>
      </c>
      <c r="H137" t="s">
        <v>34</v>
      </c>
      <c r="I137" t="s">
        <v>314</v>
      </c>
      <c r="J137" t="s">
        <v>45</v>
      </c>
      <c r="K137" s="4">
        <f>VLOOKUP(J137,Exchange_Rates!A:B,2,FALSE)</f>
        <v>1</v>
      </c>
      <c r="L137" s="4">
        <f t="shared" si="8"/>
        <v>1915.19</v>
      </c>
      <c r="M137" s="4">
        <f t="shared" si="9"/>
        <v>0</v>
      </c>
      <c r="N137" s="4">
        <f t="shared" si="10"/>
        <v>2024</v>
      </c>
      <c r="O137" s="4">
        <f t="shared" si="11"/>
        <v>3</v>
      </c>
    </row>
    <row r="138" spans="1:15" x14ac:dyDescent="0.25">
      <c r="A138" t="s">
        <v>315</v>
      </c>
      <c r="B138" s="2">
        <v>45177</v>
      </c>
      <c r="C138" t="s">
        <v>60</v>
      </c>
      <c r="D138" t="s">
        <v>61</v>
      </c>
      <c r="E138">
        <v>0</v>
      </c>
      <c r="F138">
        <v>877.66</v>
      </c>
      <c r="G138" t="s">
        <v>9</v>
      </c>
      <c r="H138" t="s">
        <v>34</v>
      </c>
      <c r="I138" t="s">
        <v>316</v>
      </c>
      <c r="J138" t="s">
        <v>42</v>
      </c>
      <c r="K138" s="4">
        <f>VLOOKUP(J138,Exchange_Rates!A:B,2,FALSE)</f>
        <v>0.66</v>
      </c>
      <c r="L138" s="4">
        <f t="shared" si="8"/>
        <v>0</v>
      </c>
      <c r="M138" s="4">
        <f t="shared" si="9"/>
        <v>579.25559999999996</v>
      </c>
      <c r="N138" s="4">
        <f t="shared" si="10"/>
        <v>2023</v>
      </c>
      <c r="O138" s="4">
        <f t="shared" si="11"/>
        <v>3</v>
      </c>
    </row>
    <row r="139" spans="1:15" x14ac:dyDescent="0.25">
      <c r="A139" t="s">
        <v>317</v>
      </c>
      <c r="B139" s="2">
        <v>45582</v>
      </c>
      <c r="C139" t="s">
        <v>60</v>
      </c>
      <c r="D139" t="s">
        <v>61</v>
      </c>
      <c r="E139">
        <v>0</v>
      </c>
      <c r="F139">
        <v>2719.49</v>
      </c>
      <c r="G139" t="s">
        <v>12</v>
      </c>
      <c r="H139" t="s">
        <v>34</v>
      </c>
      <c r="I139" t="s">
        <v>318</v>
      </c>
      <c r="J139" t="s">
        <v>45</v>
      </c>
      <c r="K139" s="4">
        <f>VLOOKUP(J139,Exchange_Rates!A:B,2,FALSE)</f>
        <v>1</v>
      </c>
      <c r="L139" s="4">
        <f t="shared" si="8"/>
        <v>0</v>
      </c>
      <c r="M139" s="4">
        <f t="shared" si="9"/>
        <v>2719.49</v>
      </c>
      <c r="N139" s="4">
        <f t="shared" si="10"/>
        <v>2024</v>
      </c>
      <c r="O139" s="4">
        <f t="shared" si="11"/>
        <v>4</v>
      </c>
    </row>
    <row r="140" spans="1:15" x14ac:dyDescent="0.25">
      <c r="A140" t="s">
        <v>319</v>
      </c>
      <c r="B140" s="2">
        <v>45661</v>
      </c>
      <c r="C140" t="s">
        <v>49</v>
      </c>
      <c r="D140" t="s">
        <v>50</v>
      </c>
      <c r="E140">
        <v>1695.8</v>
      </c>
      <c r="F140">
        <v>0</v>
      </c>
      <c r="G140" t="s">
        <v>9</v>
      </c>
      <c r="H140" t="s">
        <v>62</v>
      </c>
      <c r="I140" t="s">
        <v>320</v>
      </c>
      <c r="J140" t="s">
        <v>36</v>
      </c>
      <c r="K140" s="4">
        <f>VLOOKUP(J140,Exchange_Rates!A:B,2,FALSE)</f>
        <v>1.08</v>
      </c>
      <c r="L140" s="4">
        <f t="shared" si="8"/>
        <v>1831.4640000000002</v>
      </c>
      <c r="M140" s="4">
        <f t="shared" si="9"/>
        <v>0</v>
      </c>
      <c r="N140" s="4">
        <f t="shared" si="10"/>
        <v>2025</v>
      </c>
      <c r="O140" s="4">
        <f t="shared" si="11"/>
        <v>1</v>
      </c>
    </row>
    <row r="141" spans="1:15" x14ac:dyDescent="0.25">
      <c r="A141" t="s">
        <v>321</v>
      </c>
      <c r="B141" s="2">
        <v>45558</v>
      </c>
      <c r="C141" t="s">
        <v>38</v>
      </c>
      <c r="D141" t="s">
        <v>39</v>
      </c>
      <c r="E141">
        <v>1304.8399999999999</v>
      </c>
      <c r="F141">
        <v>0</v>
      </c>
      <c r="G141" t="s">
        <v>9</v>
      </c>
      <c r="H141" t="s">
        <v>62</v>
      </c>
      <c r="I141" t="s">
        <v>322</v>
      </c>
      <c r="J141" t="s">
        <v>42</v>
      </c>
      <c r="K141" s="4">
        <f>VLOOKUP(J141,Exchange_Rates!A:B,2,FALSE)</f>
        <v>0.66</v>
      </c>
      <c r="L141" s="4">
        <f t="shared" si="8"/>
        <v>861.19439999999997</v>
      </c>
      <c r="M141" s="4">
        <f t="shared" si="9"/>
        <v>0</v>
      </c>
      <c r="N141" s="4">
        <f t="shared" si="10"/>
        <v>2024</v>
      </c>
      <c r="O141" s="4">
        <f t="shared" si="11"/>
        <v>3</v>
      </c>
    </row>
    <row r="142" spans="1:15" x14ac:dyDescent="0.25">
      <c r="A142" t="s">
        <v>323</v>
      </c>
      <c r="B142" s="2">
        <v>45832</v>
      </c>
      <c r="C142" t="s">
        <v>24</v>
      </c>
      <c r="D142" t="s">
        <v>25</v>
      </c>
      <c r="E142">
        <v>0</v>
      </c>
      <c r="F142">
        <v>708.58</v>
      </c>
      <c r="G142" t="s">
        <v>10</v>
      </c>
      <c r="H142" t="s">
        <v>51</v>
      </c>
      <c r="I142" t="s">
        <v>324</v>
      </c>
      <c r="J142" t="s">
        <v>28</v>
      </c>
      <c r="K142" s="4">
        <f>VLOOKUP(J142,Exchange_Rates!A:B,2,FALSE)</f>
        <v>1.27</v>
      </c>
      <c r="L142" s="4">
        <f t="shared" si="8"/>
        <v>0</v>
      </c>
      <c r="M142" s="4">
        <f t="shared" si="9"/>
        <v>899.89660000000003</v>
      </c>
      <c r="N142" s="4">
        <f t="shared" si="10"/>
        <v>2025</v>
      </c>
      <c r="O142" s="4">
        <f t="shared" si="11"/>
        <v>2</v>
      </c>
    </row>
    <row r="143" spans="1:15" x14ac:dyDescent="0.25">
      <c r="A143" t="s">
        <v>325</v>
      </c>
      <c r="B143" s="2">
        <v>45285</v>
      </c>
      <c r="C143" t="s">
        <v>49</v>
      </c>
      <c r="D143" t="s">
        <v>50</v>
      </c>
      <c r="E143">
        <v>1650.46</v>
      </c>
      <c r="F143">
        <v>0</v>
      </c>
      <c r="G143" t="s">
        <v>12</v>
      </c>
      <c r="H143" t="s">
        <v>62</v>
      </c>
      <c r="I143" t="s">
        <v>326</v>
      </c>
      <c r="J143" t="s">
        <v>64</v>
      </c>
      <c r="K143" s="4">
        <f>VLOOKUP(J143,Exchange_Rates!A:B,2,FALSE)</f>
        <v>0.73</v>
      </c>
      <c r="L143" s="4">
        <f t="shared" si="8"/>
        <v>1204.8358000000001</v>
      </c>
      <c r="M143" s="4">
        <f t="shared" si="9"/>
        <v>0</v>
      </c>
      <c r="N143" s="4">
        <f t="shared" si="10"/>
        <v>2023</v>
      </c>
      <c r="O143" s="4">
        <f t="shared" si="11"/>
        <v>4</v>
      </c>
    </row>
    <row r="144" spans="1:15" x14ac:dyDescent="0.25">
      <c r="A144" t="s">
        <v>327</v>
      </c>
      <c r="B144" s="2">
        <v>45147</v>
      </c>
      <c r="C144" t="s">
        <v>60</v>
      </c>
      <c r="D144" t="s">
        <v>61</v>
      </c>
      <c r="E144">
        <v>0</v>
      </c>
      <c r="F144">
        <v>1112.1600000000001</v>
      </c>
      <c r="G144" t="s">
        <v>8</v>
      </c>
      <c r="H144" t="s">
        <v>51</v>
      </c>
      <c r="I144" t="s">
        <v>328</v>
      </c>
      <c r="J144" t="s">
        <v>64</v>
      </c>
      <c r="K144" s="4">
        <f>VLOOKUP(J144,Exchange_Rates!A:B,2,FALSE)</f>
        <v>0.73</v>
      </c>
      <c r="L144" s="4">
        <f t="shared" si="8"/>
        <v>0</v>
      </c>
      <c r="M144" s="4">
        <f t="shared" si="9"/>
        <v>811.8768</v>
      </c>
      <c r="N144" s="4">
        <f t="shared" si="10"/>
        <v>2023</v>
      </c>
      <c r="O144" s="4">
        <f t="shared" si="11"/>
        <v>3</v>
      </c>
    </row>
    <row r="145" spans="1:15" x14ac:dyDescent="0.25">
      <c r="A145" t="s">
        <v>329</v>
      </c>
      <c r="B145" s="2">
        <v>45461</v>
      </c>
      <c r="C145" t="s">
        <v>24</v>
      </c>
      <c r="D145" t="s">
        <v>25</v>
      </c>
      <c r="E145">
        <v>0</v>
      </c>
      <c r="F145">
        <v>3711.83</v>
      </c>
      <c r="G145" t="s">
        <v>11</v>
      </c>
      <c r="H145" t="s">
        <v>40</v>
      </c>
      <c r="I145" t="s">
        <v>330</v>
      </c>
      <c r="J145" t="s">
        <v>64</v>
      </c>
      <c r="K145" s="4">
        <f>VLOOKUP(J145,Exchange_Rates!A:B,2,FALSE)</f>
        <v>0.73</v>
      </c>
      <c r="L145" s="4">
        <f t="shared" si="8"/>
        <v>0</v>
      </c>
      <c r="M145" s="4">
        <f t="shared" si="9"/>
        <v>2709.6358999999998</v>
      </c>
      <c r="N145" s="4">
        <f t="shared" si="10"/>
        <v>2024</v>
      </c>
      <c r="O145" s="4">
        <f t="shared" si="11"/>
        <v>2</v>
      </c>
    </row>
    <row r="146" spans="1:15" x14ac:dyDescent="0.25">
      <c r="A146" t="s">
        <v>331</v>
      </c>
      <c r="B146" s="2">
        <v>45046</v>
      </c>
      <c r="C146" t="s">
        <v>30</v>
      </c>
      <c r="D146" t="s">
        <v>31</v>
      </c>
      <c r="E146">
        <v>715.32</v>
      </c>
      <c r="F146">
        <v>0</v>
      </c>
      <c r="G146" t="s">
        <v>12</v>
      </c>
      <c r="H146" t="s">
        <v>34</v>
      </c>
      <c r="I146" t="s">
        <v>332</v>
      </c>
      <c r="J146" t="s">
        <v>28</v>
      </c>
      <c r="K146" s="4">
        <f>VLOOKUP(J146,Exchange_Rates!A:B,2,FALSE)</f>
        <v>1.27</v>
      </c>
      <c r="L146" s="4">
        <f t="shared" si="8"/>
        <v>908.45640000000003</v>
      </c>
      <c r="M146" s="4">
        <f t="shared" si="9"/>
        <v>0</v>
      </c>
      <c r="N146" s="4">
        <f t="shared" si="10"/>
        <v>2023</v>
      </c>
      <c r="O146" s="4">
        <f t="shared" si="11"/>
        <v>2</v>
      </c>
    </row>
    <row r="147" spans="1:15" x14ac:dyDescent="0.25">
      <c r="A147" t="s">
        <v>333</v>
      </c>
      <c r="B147" s="2">
        <v>45080</v>
      </c>
      <c r="C147" t="s">
        <v>38</v>
      </c>
      <c r="D147" t="s">
        <v>39</v>
      </c>
      <c r="E147">
        <v>1366.61</v>
      </c>
      <c r="F147">
        <v>0</v>
      </c>
      <c r="G147" t="s">
        <v>9</v>
      </c>
      <c r="H147" t="s">
        <v>51</v>
      </c>
      <c r="I147" t="s">
        <v>334</v>
      </c>
      <c r="J147" t="s">
        <v>45</v>
      </c>
      <c r="K147" s="4">
        <f>VLOOKUP(J147,Exchange_Rates!A:B,2,FALSE)</f>
        <v>1</v>
      </c>
      <c r="L147" s="4">
        <f t="shared" si="8"/>
        <v>1366.61</v>
      </c>
      <c r="M147" s="4">
        <f t="shared" si="9"/>
        <v>0</v>
      </c>
      <c r="N147" s="4">
        <f t="shared" si="10"/>
        <v>2023</v>
      </c>
      <c r="O147" s="4">
        <f t="shared" si="11"/>
        <v>2</v>
      </c>
    </row>
    <row r="148" spans="1:15" x14ac:dyDescent="0.25">
      <c r="A148" t="s">
        <v>335</v>
      </c>
      <c r="B148" s="2">
        <v>45068</v>
      </c>
      <c r="C148" t="s">
        <v>30</v>
      </c>
      <c r="D148" t="s">
        <v>31</v>
      </c>
      <c r="E148">
        <v>1091.43</v>
      </c>
      <c r="F148">
        <v>0</v>
      </c>
      <c r="G148" t="s">
        <v>10</v>
      </c>
      <c r="H148" t="s">
        <v>51</v>
      </c>
      <c r="I148" t="s">
        <v>336</v>
      </c>
      <c r="J148" t="s">
        <v>64</v>
      </c>
      <c r="K148" s="4">
        <f>VLOOKUP(J148,Exchange_Rates!A:B,2,FALSE)</f>
        <v>0.73</v>
      </c>
      <c r="L148" s="4">
        <f t="shared" si="8"/>
        <v>796.74390000000005</v>
      </c>
      <c r="M148" s="4">
        <f t="shared" si="9"/>
        <v>0</v>
      </c>
      <c r="N148" s="4">
        <f t="shared" si="10"/>
        <v>2023</v>
      </c>
      <c r="O148" s="4">
        <f t="shared" si="11"/>
        <v>2</v>
      </c>
    </row>
    <row r="149" spans="1:15" x14ac:dyDescent="0.25">
      <c r="A149" t="s">
        <v>337</v>
      </c>
      <c r="B149" s="2">
        <v>45468</v>
      </c>
      <c r="C149" t="s">
        <v>24</v>
      </c>
      <c r="D149" t="s">
        <v>25</v>
      </c>
      <c r="E149">
        <v>0</v>
      </c>
      <c r="F149">
        <v>1164.3499999999999</v>
      </c>
      <c r="G149" t="s">
        <v>13</v>
      </c>
      <c r="H149" t="s">
        <v>51</v>
      </c>
      <c r="I149" t="s">
        <v>338</v>
      </c>
      <c r="J149" t="s">
        <v>28</v>
      </c>
      <c r="K149" s="4">
        <f>VLOOKUP(J149,Exchange_Rates!A:B,2,FALSE)</f>
        <v>1.27</v>
      </c>
      <c r="L149" s="4">
        <f t="shared" si="8"/>
        <v>0</v>
      </c>
      <c r="M149" s="4">
        <f t="shared" si="9"/>
        <v>1478.7244999999998</v>
      </c>
      <c r="N149" s="4">
        <f t="shared" si="10"/>
        <v>2024</v>
      </c>
      <c r="O149" s="4">
        <f t="shared" si="11"/>
        <v>2</v>
      </c>
    </row>
    <row r="150" spans="1:15" x14ac:dyDescent="0.25">
      <c r="A150" t="s">
        <v>339</v>
      </c>
      <c r="B150" s="2">
        <v>45352</v>
      </c>
      <c r="C150" t="s">
        <v>49</v>
      </c>
      <c r="D150" t="s">
        <v>50</v>
      </c>
      <c r="E150">
        <v>1139.5</v>
      </c>
      <c r="F150">
        <v>0</v>
      </c>
      <c r="G150" t="s">
        <v>13</v>
      </c>
      <c r="H150" t="s">
        <v>51</v>
      </c>
      <c r="I150" t="s">
        <v>340</v>
      </c>
      <c r="J150" t="s">
        <v>42</v>
      </c>
      <c r="K150" s="4">
        <f>VLOOKUP(J150,Exchange_Rates!A:B,2,FALSE)</f>
        <v>0.66</v>
      </c>
      <c r="L150" s="4">
        <f t="shared" si="8"/>
        <v>752.07</v>
      </c>
      <c r="M150" s="4">
        <f t="shared" si="9"/>
        <v>0</v>
      </c>
      <c r="N150" s="4">
        <f t="shared" si="10"/>
        <v>2024</v>
      </c>
      <c r="O150" s="4">
        <f t="shared" si="11"/>
        <v>1</v>
      </c>
    </row>
    <row r="151" spans="1:15" x14ac:dyDescent="0.25">
      <c r="A151" t="s">
        <v>341</v>
      </c>
      <c r="B151" s="2">
        <v>45668</v>
      </c>
      <c r="C151" t="s">
        <v>24</v>
      </c>
      <c r="D151" t="s">
        <v>25</v>
      </c>
      <c r="E151">
        <v>0</v>
      </c>
      <c r="F151">
        <v>338.86</v>
      </c>
      <c r="G151" t="s">
        <v>8</v>
      </c>
      <c r="H151" t="s">
        <v>40</v>
      </c>
      <c r="I151" t="s">
        <v>342</v>
      </c>
      <c r="J151" t="s">
        <v>45</v>
      </c>
      <c r="K151" s="4">
        <f>VLOOKUP(J151,Exchange_Rates!A:B,2,FALSE)</f>
        <v>1</v>
      </c>
      <c r="L151" s="4">
        <f t="shared" si="8"/>
        <v>0</v>
      </c>
      <c r="M151" s="4">
        <f t="shared" si="9"/>
        <v>338.86</v>
      </c>
      <c r="N151" s="4">
        <f t="shared" si="10"/>
        <v>2025</v>
      </c>
      <c r="O151" s="4">
        <f t="shared" si="11"/>
        <v>1</v>
      </c>
    </row>
    <row r="152" spans="1:15" x14ac:dyDescent="0.25">
      <c r="A152" t="s">
        <v>343</v>
      </c>
      <c r="B152" s="2">
        <v>45706</v>
      </c>
      <c r="C152" t="s">
        <v>30</v>
      </c>
      <c r="D152" t="s">
        <v>31</v>
      </c>
      <c r="E152">
        <v>1379.51</v>
      </c>
      <c r="F152">
        <v>0</v>
      </c>
      <c r="G152" t="s">
        <v>9</v>
      </c>
      <c r="H152" t="s">
        <v>40</v>
      </c>
      <c r="I152" t="s">
        <v>344</v>
      </c>
      <c r="J152" t="s">
        <v>45</v>
      </c>
      <c r="K152" s="4">
        <f>VLOOKUP(J152,Exchange_Rates!A:B,2,FALSE)</f>
        <v>1</v>
      </c>
      <c r="L152" s="4">
        <f t="shared" si="8"/>
        <v>1379.51</v>
      </c>
      <c r="M152" s="4">
        <f t="shared" si="9"/>
        <v>0</v>
      </c>
      <c r="N152" s="4">
        <f t="shared" si="10"/>
        <v>2025</v>
      </c>
      <c r="O152" s="4">
        <f t="shared" si="11"/>
        <v>1</v>
      </c>
    </row>
    <row r="153" spans="1:15" x14ac:dyDescent="0.25">
      <c r="A153" t="s">
        <v>345</v>
      </c>
      <c r="B153" s="2">
        <v>45368</v>
      </c>
      <c r="C153" t="s">
        <v>60</v>
      </c>
      <c r="D153" t="s">
        <v>61</v>
      </c>
      <c r="E153">
        <v>0</v>
      </c>
      <c r="F153">
        <v>978.34</v>
      </c>
      <c r="G153" t="s">
        <v>12</v>
      </c>
      <c r="H153" t="s">
        <v>34</v>
      </c>
      <c r="I153" t="s">
        <v>346</v>
      </c>
      <c r="J153" t="s">
        <v>42</v>
      </c>
      <c r="K153" s="4">
        <f>VLOOKUP(J153,Exchange_Rates!A:B,2,FALSE)</f>
        <v>0.66</v>
      </c>
      <c r="L153" s="4">
        <f t="shared" si="8"/>
        <v>0</v>
      </c>
      <c r="M153" s="4">
        <f t="shared" si="9"/>
        <v>645.70440000000008</v>
      </c>
      <c r="N153" s="4">
        <f t="shared" si="10"/>
        <v>2024</v>
      </c>
      <c r="O153" s="4">
        <f t="shared" si="11"/>
        <v>1</v>
      </c>
    </row>
    <row r="154" spans="1:15" x14ac:dyDescent="0.25">
      <c r="A154" t="s">
        <v>347</v>
      </c>
      <c r="B154" s="2">
        <v>45811</v>
      </c>
      <c r="C154" t="s">
        <v>38</v>
      </c>
      <c r="D154" t="s">
        <v>39</v>
      </c>
      <c r="E154">
        <v>1490.29</v>
      </c>
      <c r="F154">
        <v>0</v>
      </c>
      <c r="G154" t="s">
        <v>11</v>
      </c>
      <c r="H154" t="s">
        <v>34</v>
      </c>
      <c r="I154" t="s">
        <v>348</v>
      </c>
      <c r="J154" t="s">
        <v>36</v>
      </c>
      <c r="K154" s="4">
        <f>VLOOKUP(J154,Exchange_Rates!A:B,2,FALSE)</f>
        <v>1.08</v>
      </c>
      <c r="L154" s="4">
        <f t="shared" si="8"/>
        <v>1609.5132000000001</v>
      </c>
      <c r="M154" s="4">
        <f t="shared" si="9"/>
        <v>0</v>
      </c>
      <c r="N154" s="4">
        <f t="shared" si="10"/>
        <v>2025</v>
      </c>
      <c r="O154" s="4">
        <f t="shared" si="11"/>
        <v>2</v>
      </c>
    </row>
    <row r="155" spans="1:15" x14ac:dyDescent="0.25">
      <c r="A155" t="s">
        <v>349</v>
      </c>
      <c r="B155" s="2">
        <v>45576</v>
      </c>
      <c r="C155" t="s">
        <v>49</v>
      </c>
      <c r="D155" t="s">
        <v>50</v>
      </c>
      <c r="E155">
        <v>1515.7</v>
      </c>
      <c r="F155">
        <v>0</v>
      </c>
      <c r="G155" t="s">
        <v>13</v>
      </c>
      <c r="H155" t="s">
        <v>40</v>
      </c>
      <c r="I155" t="s">
        <v>350</v>
      </c>
      <c r="J155" t="s">
        <v>45</v>
      </c>
      <c r="K155" s="4">
        <f>VLOOKUP(J155,Exchange_Rates!A:B,2,FALSE)</f>
        <v>1</v>
      </c>
      <c r="L155" s="4">
        <f t="shared" si="8"/>
        <v>1515.7</v>
      </c>
      <c r="M155" s="4">
        <f t="shared" si="9"/>
        <v>0</v>
      </c>
      <c r="N155" s="4">
        <f t="shared" si="10"/>
        <v>2024</v>
      </c>
      <c r="O155" s="4">
        <f t="shared" si="11"/>
        <v>4</v>
      </c>
    </row>
    <row r="156" spans="1:15" x14ac:dyDescent="0.25">
      <c r="A156" t="s">
        <v>351</v>
      </c>
      <c r="B156" s="2">
        <v>45822</v>
      </c>
      <c r="C156" t="s">
        <v>24</v>
      </c>
      <c r="D156" t="s">
        <v>25</v>
      </c>
      <c r="E156">
        <v>0</v>
      </c>
      <c r="F156">
        <v>1736.2</v>
      </c>
      <c r="G156" t="s">
        <v>13</v>
      </c>
      <c r="H156" t="s">
        <v>40</v>
      </c>
      <c r="I156" t="s">
        <v>352</v>
      </c>
      <c r="J156" t="s">
        <v>28</v>
      </c>
      <c r="K156" s="4">
        <f>VLOOKUP(J156,Exchange_Rates!A:B,2,FALSE)</f>
        <v>1.27</v>
      </c>
      <c r="L156" s="4">
        <f t="shared" si="8"/>
        <v>0</v>
      </c>
      <c r="M156" s="4">
        <f t="shared" si="9"/>
        <v>2204.9740000000002</v>
      </c>
      <c r="N156" s="4">
        <f t="shared" si="10"/>
        <v>2025</v>
      </c>
      <c r="O156" s="4">
        <f t="shared" si="11"/>
        <v>2</v>
      </c>
    </row>
    <row r="157" spans="1:15" x14ac:dyDescent="0.25">
      <c r="A157" t="s">
        <v>353</v>
      </c>
      <c r="B157" s="2">
        <v>45116</v>
      </c>
      <c r="C157" t="s">
        <v>38</v>
      </c>
      <c r="D157" t="s">
        <v>39</v>
      </c>
      <c r="E157">
        <v>1711.43</v>
      </c>
      <c r="F157">
        <v>0</v>
      </c>
      <c r="G157" t="s">
        <v>8</v>
      </c>
      <c r="H157" t="s">
        <v>40</v>
      </c>
      <c r="I157" t="s">
        <v>354</v>
      </c>
      <c r="J157" t="s">
        <v>64</v>
      </c>
      <c r="K157" s="4">
        <f>VLOOKUP(J157,Exchange_Rates!A:B,2,FALSE)</f>
        <v>0.73</v>
      </c>
      <c r="L157" s="4">
        <f t="shared" si="8"/>
        <v>1249.3439000000001</v>
      </c>
      <c r="M157" s="4">
        <f t="shared" si="9"/>
        <v>0</v>
      </c>
      <c r="N157" s="4">
        <f t="shared" si="10"/>
        <v>2023</v>
      </c>
      <c r="O157" s="4">
        <f t="shared" si="11"/>
        <v>3</v>
      </c>
    </row>
    <row r="158" spans="1:15" x14ac:dyDescent="0.25">
      <c r="A158" t="s">
        <v>355</v>
      </c>
      <c r="B158" s="2">
        <v>45035</v>
      </c>
      <c r="C158" t="s">
        <v>38</v>
      </c>
      <c r="D158" t="s">
        <v>39</v>
      </c>
      <c r="E158">
        <v>511.34</v>
      </c>
      <c r="F158">
        <v>0</v>
      </c>
      <c r="G158" t="s">
        <v>12</v>
      </c>
      <c r="H158" t="s">
        <v>51</v>
      </c>
      <c r="I158" t="s">
        <v>356</v>
      </c>
      <c r="J158" t="s">
        <v>28</v>
      </c>
      <c r="K158" s="4">
        <f>VLOOKUP(J158,Exchange_Rates!A:B,2,FALSE)</f>
        <v>1.27</v>
      </c>
      <c r="L158" s="4">
        <f t="shared" si="8"/>
        <v>649.40179999999998</v>
      </c>
      <c r="M158" s="4">
        <f t="shared" si="9"/>
        <v>0</v>
      </c>
      <c r="N158" s="4">
        <f t="shared" si="10"/>
        <v>2023</v>
      </c>
      <c r="O158" s="4">
        <f t="shared" si="11"/>
        <v>2</v>
      </c>
    </row>
    <row r="159" spans="1:15" x14ac:dyDescent="0.25">
      <c r="A159" t="s">
        <v>357</v>
      </c>
      <c r="B159" s="2">
        <v>45037</v>
      </c>
      <c r="C159" t="s">
        <v>24</v>
      </c>
      <c r="D159" t="s">
        <v>25</v>
      </c>
      <c r="E159">
        <v>0</v>
      </c>
      <c r="F159">
        <v>4520.9799999999996</v>
      </c>
      <c r="G159" t="s">
        <v>11</v>
      </c>
      <c r="H159" t="s">
        <v>40</v>
      </c>
      <c r="I159" t="s">
        <v>358</v>
      </c>
      <c r="J159" t="s">
        <v>42</v>
      </c>
      <c r="K159" s="4">
        <f>VLOOKUP(J159,Exchange_Rates!A:B,2,FALSE)</f>
        <v>0.66</v>
      </c>
      <c r="L159" s="4">
        <f t="shared" si="8"/>
        <v>0</v>
      </c>
      <c r="M159" s="4">
        <f t="shared" si="9"/>
        <v>2983.8467999999998</v>
      </c>
      <c r="N159" s="4">
        <f t="shared" si="10"/>
        <v>2023</v>
      </c>
      <c r="O159" s="4">
        <f t="shared" si="11"/>
        <v>2</v>
      </c>
    </row>
    <row r="160" spans="1:15" x14ac:dyDescent="0.25">
      <c r="A160" t="s">
        <v>359</v>
      </c>
      <c r="B160" s="2">
        <v>44955</v>
      </c>
      <c r="C160" t="s">
        <v>30</v>
      </c>
      <c r="D160" t="s">
        <v>31</v>
      </c>
      <c r="E160">
        <v>1483.66</v>
      </c>
      <c r="F160">
        <v>0</v>
      </c>
      <c r="G160" t="s">
        <v>10</v>
      </c>
      <c r="H160" t="s">
        <v>51</v>
      </c>
      <c r="I160" t="s">
        <v>360</v>
      </c>
      <c r="J160" t="s">
        <v>42</v>
      </c>
      <c r="K160" s="4">
        <f>VLOOKUP(J160,Exchange_Rates!A:B,2,FALSE)</f>
        <v>0.66</v>
      </c>
      <c r="L160" s="4">
        <f t="shared" si="8"/>
        <v>979.21560000000011</v>
      </c>
      <c r="M160" s="4">
        <f t="shared" si="9"/>
        <v>0</v>
      </c>
      <c r="N160" s="4">
        <f t="shared" si="10"/>
        <v>2023</v>
      </c>
      <c r="O160" s="4">
        <f t="shared" si="11"/>
        <v>1</v>
      </c>
    </row>
    <row r="161" spans="1:15" x14ac:dyDescent="0.25">
      <c r="A161" t="s">
        <v>361</v>
      </c>
      <c r="B161" s="2">
        <v>45828</v>
      </c>
      <c r="C161" t="s">
        <v>49</v>
      </c>
      <c r="D161" t="s">
        <v>50</v>
      </c>
      <c r="E161">
        <v>571.01</v>
      </c>
      <c r="F161">
        <v>0</v>
      </c>
      <c r="G161" t="s">
        <v>8</v>
      </c>
      <c r="H161" t="s">
        <v>34</v>
      </c>
      <c r="I161" t="s">
        <v>362</v>
      </c>
      <c r="J161" t="s">
        <v>36</v>
      </c>
      <c r="K161" s="4">
        <f>VLOOKUP(J161,Exchange_Rates!A:B,2,FALSE)</f>
        <v>1.08</v>
      </c>
      <c r="L161" s="4">
        <f t="shared" si="8"/>
        <v>616.69080000000008</v>
      </c>
      <c r="M161" s="4">
        <f t="shared" si="9"/>
        <v>0</v>
      </c>
      <c r="N161" s="4">
        <f t="shared" si="10"/>
        <v>2025</v>
      </c>
      <c r="O161" s="4">
        <f t="shared" si="11"/>
        <v>2</v>
      </c>
    </row>
    <row r="162" spans="1:15" x14ac:dyDescent="0.25">
      <c r="A162" t="s">
        <v>363</v>
      </c>
      <c r="B162" s="2">
        <v>45269</v>
      </c>
      <c r="C162" t="s">
        <v>38</v>
      </c>
      <c r="D162" t="s">
        <v>39</v>
      </c>
      <c r="E162">
        <v>1556.44</v>
      </c>
      <c r="F162">
        <v>0</v>
      </c>
      <c r="G162" t="s">
        <v>13</v>
      </c>
      <c r="H162" t="s">
        <v>40</v>
      </c>
      <c r="I162" t="s">
        <v>364</v>
      </c>
      <c r="J162" t="s">
        <v>45</v>
      </c>
      <c r="K162" s="4">
        <f>VLOOKUP(J162,Exchange_Rates!A:B,2,FALSE)</f>
        <v>1</v>
      </c>
      <c r="L162" s="4">
        <f t="shared" si="8"/>
        <v>1556.44</v>
      </c>
      <c r="M162" s="4">
        <f t="shared" si="9"/>
        <v>0</v>
      </c>
      <c r="N162" s="4">
        <f t="shared" si="10"/>
        <v>2023</v>
      </c>
      <c r="O162" s="4">
        <f t="shared" si="11"/>
        <v>4</v>
      </c>
    </row>
    <row r="163" spans="1:15" x14ac:dyDescent="0.25">
      <c r="A163" t="s">
        <v>365</v>
      </c>
      <c r="B163" s="2">
        <v>45705</v>
      </c>
      <c r="C163" t="s">
        <v>24</v>
      </c>
      <c r="D163" t="s">
        <v>25</v>
      </c>
      <c r="E163">
        <v>0</v>
      </c>
      <c r="F163">
        <v>2614.6799999999998</v>
      </c>
      <c r="G163" t="s">
        <v>9</v>
      </c>
      <c r="H163" t="s">
        <v>62</v>
      </c>
      <c r="I163" t="s">
        <v>366</v>
      </c>
      <c r="J163" t="s">
        <v>42</v>
      </c>
      <c r="K163" s="4">
        <f>VLOOKUP(J163,Exchange_Rates!A:B,2,FALSE)</f>
        <v>0.66</v>
      </c>
      <c r="L163" s="4">
        <f t="shared" si="8"/>
        <v>0</v>
      </c>
      <c r="M163" s="4">
        <f t="shared" si="9"/>
        <v>1725.6887999999999</v>
      </c>
      <c r="N163" s="4">
        <f t="shared" si="10"/>
        <v>2025</v>
      </c>
      <c r="O163" s="4">
        <f t="shared" si="11"/>
        <v>1</v>
      </c>
    </row>
    <row r="164" spans="1:15" x14ac:dyDescent="0.25">
      <c r="A164" t="s">
        <v>367</v>
      </c>
      <c r="B164" s="2">
        <v>45647</v>
      </c>
      <c r="C164" t="s">
        <v>24</v>
      </c>
      <c r="D164" t="s">
        <v>25</v>
      </c>
      <c r="E164">
        <v>0</v>
      </c>
      <c r="F164">
        <v>3901.69</v>
      </c>
      <c r="G164" t="s">
        <v>13</v>
      </c>
      <c r="H164" t="s">
        <v>62</v>
      </c>
      <c r="I164" t="s">
        <v>368</v>
      </c>
      <c r="J164" t="s">
        <v>36</v>
      </c>
      <c r="K164" s="4">
        <f>VLOOKUP(J164,Exchange_Rates!A:B,2,FALSE)</f>
        <v>1.08</v>
      </c>
      <c r="L164" s="4">
        <f t="shared" si="8"/>
        <v>0</v>
      </c>
      <c r="M164" s="4">
        <f t="shared" si="9"/>
        <v>4213.8252000000002</v>
      </c>
      <c r="N164" s="4">
        <f t="shared" si="10"/>
        <v>2024</v>
      </c>
      <c r="O164" s="4">
        <f t="shared" si="11"/>
        <v>4</v>
      </c>
    </row>
    <row r="165" spans="1:15" x14ac:dyDescent="0.25">
      <c r="A165" t="s">
        <v>369</v>
      </c>
      <c r="B165" s="2">
        <v>45714</v>
      </c>
      <c r="C165" t="s">
        <v>60</v>
      </c>
      <c r="D165" t="s">
        <v>61</v>
      </c>
      <c r="E165">
        <v>0</v>
      </c>
      <c r="F165">
        <v>1890.76</v>
      </c>
      <c r="G165" t="s">
        <v>9</v>
      </c>
      <c r="H165" t="s">
        <v>51</v>
      </c>
      <c r="I165" t="s">
        <v>370</v>
      </c>
      <c r="J165" t="s">
        <v>64</v>
      </c>
      <c r="K165" s="4">
        <f>VLOOKUP(J165,Exchange_Rates!A:B,2,FALSE)</f>
        <v>0.73</v>
      </c>
      <c r="L165" s="4">
        <f t="shared" si="8"/>
        <v>0</v>
      </c>
      <c r="M165" s="4">
        <f t="shared" si="9"/>
        <v>1380.2547999999999</v>
      </c>
      <c r="N165" s="4">
        <f t="shared" si="10"/>
        <v>2025</v>
      </c>
      <c r="O165" s="4">
        <f t="shared" si="11"/>
        <v>1</v>
      </c>
    </row>
    <row r="166" spans="1:15" x14ac:dyDescent="0.25">
      <c r="A166" t="s">
        <v>371</v>
      </c>
      <c r="B166" s="2">
        <v>45490</v>
      </c>
      <c r="C166" t="s">
        <v>60</v>
      </c>
      <c r="D166" t="s">
        <v>61</v>
      </c>
      <c r="E166">
        <v>0</v>
      </c>
      <c r="F166">
        <v>1829.98</v>
      </c>
      <c r="G166" t="s">
        <v>9</v>
      </c>
      <c r="H166" t="s">
        <v>62</v>
      </c>
      <c r="I166" t="s">
        <v>372</v>
      </c>
      <c r="J166" t="s">
        <v>64</v>
      </c>
      <c r="K166" s="4">
        <f>VLOOKUP(J166,Exchange_Rates!A:B,2,FALSE)</f>
        <v>0.73</v>
      </c>
      <c r="L166" s="4">
        <f t="shared" si="8"/>
        <v>0</v>
      </c>
      <c r="M166" s="4">
        <f t="shared" si="9"/>
        <v>1335.8853999999999</v>
      </c>
      <c r="N166" s="4">
        <f t="shared" si="10"/>
        <v>2024</v>
      </c>
      <c r="O166" s="4">
        <f t="shared" si="11"/>
        <v>3</v>
      </c>
    </row>
    <row r="167" spans="1:15" x14ac:dyDescent="0.25">
      <c r="A167" t="s">
        <v>373</v>
      </c>
      <c r="B167" s="2">
        <v>45447</v>
      </c>
      <c r="C167" t="s">
        <v>24</v>
      </c>
      <c r="D167" t="s">
        <v>25</v>
      </c>
      <c r="E167">
        <v>0</v>
      </c>
      <c r="F167">
        <v>1161.94</v>
      </c>
      <c r="G167" t="s">
        <v>8</v>
      </c>
      <c r="H167" t="s">
        <v>34</v>
      </c>
      <c r="I167" t="s">
        <v>374</v>
      </c>
      <c r="J167" t="s">
        <v>36</v>
      </c>
      <c r="K167" s="4">
        <f>VLOOKUP(J167,Exchange_Rates!A:B,2,FALSE)</f>
        <v>1.08</v>
      </c>
      <c r="L167" s="4">
        <f t="shared" si="8"/>
        <v>0</v>
      </c>
      <c r="M167" s="4">
        <f t="shared" si="9"/>
        <v>1254.8952000000002</v>
      </c>
      <c r="N167" s="4">
        <f t="shared" si="10"/>
        <v>2024</v>
      </c>
      <c r="O167" s="4">
        <f t="shared" si="11"/>
        <v>2</v>
      </c>
    </row>
    <row r="168" spans="1:15" x14ac:dyDescent="0.25">
      <c r="A168" t="s">
        <v>375</v>
      </c>
      <c r="B168" s="2">
        <v>45252</v>
      </c>
      <c r="C168" t="s">
        <v>38</v>
      </c>
      <c r="D168" t="s">
        <v>39</v>
      </c>
      <c r="E168">
        <v>1114.08</v>
      </c>
      <c r="F168">
        <v>0</v>
      </c>
      <c r="G168" t="s">
        <v>11</v>
      </c>
      <c r="H168" t="s">
        <v>62</v>
      </c>
      <c r="I168" t="s">
        <v>376</v>
      </c>
      <c r="J168" t="s">
        <v>36</v>
      </c>
      <c r="K168" s="4">
        <f>VLOOKUP(J168,Exchange_Rates!A:B,2,FALSE)</f>
        <v>1.08</v>
      </c>
      <c r="L168" s="4">
        <f t="shared" si="8"/>
        <v>1203.2064</v>
      </c>
      <c r="M168" s="4">
        <f t="shared" si="9"/>
        <v>0</v>
      </c>
      <c r="N168" s="4">
        <f t="shared" si="10"/>
        <v>2023</v>
      </c>
      <c r="O168" s="4">
        <f t="shared" si="11"/>
        <v>4</v>
      </c>
    </row>
    <row r="169" spans="1:15" x14ac:dyDescent="0.25">
      <c r="A169" t="s">
        <v>377</v>
      </c>
      <c r="B169" s="2">
        <v>45418</v>
      </c>
      <c r="C169" t="s">
        <v>60</v>
      </c>
      <c r="D169" t="s">
        <v>61</v>
      </c>
      <c r="E169">
        <v>0</v>
      </c>
      <c r="F169">
        <v>859.97</v>
      </c>
      <c r="G169" t="s">
        <v>11</v>
      </c>
      <c r="H169" t="s">
        <v>62</v>
      </c>
      <c r="I169" t="s">
        <v>378</v>
      </c>
      <c r="J169" t="s">
        <v>36</v>
      </c>
      <c r="K169" s="4">
        <f>VLOOKUP(J169,Exchange_Rates!A:B,2,FALSE)</f>
        <v>1.08</v>
      </c>
      <c r="L169" s="4">
        <f t="shared" si="8"/>
        <v>0</v>
      </c>
      <c r="M169" s="4">
        <f t="shared" si="9"/>
        <v>928.76760000000013</v>
      </c>
      <c r="N169" s="4">
        <f t="shared" si="10"/>
        <v>2024</v>
      </c>
      <c r="O169" s="4">
        <f t="shared" si="11"/>
        <v>2</v>
      </c>
    </row>
    <row r="170" spans="1:15" x14ac:dyDescent="0.25">
      <c r="A170" t="s">
        <v>379</v>
      </c>
      <c r="B170" s="2">
        <v>45182</v>
      </c>
      <c r="C170" t="s">
        <v>30</v>
      </c>
      <c r="D170" t="s">
        <v>31</v>
      </c>
      <c r="E170">
        <v>1369.63</v>
      </c>
      <c r="F170">
        <v>0</v>
      </c>
      <c r="G170" t="s">
        <v>11</v>
      </c>
      <c r="H170" t="s">
        <v>62</v>
      </c>
      <c r="I170" t="s">
        <v>380</v>
      </c>
      <c r="J170" t="s">
        <v>45</v>
      </c>
      <c r="K170" s="4">
        <f>VLOOKUP(J170,Exchange_Rates!A:B,2,FALSE)</f>
        <v>1</v>
      </c>
      <c r="L170" s="4">
        <f t="shared" si="8"/>
        <v>1369.63</v>
      </c>
      <c r="M170" s="4">
        <f t="shared" si="9"/>
        <v>0</v>
      </c>
      <c r="N170" s="4">
        <f t="shared" si="10"/>
        <v>2023</v>
      </c>
      <c r="O170" s="4">
        <f t="shared" si="11"/>
        <v>3</v>
      </c>
    </row>
    <row r="171" spans="1:15" x14ac:dyDescent="0.25">
      <c r="A171" t="s">
        <v>381</v>
      </c>
      <c r="B171" s="2">
        <v>44943</v>
      </c>
      <c r="C171" t="s">
        <v>38</v>
      </c>
      <c r="D171" t="s">
        <v>39</v>
      </c>
      <c r="E171">
        <v>1174.4100000000001</v>
      </c>
      <c r="F171">
        <v>0</v>
      </c>
      <c r="G171" t="s">
        <v>11</v>
      </c>
      <c r="H171" t="s">
        <v>26</v>
      </c>
      <c r="I171" t="s">
        <v>382</v>
      </c>
      <c r="J171" t="s">
        <v>42</v>
      </c>
      <c r="K171" s="4">
        <f>VLOOKUP(J171,Exchange_Rates!A:B,2,FALSE)</f>
        <v>0.66</v>
      </c>
      <c r="L171" s="4">
        <f t="shared" si="8"/>
        <v>775.11060000000009</v>
      </c>
      <c r="M171" s="4">
        <f t="shared" si="9"/>
        <v>0</v>
      </c>
      <c r="N171" s="4">
        <f t="shared" si="10"/>
        <v>2023</v>
      </c>
      <c r="O171" s="4">
        <f t="shared" si="11"/>
        <v>1</v>
      </c>
    </row>
    <row r="172" spans="1:15" x14ac:dyDescent="0.25">
      <c r="A172" t="s">
        <v>383</v>
      </c>
      <c r="B172" s="2">
        <v>45564</v>
      </c>
      <c r="C172" t="s">
        <v>49</v>
      </c>
      <c r="D172" t="s">
        <v>50</v>
      </c>
      <c r="E172">
        <v>605.78</v>
      </c>
      <c r="F172">
        <v>0</v>
      </c>
      <c r="G172" t="s">
        <v>12</v>
      </c>
      <c r="H172" t="s">
        <v>51</v>
      </c>
      <c r="I172" t="s">
        <v>384</v>
      </c>
      <c r="J172" t="s">
        <v>36</v>
      </c>
      <c r="K172" s="4">
        <f>VLOOKUP(J172,Exchange_Rates!A:B,2,FALSE)</f>
        <v>1.08</v>
      </c>
      <c r="L172" s="4">
        <f t="shared" si="8"/>
        <v>654.24239999999998</v>
      </c>
      <c r="M172" s="4">
        <f t="shared" si="9"/>
        <v>0</v>
      </c>
      <c r="N172" s="4">
        <f t="shared" si="10"/>
        <v>2024</v>
      </c>
      <c r="O172" s="4">
        <f t="shared" si="11"/>
        <v>3</v>
      </c>
    </row>
    <row r="173" spans="1:15" x14ac:dyDescent="0.25">
      <c r="A173" t="s">
        <v>385</v>
      </c>
      <c r="B173" s="2">
        <v>45384</v>
      </c>
      <c r="C173" t="s">
        <v>30</v>
      </c>
      <c r="D173" t="s">
        <v>31</v>
      </c>
      <c r="E173">
        <v>60.93</v>
      </c>
      <c r="F173">
        <v>0</v>
      </c>
      <c r="G173" t="s">
        <v>8</v>
      </c>
      <c r="H173" t="s">
        <v>40</v>
      </c>
      <c r="I173" t="s">
        <v>386</v>
      </c>
      <c r="J173" t="s">
        <v>42</v>
      </c>
      <c r="K173" s="4">
        <f>VLOOKUP(J173,Exchange_Rates!A:B,2,FALSE)</f>
        <v>0.66</v>
      </c>
      <c r="L173" s="4">
        <f t="shared" si="8"/>
        <v>40.213799999999999</v>
      </c>
      <c r="M173" s="4">
        <f t="shared" si="9"/>
        <v>0</v>
      </c>
      <c r="N173" s="4">
        <f t="shared" si="10"/>
        <v>2024</v>
      </c>
      <c r="O173" s="4">
        <f t="shared" si="11"/>
        <v>2</v>
      </c>
    </row>
    <row r="174" spans="1:15" x14ac:dyDescent="0.25">
      <c r="A174" t="s">
        <v>387</v>
      </c>
      <c r="B174" s="2">
        <v>45489</v>
      </c>
      <c r="C174" t="s">
        <v>49</v>
      </c>
      <c r="D174" t="s">
        <v>50</v>
      </c>
      <c r="E174">
        <v>210.91</v>
      </c>
      <c r="F174">
        <v>0</v>
      </c>
      <c r="G174" t="s">
        <v>10</v>
      </c>
      <c r="H174" t="s">
        <v>40</v>
      </c>
      <c r="I174" t="s">
        <v>388</v>
      </c>
      <c r="J174" t="s">
        <v>36</v>
      </c>
      <c r="K174" s="4">
        <f>VLOOKUP(J174,Exchange_Rates!A:B,2,FALSE)</f>
        <v>1.08</v>
      </c>
      <c r="L174" s="4">
        <f t="shared" si="8"/>
        <v>227.78280000000001</v>
      </c>
      <c r="M174" s="4">
        <f t="shared" si="9"/>
        <v>0</v>
      </c>
      <c r="N174" s="4">
        <f t="shared" si="10"/>
        <v>2024</v>
      </c>
      <c r="O174" s="4">
        <f t="shared" si="11"/>
        <v>3</v>
      </c>
    </row>
    <row r="175" spans="1:15" x14ac:dyDescent="0.25">
      <c r="A175" t="s">
        <v>389</v>
      </c>
      <c r="B175" s="2">
        <v>45729</v>
      </c>
      <c r="C175" t="s">
        <v>49</v>
      </c>
      <c r="D175" t="s">
        <v>50</v>
      </c>
      <c r="E175">
        <v>763.11</v>
      </c>
      <c r="F175">
        <v>0</v>
      </c>
      <c r="G175" t="s">
        <v>8</v>
      </c>
      <c r="H175" t="s">
        <v>62</v>
      </c>
      <c r="I175" t="s">
        <v>390</v>
      </c>
      <c r="J175" t="s">
        <v>36</v>
      </c>
      <c r="K175" s="4">
        <f>VLOOKUP(J175,Exchange_Rates!A:B,2,FALSE)</f>
        <v>1.08</v>
      </c>
      <c r="L175" s="4">
        <f t="shared" si="8"/>
        <v>824.15880000000004</v>
      </c>
      <c r="M175" s="4">
        <f t="shared" si="9"/>
        <v>0</v>
      </c>
      <c r="N175" s="4">
        <f t="shared" si="10"/>
        <v>2025</v>
      </c>
      <c r="O175" s="4">
        <f t="shared" si="11"/>
        <v>1</v>
      </c>
    </row>
    <row r="176" spans="1:15" x14ac:dyDescent="0.25">
      <c r="A176" t="s">
        <v>391</v>
      </c>
      <c r="B176" s="2">
        <v>45526</v>
      </c>
      <c r="C176" t="s">
        <v>30</v>
      </c>
      <c r="D176" t="s">
        <v>31</v>
      </c>
      <c r="E176">
        <v>858.91</v>
      </c>
      <c r="F176">
        <v>0</v>
      </c>
      <c r="G176" t="s">
        <v>12</v>
      </c>
      <c r="H176" t="s">
        <v>40</v>
      </c>
      <c r="I176" t="s">
        <v>392</v>
      </c>
      <c r="J176" t="s">
        <v>36</v>
      </c>
      <c r="K176" s="4">
        <f>VLOOKUP(J176,Exchange_Rates!A:B,2,FALSE)</f>
        <v>1.08</v>
      </c>
      <c r="L176" s="4">
        <f t="shared" si="8"/>
        <v>927.62279999999998</v>
      </c>
      <c r="M176" s="4">
        <f t="shared" si="9"/>
        <v>0</v>
      </c>
      <c r="N176" s="4">
        <f t="shared" si="10"/>
        <v>2024</v>
      </c>
      <c r="O176" s="4">
        <f t="shared" si="11"/>
        <v>3</v>
      </c>
    </row>
    <row r="177" spans="1:15" x14ac:dyDescent="0.25">
      <c r="A177" t="s">
        <v>393</v>
      </c>
      <c r="B177" s="2">
        <v>45330</v>
      </c>
      <c r="C177" t="s">
        <v>49</v>
      </c>
      <c r="D177" t="s">
        <v>50</v>
      </c>
      <c r="E177">
        <v>1330.42</v>
      </c>
      <c r="F177">
        <v>0</v>
      </c>
      <c r="G177" t="s">
        <v>11</v>
      </c>
      <c r="H177" t="s">
        <v>34</v>
      </c>
      <c r="I177" t="s">
        <v>394</v>
      </c>
      <c r="J177" t="s">
        <v>45</v>
      </c>
      <c r="K177" s="4">
        <f>VLOOKUP(J177,Exchange_Rates!A:B,2,FALSE)</f>
        <v>1</v>
      </c>
      <c r="L177" s="4">
        <f t="shared" si="8"/>
        <v>1330.42</v>
      </c>
      <c r="M177" s="4">
        <f t="shared" si="9"/>
        <v>0</v>
      </c>
      <c r="N177" s="4">
        <f t="shared" si="10"/>
        <v>2024</v>
      </c>
      <c r="O177" s="4">
        <f t="shared" si="11"/>
        <v>1</v>
      </c>
    </row>
    <row r="178" spans="1:15" x14ac:dyDescent="0.25">
      <c r="A178" t="s">
        <v>395</v>
      </c>
      <c r="B178" s="2">
        <v>45511</v>
      </c>
      <c r="C178" t="s">
        <v>24</v>
      </c>
      <c r="D178" t="s">
        <v>25</v>
      </c>
      <c r="E178">
        <v>0</v>
      </c>
      <c r="F178">
        <v>1750.45</v>
      </c>
      <c r="G178" t="s">
        <v>9</v>
      </c>
      <c r="H178" t="s">
        <v>40</v>
      </c>
      <c r="I178" t="s">
        <v>396</v>
      </c>
      <c r="J178" t="s">
        <v>45</v>
      </c>
      <c r="K178" s="4">
        <f>VLOOKUP(J178,Exchange_Rates!A:B,2,FALSE)</f>
        <v>1</v>
      </c>
      <c r="L178" s="4">
        <f t="shared" si="8"/>
        <v>0</v>
      </c>
      <c r="M178" s="4">
        <f t="shared" si="9"/>
        <v>1750.45</v>
      </c>
      <c r="N178" s="4">
        <f t="shared" si="10"/>
        <v>2024</v>
      </c>
      <c r="O178" s="4">
        <f t="shared" si="11"/>
        <v>3</v>
      </c>
    </row>
    <row r="179" spans="1:15" x14ac:dyDescent="0.25">
      <c r="A179" t="s">
        <v>397</v>
      </c>
      <c r="B179" s="2">
        <v>45269</v>
      </c>
      <c r="C179" t="s">
        <v>24</v>
      </c>
      <c r="D179" t="s">
        <v>25</v>
      </c>
      <c r="E179">
        <v>0</v>
      </c>
      <c r="F179">
        <v>335.99</v>
      </c>
      <c r="G179" t="s">
        <v>10</v>
      </c>
      <c r="H179" t="s">
        <v>26</v>
      </c>
      <c r="I179" t="s">
        <v>398</v>
      </c>
      <c r="J179" t="s">
        <v>28</v>
      </c>
      <c r="K179" s="4">
        <f>VLOOKUP(J179,Exchange_Rates!A:B,2,FALSE)</f>
        <v>1.27</v>
      </c>
      <c r="L179" s="4">
        <f t="shared" si="8"/>
        <v>0</v>
      </c>
      <c r="M179" s="4">
        <f t="shared" si="9"/>
        <v>426.70730000000003</v>
      </c>
      <c r="N179" s="4">
        <f t="shared" si="10"/>
        <v>2023</v>
      </c>
      <c r="O179" s="4">
        <f t="shared" si="11"/>
        <v>4</v>
      </c>
    </row>
    <row r="180" spans="1:15" x14ac:dyDescent="0.25">
      <c r="A180" t="s">
        <v>399</v>
      </c>
      <c r="B180" s="2">
        <v>45816</v>
      </c>
      <c r="C180" t="s">
        <v>38</v>
      </c>
      <c r="D180" t="s">
        <v>39</v>
      </c>
      <c r="E180">
        <v>1783.05</v>
      </c>
      <c r="F180">
        <v>0</v>
      </c>
      <c r="G180" t="s">
        <v>10</v>
      </c>
      <c r="H180" t="s">
        <v>51</v>
      </c>
      <c r="I180" t="s">
        <v>400</v>
      </c>
      <c r="J180" t="s">
        <v>45</v>
      </c>
      <c r="K180" s="4">
        <f>VLOOKUP(J180,Exchange_Rates!A:B,2,FALSE)</f>
        <v>1</v>
      </c>
      <c r="L180" s="4">
        <f t="shared" si="8"/>
        <v>1783.05</v>
      </c>
      <c r="M180" s="4">
        <f t="shared" si="9"/>
        <v>0</v>
      </c>
      <c r="N180" s="4">
        <f t="shared" si="10"/>
        <v>2025</v>
      </c>
      <c r="O180" s="4">
        <f t="shared" si="11"/>
        <v>2</v>
      </c>
    </row>
    <row r="181" spans="1:15" x14ac:dyDescent="0.25">
      <c r="A181" t="s">
        <v>401</v>
      </c>
      <c r="B181" s="2">
        <v>45036</v>
      </c>
      <c r="C181" t="s">
        <v>49</v>
      </c>
      <c r="D181" t="s">
        <v>50</v>
      </c>
      <c r="E181">
        <v>278.89</v>
      </c>
      <c r="F181">
        <v>0</v>
      </c>
      <c r="G181" t="s">
        <v>11</v>
      </c>
      <c r="H181" t="s">
        <v>40</v>
      </c>
      <c r="I181" t="s">
        <v>402</v>
      </c>
      <c r="J181" t="s">
        <v>64</v>
      </c>
      <c r="K181" s="4">
        <f>VLOOKUP(J181,Exchange_Rates!A:B,2,FALSE)</f>
        <v>0.73</v>
      </c>
      <c r="L181" s="4">
        <f t="shared" si="8"/>
        <v>203.58969999999999</v>
      </c>
      <c r="M181" s="4">
        <f t="shared" si="9"/>
        <v>0</v>
      </c>
      <c r="N181" s="4">
        <f t="shared" si="10"/>
        <v>2023</v>
      </c>
      <c r="O181" s="4">
        <f t="shared" si="11"/>
        <v>2</v>
      </c>
    </row>
    <row r="182" spans="1:15" x14ac:dyDescent="0.25">
      <c r="A182" t="s">
        <v>403</v>
      </c>
      <c r="B182" s="2">
        <v>45770</v>
      </c>
      <c r="C182" t="s">
        <v>60</v>
      </c>
      <c r="D182" t="s">
        <v>61</v>
      </c>
      <c r="E182">
        <v>0</v>
      </c>
      <c r="F182">
        <v>4714.1099999999997</v>
      </c>
      <c r="G182" t="s">
        <v>11</v>
      </c>
      <c r="H182" t="s">
        <v>26</v>
      </c>
      <c r="I182" t="s">
        <v>404</v>
      </c>
      <c r="J182" t="s">
        <v>28</v>
      </c>
      <c r="K182" s="4">
        <f>VLOOKUP(J182,Exchange_Rates!A:B,2,FALSE)</f>
        <v>1.27</v>
      </c>
      <c r="L182" s="4">
        <f t="shared" si="8"/>
        <v>0</v>
      </c>
      <c r="M182" s="4">
        <f t="shared" si="9"/>
        <v>5986.9196999999995</v>
      </c>
      <c r="N182" s="4">
        <f t="shared" si="10"/>
        <v>2025</v>
      </c>
      <c r="O182" s="4">
        <f t="shared" si="11"/>
        <v>2</v>
      </c>
    </row>
    <row r="183" spans="1:15" x14ac:dyDescent="0.25">
      <c r="A183" t="s">
        <v>405</v>
      </c>
      <c r="B183" s="2">
        <v>44936</v>
      </c>
      <c r="C183" t="s">
        <v>49</v>
      </c>
      <c r="D183" t="s">
        <v>50</v>
      </c>
      <c r="E183">
        <v>782.32</v>
      </c>
      <c r="F183">
        <v>0</v>
      </c>
      <c r="G183" t="s">
        <v>12</v>
      </c>
      <c r="H183" t="s">
        <v>62</v>
      </c>
      <c r="I183" t="s">
        <v>406</v>
      </c>
      <c r="J183" t="s">
        <v>45</v>
      </c>
      <c r="K183" s="4">
        <f>VLOOKUP(J183,Exchange_Rates!A:B,2,FALSE)</f>
        <v>1</v>
      </c>
      <c r="L183" s="4">
        <f t="shared" si="8"/>
        <v>782.32</v>
      </c>
      <c r="M183" s="4">
        <f t="shared" si="9"/>
        <v>0</v>
      </c>
      <c r="N183" s="4">
        <f t="shared" si="10"/>
        <v>2023</v>
      </c>
      <c r="O183" s="4">
        <f t="shared" si="11"/>
        <v>1</v>
      </c>
    </row>
    <row r="184" spans="1:15" x14ac:dyDescent="0.25">
      <c r="A184" t="s">
        <v>407</v>
      </c>
      <c r="B184" s="2">
        <v>45545</v>
      </c>
      <c r="C184" t="s">
        <v>30</v>
      </c>
      <c r="D184" t="s">
        <v>31</v>
      </c>
      <c r="E184">
        <v>209.01</v>
      </c>
      <c r="F184">
        <v>0</v>
      </c>
      <c r="G184" t="s">
        <v>12</v>
      </c>
      <c r="H184" t="s">
        <v>51</v>
      </c>
      <c r="I184" t="s">
        <v>408</v>
      </c>
      <c r="J184" t="s">
        <v>28</v>
      </c>
      <c r="K184" s="4">
        <f>VLOOKUP(J184,Exchange_Rates!A:B,2,FALSE)</f>
        <v>1.27</v>
      </c>
      <c r="L184" s="4">
        <f t="shared" si="8"/>
        <v>265.4427</v>
      </c>
      <c r="M184" s="4">
        <f t="shared" si="9"/>
        <v>0</v>
      </c>
      <c r="N184" s="4">
        <f t="shared" si="10"/>
        <v>2024</v>
      </c>
      <c r="O184" s="4">
        <f t="shared" si="11"/>
        <v>3</v>
      </c>
    </row>
    <row r="185" spans="1:15" x14ac:dyDescent="0.25">
      <c r="A185" t="s">
        <v>409</v>
      </c>
      <c r="B185" s="2">
        <v>45352</v>
      </c>
      <c r="C185" t="s">
        <v>30</v>
      </c>
      <c r="D185" t="s">
        <v>31</v>
      </c>
      <c r="E185">
        <v>449.54</v>
      </c>
      <c r="F185">
        <v>0</v>
      </c>
      <c r="G185" t="s">
        <v>13</v>
      </c>
      <c r="H185" t="s">
        <v>62</v>
      </c>
      <c r="I185" t="s">
        <v>410</v>
      </c>
      <c r="J185" t="s">
        <v>36</v>
      </c>
      <c r="K185" s="4">
        <f>VLOOKUP(J185,Exchange_Rates!A:B,2,FALSE)</f>
        <v>1.08</v>
      </c>
      <c r="L185" s="4">
        <f t="shared" si="8"/>
        <v>485.50320000000005</v>
      </c>
      <c r="M185" s="4">
        <f t="shared" si="9"/>
        <v>0</v>
      </c>
      <c r="N185" s="4">
        <f t="shared" si="10"/>
        <v>2024</v>
      </c>
      <c r="O185" s="4">
        <f t="shared" si="11"/>
        <v>1</v>
      </c>
    </row>
    <row r="186" spans="1:15" x14ac:dyDescent="0.25">
      <c r="A186" t="s">
        <v>411</v>
      </c>
      <c r="B186" s="2">
        <v>45187</v>
      </c>
      <c r="C186" t="s">
        <v>38</v>
      </c>
      <c r="D186" t="s">
        <v>39</v>
      </c>
      <c r="E186">
        <v>1740.12</v>
      </c>
      <c r="F186">
        <v>0</v>
      </c>
      <c r="G186" t="s">
        <v>12</v>
      </c>
      <c r="H186" t="s">
        <v>62</v>
      </c>
      <c r="I186" t="s">
        <v>412</v>
      </c>
      <c r="J186" t="s">
        <v>42</v>
      </c>
      <c r="K186" s="4">
        <f>VLOOKUP(J186,Exchange_Rates!A:B,2,FALSE)</f>
        <v>0.66</v>
      </c>
      <c r="L186" s="4">
        <f t="shared" si="8"/>
        <v>1148.4792</v>
      </c>
      <c r="M186" s="4">
        <f t="shared" si="9"/>
        <v>0</v>
      </c>
      <c r="N186" s="4">
        <f t="shared" si="10"/>
        <v>2023</v>
      </c>
      <c r="O186" s="4">
        <f t="shared" si="11"/>
        <v>3</v>
      </c>
    </row>
    <row r="187" spans="1:15" x14ac:dyDescent="0.25">
      <c r="A187" t="s">
        <v>413</v>
      </c>
      <c r="B187" s="2">
        <v>45069</v>
      </c>
      <c r="C187" t="s">
        <v>30</v>
      </c>
      <c r="D187" t="s">
        <v>31</v>
      </c>
      <c r="E187">
        <v>1625.69</v>
      </c>
      <c r="F187">
        <v>0</v>
      </c>
      <c r="G187" t="s">
        <v>12</v>
      </c>
      <c r="H187" t="s">
        <v>34</v>
      </c>
      <c r="I187" t="s">
        <v>414</v>
      </c>
      <c r="J187" t="s">
        <v>28</v>
      </c>
      <c r="K187" s="4">
        <f>VLOOKUP(J187,Exchange_Rates!A:B,2,FALSE)</f>
        <v>1.27</v>
      </c>
      <c r="L187" s="4">
        <f t="shared" si="8"/>
        <v>2064.6262999999999</v>
      </c>
      <c r="M187" s="4">
        <f t="shared" si="9"/>
        <v>0</v>
      </c>
      <c r="N187" s="4">
        <f t="shared" si="10"/>
        <v>2023</v>
      </c>
      <c r="O187" s="4">
        <f t="shared" si="11"/>
        <v>2</v>
      </c>
    </row>
    <row r="188" spans="1:15" x14ac:dyDescent="0.25">
      <c r="A188" t="s">
        <v>415</v>
      </c>
      <c r="B188" s="2">
        <v>45635</v>
      </c>
      <c r="C188" t="s">
        <v>30</v>
      </c>
      <c r="D188" t="s">
        <v>31</v>
      </c>
      <c r="E188">
        <v>586.76</v>
      </c>
      <c r="F188">
        <v>0</v>
      </c>
      <c r="G188" t="s">
        <v>8</v>
      </c>
      <c r="H188" t="s">
        <v>40</v>
      </c>
      <c r="I188" t="s">
        <v>416</v>
      </c>
      <c r="J188" t="s">
        <v>42</v>
      </c>
      <c r="K188" s="4">
        <f>VLOOKUP(J188,Exchange_Rates!A:B,2,FALSE)</f>
        <v>0.66</v>
      </c>
      <c r="L188" s="4">
        <f t="shared" si="8"/>
        <v>387.26159999999999</v>
      </c>
      <c r="M188" s="4">
        <f t="shared" si="9"/>
        <v>0</v>
      </c>
      <c r="N188" s="4">
        <f t="shared" si="10"/>
        <v>2024</v>
      </c>
      <c r="O188" s="4">
        <f t="shared" si="11"/>
        <v>4</v>
      </c>
    </row>
    <row r="189" spans="1:15" x14ac:dyDescent="0.25">
      <c r="A189" t="s">
        <v>417</v>
      </c>
      <c r="B189" s="2">
        <v>45005</v>
      </c>
      <c r="C189" t="s">
        <v>24</v>
      </c>
      <c r="D189" t="s">
        <v>25</v>
      </c>
      <c r="E189">
        <v>0</v>
      </c>
      <c r="F189">
        <v>2824.84</v>
      </c>
      <c r="G189" t="s">
        <v>12</v>
      </c>
      <c r="H189" t="s">
        <v>62</v>
      </c>
      <c r="I189" t="s">
        <v>418</v>
      </c>
      <c r="J189" t="s">
        <v>28</v>
      </c>
      <c r="K189" s="4">
        <f>VLOOKUP(J189,Exchange_Rates!A:B,2,FALSE)</f>
        <v>1.27</v>
      </c>
      <c r="L189" s="4">
        <f t="shared" si="8"/>
        <v>0</v>
      </c>
      <c r="M189" s="4">
        <f t="shared" si="9"/>
        <v>3587.5468000000001</v>
      </c>
      <c r="N189" s="4">
        <f t="shared" si="10"/>
        <v>2023</v>
      </c>
      <c r="O189" s="4">
        <f t="shared" si="11"/>
        <v>1</v>
      </c>
    </row>
    <row r="190" spans="1:15" x14ac:dyDescent="0.25">
      <c r="A190" t="s">
        <v>419</v>
      </c>
      <c r="B190" s="2">
        <v>45597</v>
      </c>
      <c r="C190" t="s">
        <v>24</v>
      </c>
      <c r="D190" t="s">
        <v>25</v>
      </c>
      <c r="E190">
        <v>0</v>
      </c>
      <c r="F190">
        <v>1046.78</v>
      </c>
      <c r="G190" t="s">
        <v>12</v>
      </c>
      <c r="H190" t="s">
        <v>26</v>
      </c>
      <c r="I190" t="s">
        <v>420</v>
      </c>
      <c r="J190" t="s">
        <v>42</v>
      </c>
      <c r="K190" s="4">
        <f>VLOOKUP(J190,Exchange_Rates!A:B,2,FALSE)</f>
        <v>0.66</v>
      </c>
      <c r="L190" s="4">
        <f t="shared" si="8"/>
        <v>0</v>
      </c>
      <c r="M190" s="4">
        <f t="shared" si="9"/>
        <v>690.87480000000005</v>
      </c>
      <c r="N190" s="4">
        <f t="shared" si="10"/>
        <v>2024</v>
      </c>
      <c r="O190" s="4">
        <f t="shared" si="11"/>
        <v>4</v>
      </c>
    </row>
    <row r="191" spans="1:15" x14ac:dyDescent="0.25">
      <c r="A191" t="s">
        <v>421</v>
      </c>
      <c r="B191" s="2">
        <v>44963</v>
      </c>
      <c r="C191" t="s">
        <v>60</v>
      </c>
      <c r="D191" t="s">
        <v>61</v>
      </c>
      <c r="E191">
        <v>0</v>
      </c>
      <c r="F191">
        <v>3930.36</v>
      </c>
      <c r="G191" t="s">
        <v>11</v>
      </c>
      <c r="H191" t="s">
        <v>34</v>
      </c>
      <c r="I191" t="s">
        <v>422</v>
      </c>
      <c r="J191" t="s">
        <v>28</v>
      </c>
      <c r="K191" s="4">
        <f>VLOOKUP(J191,Exchange_Rates!A:B,2,FALSE)</f>
        <v>1.27</v>
      </c>
      <c r="L191" s="4">
        <f t="shared" si="8"/>
        <v>0</v>
      </c>
      <c r="M191" s="4">
        <f t="shared" si="9"/>
        <v>4991.5572000000002</v>
      </c>
      <c r="N191" s="4">
        <f t="shared" si="10"/>
        <v>2023</v>
      </c>
      <c r="O191" s="4">
        <f t="shared" si="11"/>
        <v>1</v>
      </c>
    </row>
    <row r="192" spans="1:15" x14ac:dyDescent="0.25">
      <c r="A192" t="s">
        <v>423</v>
      </c>
      <c r="B192" s="2">
        <v>45546</v>
      </c>
      <c r="C192" t="s">
        <v>24</v>
      </c>
      <c r="D192" t="s">
        <v>25</v>
      </c>
      <c r="E192">
        <v>0</v>
      </c>
      <c r="F192">
        <v>2772.6</v>
      </c>
      <c r="G192" t="s">
        <v>8</v>
      </c>
      <c r="H192" t="s">
        <v>51</v>
      </c>
      <c r="I192" t="s">
        <v>424</v>
      </c>
      <c r="J192" t="s">
        <v>42</v>
      </c>
      <c r="K192" s="4">
        <f>VLOOKUP(J192,Exchange_Rates!A:B,2,FALSE)</f>
        <v>0.66</v>
      </c>
      <c r="L192" s="4">
        <f t="shared" si="8"/>
        <v>0</v>
      </c>
      <c r="M192" s="4">
        <f t="shared" si="9"/>
        <v>1829.9159999999999</v>
      </c>
      <c r="N192" s="4">
        <f t="shared" si="10"/>
        <v>2024</v>
      </c>
      <c r="O192" s="4">
        <f t="shared" si="11"/>
        <v>3</v>
      </c>
    </row>
    <row r="193" spans="1:15" x14ac:dyDescent="0.25">
      <c r="A193" t="s">
        <v>425</v>
      </c>
      <c r="B193" s="2">
        <v>45838</v>
      </c>
      <c r="C193" t="s">
        <v>30</v>
      </c>
      <c r="D193" t="s">
        <v>31</v>
      </c>
      <c r="E193">
        <v>1409.16</v>
      </c>
      <c r="F193">
        <v>0</v>
      </c>
      <c r="G193" t="s">
        <v>10</v>
      </c>
      <c r="H193" t="s">
        <v>26</v>
      </c>
      <c r="I193" t="s">
        <v>426</v>
      </c>
      <c r="J193" t="s">
        <v>36</v>
      </c>
      <c r="K193" s="4">
        <f>VLOOKUP(J193,Exchange_Rates!A:B,2,FALSE)</f>
        <v>1.08</v>
      </c>
      <c r="L193" s="4">
        <f t="shared" si="8"/>
        <v>1521.8928000000001</v>
      </c>
      <c r="M193" s="4">
        <f t="shared" si="9"/>
        <v>0</v>
      </c>
      <c r="N193" s="4">
        <f t="shared" si="10"/>
        <v>2025</v>
      </c>
      <c r="O193" s="4">
        <f t="shared" si="11"/>
        <v>2</v>
      </c>
    </row>
    <row r="194" spans="1:15" x14ac:dyDescent="0.25">
      <c r="A194" t="s">
        <v>427</v>
      </c>
      <c r="B194" s="2">
        <v>45276</v>
      </c>
      <c r="C194" t="s">
        <v>24</v>
      </c>
      <c r="D194" t="s">
        <v>25</v>
      </c>
      <c r="E194">
        <v>0</v>
      </c>
      <c r="F194">
        <v>1470.69</v>
      </c>
      <c r="G194" t="s">
        <v>10</v>
      </c>
      <c r="H194" t="s">
        <v>34</v>
      </c>
      <c r="I194" t="s">
        <v>428</v>
      </c>
      <c r="J194" t="s">
        <v>28</v>
      </c>
      <c r="K194" s="4">
        <f>VLOOKUP(J194,Exchange_Rates!A:B,2,FALSE)</f>
        <v>1.27</v>
      </c>
      <c r="L194" s="4">
        <f t="shared" si="8"/>
        <v>0</v>
      </c>
      <c r="M194" s="4">
        <f t="shared" si="9"/>
        <v>1867.7763</v>
      </c>
      <c r="N194" s="4">
        <f t="shared" si="10"/>
        <v>2023</v>
      </c>
      <c r="O194" s="4">
        <f t="shared" si="11"/>
        <v>4</v>
      </c>
    </row>
    <row r="195" spans="1:15" x14ac:dyDescent="0.25">
      <c r="A195" t="s">
        <v>429</v>
      </c>
      <c r="B195" s="2">
        <v>45522</v>
      </c>
      <c r="C195" t="s">
        <v>60</v>
      </c>
      <c r="D195" t="s">
        <v>61</v>
      </c>
      <c r="E195">
        <v>0</v>
      </c>
      <c r="F195">
        <v>3549.99</v>
      </c>
      <c r="G195" t="s">
        <v>11</v>
      </c>
      <c r="H195" t="s">
        <v>62</v>
      </c>
      <c r="I195" t="s">
        <v>430</v>
      </c>
      <c r="J195" t="s">
        <v>36</v>
      </c>
      <c r="K195" s="4">
        <f>VLOOKUP(J195,Exchange_Rates!A:B,2,FALSE)</f>
        <v>1.08</v>
      </c>
      <c r="L195" s="4">
        <f t="shared" ref="L195:L258" si="12">E195*K195</f>
        <v>0</v>
      </c>
      <c r="M195" s="4">
        <f t="shared" ref="M195:M258" si="13">F195*K195</f>
        <v>3833.9892</v>
      </c>
      <c r="N195" s="4">
        <f t="shared" ref="N195:N258" si="14">YEAR(B195)</f>
        <v>2024</v>
      </c>
      <c r="O195" s="4">
        <f t="shared" ref="O195:O258" si="15">ROUNDUP(MONTH(B195)/3,0)</f>
        <v>3</v>
      </c>
    </row>
    <row r="196" spans="1:15" x14ac:dyDescent="0.25">
      <c r="A196" t="s">
        <v>431</v>
      </c>
      <c r="B196" s="2">
        <v>44955</v>
      </c>
      <c r="C196" t="s">
        <v>24</v>
      </c>
      <c r="D196" t="s">
        <v>25</v>
      </c>
      <c r="E196">
        <v>0</v>
      </c>
      <c r="F196">
        <v>2371.4</v>
      </c>
      <c r="G196" t="s">
        <v>12</v>
      </c>
      <c r="H196" t="s">
        <v>51</v>
      </c>
      <c r="I196" t="s">
        <v>432</v>
      </c>
      <c r="J196" t="s">
        <v>64</v>
      </c>
      <c r="K196" s="4">
        <f>VLOOKUP(J196,Exchange_Rates!A:B,2,FALSE)</f>
        <v>0.73</v>
      </c>
      <c r="L196" s="4">
        <f t="shared" si="12"/>
        <v>0</v>
      </c>
      <c r="M196" s="4">
        <f t="shared" si="13"/>
        <v>1731.1220000000001</v>
      </c>
      <c r="N196" s="4">
        <f t="shared" si="14"/>
        <v>2023</v>
      </c>
      <c r="O196" s="4">
        <f t="shared" si="15"/>
        <v>1</v>
      </c>
    </row>
    <row r="197" spans="1:15" x14ac:dyDescent="0.25">
      <c r="A197" t="s">
        <v>433</v>
      </c>
      <c r="B197" s="2">
        <v>44970</v>
      </c>
      <c r="C197" t="s">
        <v>38</v>
      </c>
      <c r="D197" t="s">
        <v>39</v>
      </c>
      <c r="E197">
        <v>1869.71</v>
      </c>
      <c r="F197">
        <v>0</v>
      </c>
      <c r="G197" t="s">
        <v>9</v>
      </c>
      <c r="H197" t="s">
        <v>40</v>
      </c>
      <c r="I197" t="s">
        <v>434</v>
      </c>
      <c r="J197" t="s">
        <v>42</v>
      </c>
      <c r="K197" s="4">
        <f>VLOOKUP(J197,Exchange_Rates!A:B,2,FALSE)</f>
        <v>0.66</v>
      </c>
      <c r="L197" s="4">
        <f t="shared" si="12"/>
        <v>1234.0086000000001</v>
      </c>
      <c r="M197" s="4">
        <f t="shared" si="13"/>
        <v>0</v>
      </c>
      <c r="N197" s="4">
        <f t="shared" si="14"/>
        <v>2023</v>
      </c>
      <c r="O197" s="4">
        <f t="shared" si="15"/>
        <v>1</v>
      </c>
    </row>
    <row r="198" spans="1:15" x14ac:dyDescent="0.25">
      <c r="A198" t="s">
        <v>435</v>
      </c>
      <c r="B198" s="2">
        <v>45306</v>
      </c>
      <c r="C198" t="s">
        <v>30</v>
      </c>
      <c r="D198" t="s">
        <v>31</v>
      </c>
      <c r="E198">
        <v>1812.22</v>
      </c>
      <c r="F198">
        <v>0</v>
      </c>
      <c r="G198" t="s">
        <v>12</v>
      </c>
      <c r="H198" t="s">
        <v>51</v>
      </c>
      <c r="I198" t="s">
        <v>436</v>
      </c>
      <c r="J198" t="s">
        <v>64</v>
      </c>
      <c r="K198" s="4">
        <f>VLOOKUP(J198,Exchange_Rates!A:B,2,FALSE)</f>
        <v>0.73</v>
      </c>
      <c r="L198" s="4">
        <f t="shared" si="12"/>
        <v>1322.9205999999999</v>
      </c>
      <c r="M198" s="4">
        <f t="shared" si="13"/>
        <v>0</v>
      </c>
      <c r="N198" s="4">
        <f t="shared" si="14"/>
        <v>2024</v>
      </c>
      <c r="O198" s="4">
        <f t="shared" si="15"/>
        <v>1</v>
      </c>
    </row>
    <row r="199" spans="1:15" x14ac:dyDescent="0.25">
      <c r="A199" t="s">
        <v>437</v>
      </c>
      <c r="B199" s="2">
        <v>44969</v>
      </c>
      <c r="C199" t="s">
        <v>30</v>
      </c>
      <c r="D199" t="s">
        <v>31</v>
      </c>
      <c r="E199">
        <v>218.2</v>
      </c>
      <c r="F199">
        <v>0</v>
      </c>
      <c r="G199" t="s">
        <v>13</v>
      </c>
      <c r="H199" t="s">
        <v>26</v>
      </c>
      <c r="I199" t="s">
        <v>438</v>
      </c>
      <c r="J199" t="s">
        <v>28</v>
      </c>
      <c r="K199" s="4">
        <f>VLOOKUP(J199,Exchange_Rates!A:B,2,FALSE)</f>
        <v>1.27</v>
      </c>
      <c r="L199" s="4">
        <f t="shared" si="12"/>
        <v>277.11399999999998</v>
      </c>
      <c r="M199" s="4">
        <f t="shared" si="13"/>
        <v>0</v>
      </c>
      <c r="N199" s="4">
        <f t="shared" si="14"/>
        <v>2023</v>
      </c>
      <c r="O199" s="4">
        <f t="shared" si="15"/>
        <v>1</v>
      </c>
    </row>
    <row r="200" spans="1:15" x14ac:dyDescent="0.25">
      <c r="A200" t="s">
        <v>439</v>
      </c>
      <c r="B200" s="2">
        <v>44997</v>
      </c>
      <c r="C200" t="s">
        <v>60</v>
      </c>
      <c r="D200" t="s">
        <v>61</v>
      </c>
      <c r="E200">
        <v>0</v>
      </c>
      <c r="F200">
        <v>965.46</v>
      </c>
      <c r="G200" t="s">
        <v>10</v>
      </c>
      <c r="H200" t="s">
        <v>62</v>
      </c>
      <c r="I200" t="s">
        <v>440</v>
      </c>
      <c r="J200" t="s">
        <v>42</v>
      </c>
      <c r="K200" s="4">
        <f>VLOOKUP(J200,Exchange_Rates!A:B,2,FALSE)</f>
        <v>0.66</v>
      </c>
      <c r="L200" s="4">
        <f t="shared" si="12"/>
        <v>0</v>
      </c>
      <c r="M200" s="4">
        <f t="shared" si="13"/>
        <v>637.20360000000005</v>
      </c>
      <c r="N200" s="4">
        <f t="shared" si="14"/>
        <v>2023</v>
      </c>
      <c r="O200" s="4">
        <f t="shared" si="15"/>
        <v>1</v>
      </c>
    </row>
    <row r="201" spans="1:15" x14ac:dyDescent="0.25">
      <c r="A201" t="s">
        <v>441</v>
      </c>
      <c r="B201" s="2">
        <v>45549</v>
      </c>
      <c r="C201" t="s">
        <v>24</v>
      </c>
      <c r="D201" t="s">
        <v>25</v>
      </c>
      <c r="E201">
        <v>0</v>
      </c>
      <c r="F201">
        <v>321.5</v>
      </c>
      <c r="G201" t="s">
        <v>10</v>
      </c>
      <c r="H201" t="s">
        <v>62</v>
      </c>
      <c r="I201" t="s">
        <v>442</v>
      </c>
      <c r="J201" t="s">
        <v>42</v>
      </c>
      <c r="K201" s="4">
        <f>VLOOKUP(J201,Exchange_Rates!A:B,2,FALSE)</f>
        <v>0.66</v>
      </c>
      <c r="L201" s="4">
        <f t="shared" si="12"/>
        <v>0</v>
      </c>
      <c r="M201" s="4">
        <f t="shared" si="13"/>
        <v>212.19</v>
      </c>
      <c r="N201" s="4">
        <f t="shared" si="14"/>
        <v>2024</v>
      </c>
      <c r="O201" s="4">
        <f t="shared" si="15"/>
        <v>3</v>
      </c>
    </row>
    <row r="202" spans="1:15" x14ac:dyDescent="0.25">
      <c r="A202" t="s">
        <v>443</v>
      </c>
      <c r="B202" s="2">
        <v>45347</v>
      </c>
      <c r="C202" t="s">
        <v>38</v>
      </c>
      <c r="D202" t="s">
        <v>39</v>
      </c>
      <c r="E202">
        <v>763.01</v>
      </c>
      <c r="F202">
        <v>0</v>
      </c>
      <c r="G202" t="s">
        <v>9</v>
      </c>
      <c r="H202" t="s">
        <v>62</v>
      </c>
      <c r="I202" t="s">
        <v>444</v>
      </c>
      <c r="J202" t="s">
        <v>28</v>
      </c>
      <c r="K202" s="4">
        <f>VLOOKUP(J202,Exchange_Rates!A:B,2,FALSE)</f>
        <v>1.27</v>
      </c>
      <c r="L202" s="4">
        <f t="shared" si="12"/>
        <v>969.02269999999999</v>
      </c>
      <c r="M202" s="4">
        <f t="shared" si="13"/>
        <v>0</v>
      </c>
      <c r="N202" s="4">
        <f t="shared" si="14"/>
        <v>2024</v>
      </c>
      <c r="O202" s="4">
        <f t="shared" si="15"/>
        <v>1</v>
      </c>
    </row>
    <row r="203" spans="1:15" x14ac:dyDescent="0.25">
      <c r="A203" t="s">
        <v>445</v>
      </c>
      <c r="B203" s="2">
        <v>44954</v>
      </c>
      <c r="C203" t="s">
        <v>60</v>
      </c>
      <c r="D203" t="s">
        <v>61</v>
      </c>
      <c r="E203">
        <v>0</v>
      </c>
      <c r="F203">
        <v>2497.61</v>
      </c>
      <c r="G203" t="s">
        <v>10</v>
      </c>
      <c r="H203" t="s">
        <v>40</v>
      </c>
      <c r="I203" t="s">
        <v>446</v>
      </c>
      <c r="J203" t="s">
        <v>45</v>
      </c>
      <c r="K203" s="4">
        <f>VLOOKUP(J203,Exchange_Rates!A:B,2,FALSE)</f>
        <v>1</v>
      </c>
      <c r="L203" s="4">
        <f t="shared" si="12"/>
        <v>0</v>
      </c>
      <c r="M203" s="4">
        <f t="shared" si="13"/>
        <v>2497.61</v>
      </c>
      <c r="N203" s="4">
        <f t="shared" si="14"/>
        <v>2023</v>
      </c>
      <c r="O203" s="4">
        <f t="shared" si="15"/>
        <v>1</v>
      </c>
    </row>
    <row r="204" spans="1:15" x14ac:dyDescent="0.25">
      <c r="A204" t="s">
        <v>447</v>
      </c>
      <c r="B204" s="2">
        <v>45538</v>
      </c>
      <c r="C204" t="s">
        <v>24</v>
      </c>
      <c r="D204" t="s">
        <v>25</v>
      </c>
      <c r="E204">
        <v>0</v>
      </c>
      <c r="F204">
        <v>4299.82</v>
      </c>
      <c r="G204" t="s">
        <v>11</v>
      </c>
      <c r="H204" t="s">
        <v>51</v>
      </c>
      <c r="I204" t="s">
        <v>448</v>
      </c>
      <c r="J204" t="s">
        <v>64</v>
      </c>
      <c r="K204" s="4">
        <f>VLOOKUP(J204,Exchange_Rates!A:B,2,FALSE)</f>
        <v>0.73</v>
      </c>
      <c r="L204" s="4">
        <f t="shared" si="12"/>
        <v>0</v>
      </c>
      <c r="M204" s="4">
        <f t="shared" si="13"/>
        <v>3138.8685999999998</v>
      </c>
      <c r="N204" s="4">
        <f t="shared" si="14"/>
        <v>2024</v>
      </c>
      <c r="O204" s="4">
        <f t="shared" si="15"/>
        <v>3</v>
      </c>
    </row>
    <row r="205" spans="1:15" x14ac:dyDescent="0.25">
      <c r="A205" t="s">
        <v>449</v>
      </c>
      <c r="B205" s="2">
        <v>45591</v>
      </c>
      <c r="C205" t="s">
        <v>38</v>
      </c>
      <c r="D205" t="s">
        <v>39</v>
      </c>
      <c r="E205">
        <v>492.26</v>
      </c>
      <c r="F205">
        <v>0</v>
      </c>
      <c r="G205" t="s">
        <v>11</v>
      </c>
      <c r="H205" t="s">
        <v>40</v>
      </c>
      <c r="I205" t="s">
        <v>450</v>
      </c>
      <c r="J205" t="s">
        <v>45</v>
      </c>
      <c r="K205" s="4">
        <f>VLOOKUP(J205,Exchange_Rates!A:B,2,FALSE)</f>
        <v>1</v>
      </c>
      <c r="L205" s="4">
        <f t="shared" si="12"/>
        <v>492.26</v>
      </c>
      <c r="M205" s="4">
        <f t="shared" si="13"/>
        <v>0</v>
      </c>
      <c r="N205" s="4">
        <f t="shared" si="14"/>
        <v>2024</v>
      </c>
      <c r="O205" s="4">
        <f t="shared" si="15"/>
        <v>4</v>
      </c>
    </row>
    <row r="206" spans="1:15" x14ac:dyDescent="0.25">
      <c r="A206" t="s">
        <v>451</v>
      </c>
      <c r="B206" s="2">
        <v>45156</v>
      </c>
      <c r="C206" t="s">
        <v>24</v>
      </c>
      <c r="D206" t="s">
        <v>25</v>
      </c>
      <c r="E206">
        <v>0</v>
      </c>
      <c r="F206">
        <v>4036.79</v>
      </c>
      <c r="G206" t="s">
        <v>10</v>
      </c>
      <c r="H206" t="s">
        <v>26</v>
      </c>
      <c r="I206" t="s">
        <v>452</v>
      </c>
      <c r="J206" t="s">
        <v>36</v>
      </c>
      <c r="K206" s="4">
        <f>VLOOKUP(J206,Exchange_Rates!A:B,2,FALSE)</f>
        <v>1.08</v>
      </c>
      <c r="L206" s="4">
        <f t="shared" si="12"/>
        <v>0</v>
      </c>
      <c r="M206" s="4">
        <f t="shared" si="13"/>
        <v>4359.7332000000006</v>
      </c>
      <c r="N206" s="4">
        <f t="shared" si="14"/>
        <v>2023</v>
      </c>
      <c r="O206" s="4">
        <f t="shared" si="15"/>
        <v>3</v>
      </c>
    </row>
    <row r="207" spans="1:15" x14ac:dyDescent="0.25">
      <c r="A207" t="s">
        <v>453</v>
      </c>
      <c r="B207" s="2">
        <v>45548</v>
      </c>
      <c r="C207" t="s">
        <v>60</v>
      </c>
      <c r="D207" t="s">
        <v>61</v>
      </c>
      <c r="E207">
        <v>0</v>
      </c>
      <c r="F207">
        <v>3885.84</v>
      </c>
      <c r="G207" t="s">
        <v>10</v>
      </c>
      <c r="H207" t="s">
        <v>34</v>
      </c>
      <c r="I207" t="s">
        <v>454</v>
      </c>
      <c r="J207" t="s">
        <v>28</v>
      </c>
      <c r="K207" s="4">
        <f>VLOOKUP(J207,Exchange_Rates!A:B,2,FALSE)</f>
        <v>1.27</v>
      </c>
      <c r="L207" s="4">
        <f t="shared" si="12"/>
        <v>0</v>
      </c>
      <c r="M207" s="4">
        <f t="shared" si="13"/>
        <v>4935.0168000000003</v>
      </c>
      <c r="N207" s="4">
        <f t="shared" si="14"/>
        <v>2024</v>
      </c>
      <c r="O207" s="4">
        <f t="shared" si="15"/>
        <v>3</v>
      </c>
    </row>
    <row r="208" spans="1:15" x14ac:dyDescent="0.25">
      <c r="A208" t="s">
        <v>455</v>
      </c>
      <c r="B208" s="2">
        <v>44965</v>
      </c>
      <c r="C208" t="s">
        <v>38</v>
      </c>
      <c r="D208" t="s">
        <v>39</v>
      </c>
      <c r="E208">
        <v>1161.43</v>
      </c>
      <c r="F208">
        <v>0</v>
      </c>
      <c r="G208" t="s">
        <v>10</v>
      </c>
      <c r="H208" t="s">
        <v>26</v>
      </c>
      <c r="I208" t="s">
        <v>456</v>
      </c>
      <c r="J208" t="s">
        <v>28</v>
      </c>
      <c r="K208" s="4">
        <f>VLOOKUP(J208,Exchange_Rates!A:B,2,FALSE)</f>
        <v>1.27</v>
      </c>
      <c r="L208" s="4">
        <f t="shared" si="12"/>
        <v>1475.0161000000001</v>
      </c>
      <c r="M208" s="4">
        <f t="shared" si="13"/>
        <v>0</v>
      </c>
      <c r="N208" s="4">
        <f t="shared" si="14"/>
        <v>2023</v>
      </c>
      <c r="O208" s="4">
        <f t="shared" si="15"/>
        <v>1</v>
      </c>
    </row>
    <row r="209" spans="1:15" x14ac:dyDescent="0.25">
      <c r="A209" t="s">
        <v>457</v>
      </c>
      <c r="B209" s="2">
        <v>45751</v>
      </c>
      <c r="C209" t="s">
        <v>24</v>
      </c>
      <c r="D209" t="s">
        <v>25</v>
      </c>
      <c r="E209">
        <v>0</v>
      </c>
      <c r="F209">
        <v>4478.0600000000004</v>
      </c>
      <c r="G209" t="s">
        <v>9</v>
      </c>
      <c r="H209" t="s">
        <v>51</v>
      </c>
      <c r="I209" t="s">
        <v>458</v>
      </c>
      <c r="J209" t="s">
        <v>42</v>
      </c>
      <c r="K209" s="4">
        <f>VLOOKUP(J209,Exchange_Rates!A:B,2,FALSE)</f>
        <v>0.66</v>
      </c>
      <c r="L209" s="4">
        <f t="shared" si="12"/>
        <v>0</v>
      </c>
      <c r="M209" s="4">
        <f t="shared" si="13"/>
        <v>2955.5196000000005</v>
      </c>
      <c r="N209" s="4">
        <f t="shared" si="14"/>
        <v>2025</v>
      </c>
      <c r="O209" s="4">
        <f t="shared" si="15"/>
        <v>2</v>
      </c>
    </row>
    <row r="210" spans="1:15" x14ac:dyDescent="0.25">
      <c r="A210" t="s">
        <v>459</v>
      </c>
      <c r="B210" s="2">
        <v>45739</v>
      </c>
      <c r="C210" t="s">
        <v>38</v>
      </c>
      <c r="D210" t="s">
        <v>39</v>
      </c>
      <c r="E210">
        <v>169.1</v>
      </c>
      <c r="F210">
        <v>0</v>
      </c>
      <c r="G210" t="s">
        <v>13</v>
      </c>
      <c r="H210" t="s">
        <v>26</v>
      </c>
      <c r="I210" t="s">
        <v>460</v>
      </c>
      <c r="J210" t="s">
        <v>64</v>
      </c>
      <c r="K210" s="4">
        <f>VLOOKUP(J210,Exchange_Rates!A:B,2,FALSE)</f>
        <v>0.73</v>
      </c>
      <c r="L210" s="4">
        <f t="shared" si="12"/>
        <v>123.443</v>
      </c>
      <c r="M210" s="4">
        <f t="shared" si="13"/>
        <v>0</v>
      </c>
      <c r="N210" s="4">
        <f t="shared" si="14"/>
        <v>2025</v>
      </c>
      <c r="O210" s="4">
        <f t="shared" si="15"/>
        <v>1</v>
      </c>
    </row>
    <row r="211" spans="1:15" x14ac:dyDescent="0.25">
      <c r="A211" t="s">
        <v>461</v>
      </c>
      <c r="B211" s="2">
        <v>45182</v>
      </c>
      <c r="C211" t="s">
        <v>30</v>
      </c>
      <c r="D211" t="s">
        <v>31</v>
      </c>
      <c r="E211">
        <v>1138.92</v>
      </c>
      <c r="F211">
        <v>0</v>
      </c>
      <c r="G211" t="s">
        <v>9</v>
      </c>
      <c r="H211" t="s">
        <v>62</v>
      </c>
      <c r="I211" t="s">
        <v>462</v>
      </c>
      <c r="J211" t="s">
        <v>42</v>
      </c>
      <c r="K211" s="4">
        <f>VLOOKUP(J211,Exchange_Rates!A:B,2,FALSE)</f>
        <v>0.66</v>
      </c>
      <c r="L211" s="4">
        <f t="shared" si="12"/>
        <v>751.68720000000008</v>
      </c>
      <c r="M211" s="4">
        <f t="shared" si="13"/>
        <v>0</v>
      </c>
      <c r="N211" s="4">
        <f t="shared" si="14"/>
        <v>2023</v>
      </c>
      <c r="O211" s="4">
        <f t="shared" si="15"/>
        <v>3</v>
      </c>
    </row>
    <row r="212" spans="1:15" x14ac:dyDescent="0.25">
      <c r="A212" t="s">
        <v>463</v>
      </c>
      <c r="B212" s="2">
        <v>45159</v>
      </c>
      <c r="C212" t="s">
        <v>60</v>
      </c>
      <c r="D212" t="s">
        <v>61</v>
      </c>
      <c r="E212">
        <v>0</v>
      </c>
      <c r="F212">
        <v>3750.39</v>
      </c>
      <c r="G212" t="s">
        <v>8</v>
      </c>
      <c r="H212" t="s">
        <v>34</v>
      </c>
      <c r="I212" t="s">
        <v>464</v>
      </c>
      <c r="J212" t="s">
        <v>64</v>
      </c>
      <c r="K212" s="4">
        <f>VLOOKUP(J212,Exchange_Rates!A:B,2,FALSE)</f>
        <v>0.73</v>
      </c>
      <c r="L212" s="4">
        <f t="shared" si="12"/>
        <v>0</v>
      </c>
      <c r="M212" s="4">
        <f t="shared" si="13"/>
        <v>2737.7846999999997</v>
      </c>
      <c r="N212" s="4">
        <f t="shared" si="14"/>
        <v>2023</v>
      </c>
      <c r="O212" s="4">
        <f t="shared" si="15"/>
        <v>3</v>
      </c>
    </row>
    <row r="213" spans="1:15" x14ac:dyDescent="0.25">
      <c r="A213" t="s">
        <v>465</v>
      </c>
      <c r="B213" s="2">
        <v>45259</v>
      </c>
      <c r="C213" t="s">
        <v>49</v>
      </c>
      <c r="D213" t="s">
        <v>50</v>
      </c>
      <c r="E213">
        <v>1619.58</v>
      </c>
      <c r="F213">
        <v>0</v>
      </c>
      <c r="G213" t="s">
        <v>11</v>
      </c>
      <c r="H213" t="s">
        <v>40</v>
      </c>
      <c r="I213" t="s">
        <v>466</v>
      </c>
      <c r="J213" t="s">
        <v>45</v>
      </c>
      <c r="K213" s="4">
        <f>VLOOKUP(J213,Exchange_Rates!A:B,2,FALSE)</f>
        <v>1</v>
      </c>
      <c r="L213" s="4">
        <f t="shared" si="12"/>
        <v>1619.58</v>
      </c>
      <c r="M213" s="4">
        <f t="shared" si="13"/>
        <v>0</v>
      </c>
      <c r="N213" s="4">
        <f t="shared" si="14"/>
        <v>2023</v>
      </c>
      <c r="O213" s="4">
        <f t="shared" si="15"/>
        <v>4</v>
      </c>
    </row>
    <row r="214" spans="1:15" x14ac:dyDescent="0.25">
      <c r="A214" t="s">
        <v>467</v>
      </c>
      <c r="B214" s="2">
        <v>45608</v>
      </c>
      <c r="C214" t="s">
        <v>60</v>
      </c>
      <c r="D214" t="s">
        <v>61</v>
      </c>
      <c r="E214">
        <v>0</v>
      </c>
      <c r="F214">
        <v>668.17</v>
      </c>
      <c r="G214" t="s">
        <v>11</v>
      </c>
      <c r="H214" t="s">
        <v>40</v>
      </c>
      <c r="I214" t="s">
        <v>468</v>
      </c>
      <c r="J214" t="s">
        <v>64</v>
      </c>
      <c r="K214" s="4">
        <f>VLOOKUP(J214,Exchange_Rates!A:B,2,FALSE)</f>
        <v>0.73</v>
      </c>
      <c r="L214" s="4">
        <f t="shared" si="12"/>
        <v>0</v>
      </c>
      <c r="M214" s="4">
        <f t="shared" si="13"/>
        <v>487.76409999999998</v>
      </c>
      <c r="N214" s="4">
        <f t="shared" si="14"/>
        <v>2024</v>
      </c>
      <c r="O214" s="4">
        <f t="shared" si="15"/>
        <v>4</v>
      </c>
    </row>
    <row r="215" spans="1:15" x14ac:dyDescent="0.25">
      <c r="A215" t="s">
        <v>469</v>
      </c>
      <c r="B215" s="2">
        <v>45707</v>
      </c>
      <c r="C215" t="s">
        <v>30</v>
      </c>
      <c r="D215" t="s">
        <v>31</v>
      </c>
      <c r="E215">
        <v>1003.8</v>
      </c>
      <c r="F215">
        <v>0</v>
      </c>
      <c r="G215" t="s">
        <v>12</v>
      </c>
      <c r="H215" t="s">
        <v>62</v>
      </c>
      <c r="I215" t="s">
        <v>470</v>
      </c>
      <c r="J215" t="s">
        <v>42</v>
      </c>
      <c r="K215" s="4">
        <f>VLOOKUP(J215,Exchange_Rates!A:B,2,FALSE)</f>
        <v>0.66</v>
      </c>
      <c r="L215" s="4">
        <f t="shared" si="12"/>
        <v>662.50800000000004</v>
      </c>
      <c r="M215" s="4">
        <f t="shared" si="13"/>
        <v>0</v>
      </c>
      <c r="N215" s="4">
        <f t="shared" si="14"/>
        <v>2025</v>
      </c>
      <c r="O215" s="4">
        <f t="shared" si="15"/>
        <v>1</v>
      </c>
    </row>
    <row r="216" spans="1:15" x14ac:dyDescent="0.25">
      <c r="A216" t="s">
        <v>471</v>
      </c>
      <c r="B216" s="2">
        <v>45152</v>
      </c>
      <c r="C216" t="s">
        <v>60</v>
      </c>
      <c r="D216" t="s">
        <v>61</v>
      </c>
      <c r="E216">
        <v>0</v>
      </c>
      <c r="F216">
        <v>1941.69</v>
      </c>
      <c r="G216" t="s">
        <v>11</v>
      </c>
      <c r="H216" t="s">
        <v>51</v>
      </c>
      <c r="I216" t="s">
        <v>472</v>
      </c>
      <c r="J216" t="s">
        <v>36</v>
      </c>
      <c r="K216" s="4">
        <f>VLOOKUP(J216,Exchange_Rates!A:B,2,FALSE)</f>
        <v>1.08</v>
      </c>
      <c r="L216" s="4">
        <f t="shared" si="12"/>
        <v>0</v>
      </c>
      <c r="M216" s="4">
        <f t="shared" si="13"/>
        <v>2097.0252</v>
      </c>
      <c r="N216" s="4">
        <f t="shared" si="14"/>
        <v>2023</v>
      </c>
      <c r="O216" s="4">
        <f t="shared" si="15"/>
        <v>3</v>
      </c>
    </row>
    <row r="217" spans="1:15" x14ac:dyDescent="0.25">
      <c r="A217" t="s">
        <v>473</v>
      </c>
      <c r="B217" s="2">
        <v>45309</v>
      </c>
      <c r="C217" t="s">
        <v>49</v>
      </c>
      <c r="D217" t="s">
        <v>50</v>
      </c>
      <c r="E217">
        <v>521.33000000000004</v>
      </c>
      <c r="F217">
        <v>0</v>
      </c>
      <c r="G217" t="s">
        <v>8</v>
      </c>
      <c r="H217" t="s">
        <v>62</v>
      </c>
      <c r="I217" t="s">
        <v>474</v>
      </c>
      <c r="J217" t="s">
        <v>42</v>
      </c>
      <c r="K217" s="4">
        <f>VLOOKUP(J217,Exchange_Rates!A:B,2,FALSE)</f>
        <v>0.66</v>
      </c>
      <c r="L217" s="4">
        <f t="shared" si="12"/>
        <v>344.07780000000002</v>
      </c>
      <c r="M217" s="4">
        <f t="shared" si="13"/>
        <v>0</v>
      </c>
      <c r="N217" s="4">
        <f t="shared" si="14"/>
        <v>2024</v>
      </c>
      <c r="O217" s="4">
        <f t="shared" si="15"/>
        <v>1</v>
      </c>
    </row>
    <row r="218" spans="1:15" x14ac:dyDescent="0.25">
      <c r="A218" t="s">
        <v>475</v>
      </c>
      <c r="B218" s="2">
        <v>45418</v>
      </c>
      <c r="C218" t="s">
        <v>49</v>
      </c>
      <c r="D218" t="s">
        <v>50</v>
      </c>
      <c r="E218">
        <v>1612.68</v>
      </c>
      <c r="F218">
        <v>0</v>
      </c>
      <c r="G218" t="s">
        <v>11</v>
      </c>
      <c r="H218" t="s">
        <v>26</v>
      </c>
      <c r="I218" t="s">
        <v>476</v>
      </c>
      <c r="J218" t="s">
        <v>42</v>
      </c>
      <c r="K218" s="4">
        <f>VLOOKUP(J218,Exchange_Rates!A:B,2,FALSE)</f>
        <v>0.66</v>
      </c>
      <c r="L218" s="4">
        <f t="shared" si="12"/>
        <v>1064.3688000000002</v>
      </c>
      <c r="M218" s="4">
        <f t="shared" si="13"/>
        <v>0</v>
      </c>
      <c r="N218" s="4">
        <f t="shared" si="14"/>
        <v>2024</v>
      </c>
      <c r="O218" s="4">
        <f t="shared" si="15"/>
        <v>2</v>
      </c>
    </row>
    <row r="219" spans="1:15" x14ac:dyDescent="0.25">
      <c r="A219" t="s">
        <v>477</v>
      </c>
      <c r="B219" s="2">
        <v>45231</v>
      </c>
      <c r="C219" t="s">
        <v>30</v>
      </c>
      <c r="D219" t="s">
        <v>31</v>
      </c>
      <c r="E219">
        <v>1386.6</v>
      </c>
      <c r="F219">
        <v>0</v>
      </c>
      <c r="G219" t="s">
        <v>10</v>
      </c>
      <c r="H219" t="s">
        <v>62</v>
      </c>
      <c r="I219" t="s">
        <v>478</v>
      </c>
      <c r="J219" t="s">
        <v>45</v>
      </c>
      <c r="K219" s="4">
        <f>VLOOKUP(J219,Exchange_Rates!A:B,2,FALSE)</f>
        <v>1</v>
      </c>
      <c r="L219" s="4">
        <f t="shared" si="12"/>
        <v>1386.6</v>
      </c>
      <c r="M219" s="4">
        <f t="shared" si="13"/>
        <v>0</v>
      </c>
      <c r="N219" s="4">
        <f t="shared" si="14"/>
        <v>2023</v>
      </c>
      <c r="O219" s="4">
        <f t="shared" si="15"/>
        <v>4</v>
      </c>
    </row>
    <row r="220" spans="1:15" x14ac:dyDescent="0.25">
      <c r="A220" t="s">
        <v>479</v>
      </c>
      <c r="B220" s="2">
        <v>45334</v>
      </c>
      <c r="C220" t="s">
        <v>49</v>
      </c>
      <c r="D220" t="s">
        <v>50</v>
      </c>
      <c r="E220">
        <v>1060.0999999999999</v>
      </c>
      <c r="F220">
        <v>0</v>
      </c>
      <c r="G220" t="s">
        <v>13</v>
      </c>
      <c r="H220" t="s">
        <v>62</v>
      </c>
      <c r="I220" t="s">
        <v>480</v>
      </c>
      <c r="J220" t="s">
        <v>36</v>
      </c>
      <c r="K220" s="4">
        <f>VLOOKUP(J220,Exchange_Rates!A:B,2,FALSE)</f>
        <v>1.08</v>
      </c>
      <c r="L220" s="4">
        <f t="shared" si="12"/>
        <v>1144.9079999999999</v>
      </c>
      <c r="M220" s="4">
        <f t="shared" si="13"/>
        <v>0</v>
      </c>
      <c r="N220" s="4">
        <f t="shared" si="14"/>
        <v>2024</v>
      </c>
      <c r="O220" s="4">
        <f t="shared" si="15"/>
        <v>1</v>
      </c>
    </row>
    <row r="221" spans="1:15" x14ac:dyDescent="0.25">
      <c r="A221" t="s">
        <v>481</v>
      </c>
      <c r="B221" s="2">
        <v>45723</v>
      </c>
      <c r="C221" t="s">
        <v>30</v>
      </c>
      <c r="D221" t="s">
        <v>31</v>
      </c>
      <c r="E221">
        <v>558.04</v>
      </c>
      <c r="F221">
        <v>0</v>
      </c>
      <c r="G221" t="s">
        <v>10</v>
      </c>
      <c r="H221" t="s">
        <v>34</v>
      </c>
      <c r="I221" t="s">
        <v>482</v>
      </c>
      <c r="J221" t="s">
        <v>42</v>
      </c>
      <c r="K221" s="4">
        <f>VLOOKUP(J221,Exchange_Rates!A:B,2,FALSE)</f>
        <v>0.66</v>
      </c>
      <c r="L221" s="4">
        <f t="shared" si="12"/>
        <v>368.3064</v>
      </c>
      <c r="M221" s="4">
        <f t="shared" si="13"/>
        <v>0</v>
      </c>
      <c r="N221" s="4">
        <f t="shared" si="14"/>
        <v>2025</v>
      </c>
      <c r="O221" s="4">
        <f t="shared" si="15"/>
        <v>1</v>
      </c>
    </row>
    <row r="222" spans="1:15" x14ac:dyDescent="0.25">
      <c r="A222" t="s">
        <v>483</v>
      </c>
      <c r="B222" s="2">
        <v>45636</v>
      </c>
      <c r="C222" t="s">
        <v>24</v>
      </c>
      <c r="D222" t="s">
        <v>25</v>
      </c>
      <c r="E222">
        <v>0</v>
      </c>
      <c r="F222">
        <v>345.31</v>
      </c>
      <c r="G222" t="s">
        <v>11</v>
      </c>
      <c r="H222" t="s">
        <v>51</v>
      </c>
      <c r="I222" t="s">
        <v>484</v>
      </c>
      <c r="J222" t="s">
        <v>42</v>
      </c>
      <c r="K222" s="4">
        <f>VLOOKUP(J222,Exchange_Rates!A:B,2,FALSE)</f>
        <v>0.66</v>
      </c>
      <c r="L222" s="4">
        <f t="shared" si="12"/>
        <v>0</v>
      </c>
      <c r="M222" s="4">
        <f t="shared" si="13"/>
        <v>227.90460000000002</v>
      </c>
      <c r="N222" s="4">
        <f t="shared" si="14"/>
        <v>2024</v>
      </c>
      <c r="O222" s="4">
        <f t="shared" si="15"/>
        <v>4</v>
      </c>
    </row>
    <row r="223" spans="1:15" x14ac:dyDescent="0.25">
      <c r="A223" t="s">
        <v>485</v>
      </c>
      <c r="B223" s="2">
        <v>45429</v>
      </c>
      <c r="C223" t="s">
        <v>60</v>
      </c>
      <c r="D223" t="s">
        <v>61</v>
      </c>
      <c r="E223">
        <v>0</v>
      </c>
      <c r="F223">
        <v>1449.49</v>
      </c>
      <c r="G223" t="s">
        <v>11</v>
      </c>
      <c r="H223" t="s">
        <v>51</v>
      </c>
      <c r="I223" t="s">
        <v>486</v>
      </c>
      <c r="J223" t="s">
        <v>36</v>
      </c>
      <c r="K223" s="4">
        <f>VLOOKUP(J223,Exchange_Rates!A:B,2,FALSE)</f>
        <v>1.08</v>
      </c>
      <c r="L223" s="4">
        <f t="shared" si="12"/>
        <v>0</v>
      </c>
      <c r="M223" s="4">
        <f t="shared" si="13"/>
        <v>1565.4492</v>
      </c>
      <c r="N223" s="4">
        <f t="shared" si="14"/>
        <v>2024</v>
      </c>
      <c r="O223" s="4">
        <f t="shared" si="15"/>
        <v>2</v>
      </c>
    </row>
    <row r="224" spans="1:15" x14ac:dyDescent="0.25">
      <c r="A224" t="s">
        <v>487</v>
      </c>
      <c r="B224" s="2">
        <v>45251</v>
      </c>
      <c r="C224" t="s">
        <v>38</v>
      </c>
      <c r="D224" t="s">
        <v>39</v>
      </c>
      <c r="E224">
        <v>491.91</v>
      </c>
      <c r="F224">
        <v>0</v>
      </c>
      <c r="G224" t="s">
        <v>11</v>
      </c>
      <c r="H224" t="s">
        <v>26</v>
      </c>
      <c r="I224" t="s">
        <v>488</v>
      </c>
      <c r="J224" t="s">
        <v>45</v>
      </c>
      <c r="K224" s="4">
        <f>VLOOKUP(J224,Exchange_Rates!A:B,2,FALSE)</f>
        <v>1</v>
      </c>
      <c r="L224" s="4">
        <f t="shared" si="12"/>
        <v>491.91</v>
      </c>
      <c r="M224" s="4">
        <f t="shared" si="13"/>
        <v>0</v>
      </c>
      <c r="N224" s="4">
        <f t="shared" si="14"/>
        <v>2023</v>
      </c>
      <c r="O224" s="4">
        <f t="shared" si="15"/>
        <v>4</v>
      </c>
    </row>
    <row r="225" spans="1:15" x14ac:dyDescent="0.25">
      <c r="A225" t="s">
        <v>489</v>
      </c>
      <c r="B225" s="2">
        <v>45367</v>
      </c>
      <c r="C225" t="s">
        <v>30</v>
      </c>
      <c r="D225" t="s">
        <v>31</v>
      </c>
      <c r="E225">
        <v>1439</v>
      </c>
      <c r="F225">
        <v>0</v>
      </c>
      <c r="G225" t="s">
        <v>13</v>
      </c>
      <c r="H225" t="s">
        <v>34</v>
      </c>
      <c r="I225" t="s">
        <v>490</v>
      </c>
      <c r="J225" t="s">
        <v>42</v>
      </c>
      <c r="K225" s="4">
        <f>VLOOKUP(J225,Exchange_Rates!A:B,2,FALSE)</f>
        <v>0.66</v>
      </c>
      <c r="L225" s="4">
        <f t="shared" si="12"/>
        <v>949.74</v>
      </c>
      <c r="M225" s="4">
        <f t="shared" si="13"/>
        <v>0</v>
      </c>
      <c r="N225" s="4">
        <f t="shared" si="14"/>
        <v>2024</v>
      </c>
      <c r="O225" s="4">
        <f t="shared" si="15"/>
        <v>1</v>
      </c>
    </row>
    <row r="226" spans="1:15" x14ac:dyDescent="0.25">
      <c r="A226" t="s">
        <v>491</v>
      </c>
      <c r="B226" s="2">
        <v>45027</v>
      </c>
      <c r="C226" t="s">
        <v>38</v>
      </c>
      <c r="D226" t="s">
        <v>39</v>
      </c>
      <c r="E226">
        <v>858.22</v>
      </c>
      <c r="F226">
        <v>0</v>
      </c>
      <c r="G226" t="s">
        <v>11</v>
      </c>
      <c r="H226" t="s">
        <v>34</v>
      </c>
      <c r="I226" t="s">
        <v>492</v>
      </c>
      <c r="J226" t="s">
        <v>28</v>
      </c>
      <c r="K226" s="4">
        <f>VLOOKUP(J226,Exchange_Rates!A:B,2,FALSE)</f>
        <v>1.27</v>
      </c>
      <c r="L226" s="4">
        <f t="shared" si="12"/>
        <v>1089.9394</v>
      </c>
      <c r="M226" s="4">
        <f t="shared" si="13"/>
        <v>0</v>
      </c>
      <c r="N226" s="4">
        <f t="shared" si="14"/>
        <v>2023</v>
      </c>
      <c r="O226" s="4">
        <f t="shared" si="15"/>
        <v>2</v>
      </c>
    </row>
    <row r="227" spans="1:15" x14ac:dyDescent="0.25">
      <c r="A227" t="s">
        <v>493</v>
      </c>
      <c r="B227" s="2">
        <v>45280</v>
      </c>
      <c r="C227" t="s">
        <v>60</v>
      </c>
      <c r="D227" t="s">
        <v>61</v>
      </c>
      <c r="E227">
        <v>0</v>
      </c>
      <c r="F227">
        <v>4850.6400000000003</v>
      </c>
      <c r="G227" t="s">
        <v>13</v>
      </c>
      <c r="H227" t="s">
        <v>34</v>
      </c>
      <c r="I227" t="s">
        <v>494</v>
      </c>
      <c r="J227" t="s">
        <v>28</v>
      </c>
      <c r="K227" s="4">
        <f>VLOOKUP(J227,Exchange_Rates!A:B,2,FALSE)</f>
        <v>1.27</v>
      </c>
      <c r="L227" s="4">
        <f t="shared" si="12"/>
        <v>0</v>
      </c>
      <c r="M227" s="4">
        <f t="shared" si="13"/>
        <v>6160.3128000000006</v>
      </c>
      <c r="N227" s="4">
        <f t="shared" si="14"/>
        <v>2023</v>
      </c>
      <c r="O227" s="4">
        <f t="shared" si="15"/>
        <v>4</v>
      </c>
    </row>
    <row r="228" spans="1:15" x14ac:dyDescent="0.25">
      <c r="A228" t="s">
        <v>495</v>
      </c>
      <c r="B228" s="2">
        <v>45607</v>
      </c>
      <c r="C228" t="s">
        <v>38</v>
      </c>
      <c r="D228" t="s">
        <v>39</v>
      </c>
      <c r="E228">
        <v>103.53</v>
      </c>
      <c r="F228">
        <v>0</v>
      </c>
      <c r="G228" t="s">
        <v>10</v>
      </c>
      <c r="H228" t="s">
        <v>40</v>
      </c>
      <c r="I228" t="s">
        <v>496</v>
      </c>
      <c r="J228" t="s">
        <v>64</v>
      </c>
      <c r="K228" s="4">
        <f>VLOOKUP(J228,Exchange_Rates!A:B,2,FALSE)</f>
        <v>0.73</v>
      </c>
      <c r="L228" s="4">
        <f t="shared" si="12"/>
        <v>75.576899999999995</v>
      </c>
      <c r="M228" s="4">
        <f t="shared" si="13"/>
        <v>0</v>
      </c>
      <c r="N228" s="4">
        <f t="shared" si="14"/>
        <v>2024</v>
      </c>
      <c r="O228" s="4">
        <f t="shared" si="15"/>
        <v>4</v>
      </c>
    </row>
    <row r="229" spans="1:15" x14ac:dyDescent="0.25">
      <c r="A229" t="s">
        <v>497</v>
      </c>
      <c r="B229" s="2">
        <v>45779</v>
      </c>
      <c r="C229" t="s">
        <v>60</v>
      </c>
      <c r="D229" t="s">
        <v>61</v>
      </c>
      <c r="E229">
        <v>0</v>
      </c>
      <c r="F229">
        <v>4048.34</v>
      </c>
      <c r="G229" t="s">
        <v>8</v>
      </c>
      <c r="H229" t="s">
        <v>34</v>
      </c>
      <c r="I229" t="s">
        <v>498</v>
      </c>
      <c r="J229" t="s">
        <v>28</v>
      </c>
      <c r="K229" s="4">
        <f>VLOOKUP(J229,Exchange_Rates!A:B,2,FALSE)</f>
        <v>1.27</v>
      </c>
      <c r="L229" s="4">
        <f t="shared" si="12"/>
        <v>0</v>
      </c>
      <c r="M229" s="4">
        <f t="shared" si="13"/>
        <v>5141.3918000000003</v>
      </c>
      <c r="N229" s="4">
        <f t="shared" si="14"/>
        <v>2025</v>
      </c>
      <c r="O229" s="4">
        <f t="shared" si="15"/>
        <v>2</v>
      </c>
    </row>
    <row r="230" spans="1:15" x14ac:dyDescent="0.25">
      <c r="A230" t="s">
        <v>499</v>
      </c>
      <c r="B230" s="2">
        <v>45822</v>
      </c>
      <c r="C230" t="s">
        <v>49</v>
      </c>
      <c r="D230" t="s">
        <v>50</v>
      </c>
      <c r="E230">
        <v>581.82000000000005</v>
      </c>
      <c r="F230">
        <v>0</v>
      </c>
      <c r="G230" t="s">
        <v>12</v>
      </c>
      <c r="H230" t="s">
        <v>51</v>
      </c>
      <c r="I230" t="s">
        <v>500</v>
      </c>
      <c r="J230" t="s">
        <v>45</v>
      </c>
      <c r="K230" s="4">
        <f>VLOOKUP(J230,Exchange_Rates!A:B,2,FALSE)</f>
        <v>1</v>
      </c>
      <c r="L230" s="4">
        <f t="shared" si="12"/>
        <v>581.82000000000005</v>
      </c>
      <c r="M230" s="4">
        <f t="shared" si="13"/>
        <v>0</v>
      </c>
      <c r="N230" s="4">
        <f t="shared" si="14"/>
        <v>2025</v>
      </c>
      <c r="O230" s="4">
        <f t="shared" si="15"/>
        <v>2</v>
      </c>
    </row>
    <row r="231" spans="1:15" x14ac:dyDescent="0.25">
      <c r="A231" t="s">
        <v>501</v>
      </c>
      <c r="B231" s="2">
        <v>45148</v>
      </c>
      <c r="C231" t="s">
        <v>38</v>
      </c>
      <c r="D231" t="s">
        <v>39</v>
      </c>
      <c r="E231">
        <v>539.15</v>
      </c>
      <c r="F231">
        <v>0</v>
      </c>
      <c r="G231" t="s">
        <v>10</v>
      </c>
      <c r="H231" t="s">
        <v>26</v>
      </c>
      <c r="I231" t="s">
        <v>502</v>
      </c>
      <c r="J231" t="s">
        <v>45</v>
      </c>
      <c r="K231" s="4">
        <f>VLOOKUP(J231,Exchange_Rates!A:B,2,FALSE)</f>
        <v>1</v>
      </c>
      <c r="L231" s="4">
        <f t="shared" si="12"/>
        <v>539.15</v>
      </c>
      <c r="M231" s="4">
        <f t="shared" si="13"/>
        <v>0</v>
      </c>
      <c r="N231" s="4">
        <f t="shared" si="14"/>
        <v>2023</v>
      </c>
      <c r="O231" s="4">
        <f t="shared" si="15"/>
        <v>3</v>
      </c>
    </row>
    <row r="232" spans="1:15" x14ac:dyDescent="0.25">
      <c r="A232" t="s">
        <v>503</v>
      </c>
      <c r="B232" s="2">
        <v>45704</v>
      </c>
      <c r="C232" t="s">
        <v>24</v>
      </c>
      <c r="D232" t="s">
        <v>25</v>
      </c>
      <c r="E232">
        <v>0</v>
      </c>
      <c r="F232">
        <v>2862.93</v>
      </c>
      <c r="G232" t="s">
        <v>9</v>
      </c>
      <c r="H232" t="s">
        <v>26</v>
      </c>
      <c r="I232" t="s">
        <v>504</v>
      </c>
      <c r="J232" t="s">
        <v>36</v>
      </c>
      <c r="K232" s="4">
        <f>VLOOKUP(J232,Exchange_Rates!A:B,2,FALSE)</f>
        <v>1.08</v>
      </c>
      <c r="L232" s="4">
        <f t="shared" si="12"/>
        <v>0</v>
      </c>
      <c r="M232" s="4">
        <f t="shared" si="13"/>
        <v>3091.9643999999998</v>
      </c>
      <c r="N232" s="4">
        <f t="shared" si="14"/>
        <v>2025</v>
      </c>
      <c r="O232" s="4">
        <f t="shared" si="15"/>
        <v>1</v>
      </c>
    </row>
    <row r="233" spans="1:15" x14ac:dyDescent="0.25">
      <c r="A233" t="s">
        <v>505</v>
      </c>
      <c r="B233" s="2">
        <v>45294</v>
      </c>
      <c r="C233" t="s">
        <v>60</v>
      </c>
      <c r="D233" t="s">
        <v>61</v>
      </c>
      <c r="E233">
        <v>0</v>
      </c>
      <c r="F233">
        <v>3938.51</v>
      </c>
      <c r="G233" t="s">
        <v>12</v>
      </c>
      <c r="H233" t="s">
        <v>51</v>
      </c>
      <c r="I233" t="s">
        <v>506</v>
      </c>
      <c r="J233" t="s">
        <v>28</v>
      </c>
      <c r="K233" s="4">
        <f>VLOOKUP(J233,Exchange_Rates!A:B,2,FALSE)</f>
        <v>1.27</v>
      </c>
      <c r="L233" s="4">
        <f t="shared" si="12"/>
        <v>0</v>
      </c>
      <c r="M233" s="4">
        <f t="shared" si="13"/>
        <v>5001.9077000000007</v>
      </c>
      <c r="N233" s="4">
        <f t="shared" si="14"/>
        <v>2024</v>
      </c>
      <c r="O233" s="4">
        <f t="shared" si="15"/>
        <v>1</v>
      </c>
    </row>
    <row r="234" spans="1:15" x14ac:dyDescent="0.25">
      <c r="A234" t="s">
        <v>507</v>
      </c>
      <c r="B234" s="2">
        <v>45150</v>
      </c>
      <c r="C234" t="s">
        <v>49</v>
      </c>
      <c r="D234" t="s">
        <v>50</v>
      </c>
      <c r="E234">
        <v>871.28</v>
      </c>
      <c r="F234">
        <v>0</v>
      </c>
      <c r="G234" t="s">
        <v>10</v>
      </c>
      <c r="H234" t="s">
        <v>34</v>
      </c>
      <c r="I234" t="s">
        <v>508</v>
      </c>
      <c r="J234" t="s">
        <v>64</v>
      </c>
      <c r="K234" s="4">
        <f>VLOOKUP(J234,Exchange_Rates!A:B,2,FALSE)</f>
        <v>0.73</v>
      </c>
      <c r="L234" s="4">
        <f t="shared" si="12"/>
        <v>636.03440000000001</v>
      </c>
      <c r="M234" s="4">
        <f t="shared" si="13"/>
        <v>0</v>
      </c>
      <c r="N234" s="4">
        <f t="shared" si="14"/>
        <v>2023</v>
      </c>
      <c r="O234" s="4">
        <f t="shared" si="15"/>
        <v>3</v>
      </c>
    </row>
    <row r="235" spans="1:15" x14ac:dyDescent="0.25">
      <c r="A235" t="s">
        <v>509</v>
      </c>
      <c r="B235" s="2">
        <v>45121</v>
      </c>
      <c r="C235" t="s">
        <v>30</v>
      </c>
      <c r="D235" t="s">
        <v>31</v>
      </c>
      <c r="E235">
        <v>1527.74</v>
      </c>
      <c r="F235">
        <v>0</v>
      </c>
      <c r="G235" t="s">
        <v>13</v>
      </c>
      <c r="H235" t="s">
        <v>26</v>
      </c>
      <c r="I235" t="s">
        <v>510</v>
      </c>
      <c r="J235" t="s">
        <v>28</v>
      </c>
      <c r="K235" s="4">
        <f>VLOOKUP(J235,Exchange_Rates!A:B,2,FALSE)</f>
        <v>1.27</v>
      </c>
      <c r="L235" s="4">
        <f t="shared" si="12"/>
        <v>1940.2298000000001</v>
      </c>
      <c r="M235" s="4">
        <f t="shared" si="13"/>
        <v>0</v>
      </c>
      <c r="N235" s="4">
        <f t="shared" si="14"/>
        <v>2023</v>
      </c>
      <c r="O235" s="4">
        <f t="shared" si="15"/>
        <v>3</v>
      </c>
    </row>
    <row r="236" spans="1:15" x14ac:dyDescent="0.25">
      <c r="A236" t="s">
        <v>511</v>
      </c>
      <c r="B236" s="2">
        <v>45275</v>
      </c>
      <c r="C236" t="s">
        <v>24</v>
      </c>
      <c r="D236" t="s">
        <v>25</v>
      </c>
      <c r="E236">
        <v>0</v>
      </c>
      <c r="F236">
        <v>1075.51</v>
      </c>
      <c r="G236" t="s">
        <v>10</v>
      </c>
      <c r="H236" t="s">
        <v>62</v>
      </c>
      <c r="I236" t="s">
        <v>512</v>
      </c>
      <c r="J236" t="s">
        <v>45</v>
      </c>
      <c r="K236" s="4">
        <f>VLOOKUP(J236,Exchange_Rates!A:B,2,FALSE)</f>
        <v>1</v>
      </c>
      <c r="L236" s="4">
        <f t="shared" si="12"/>
        <v>0</v>
      </c>
      <c r="M236" s="4">
        <f t="shared" si="13"/>
        <v>1075.51</v>
      </c>
      <c r="N236" s="4">
        <f t="shared" si="14"/>
        <v>2023</v>
      </c>
      <c r="O236" s="4">
        <f t="shared" si="15"/>
        <v>4</v>
      </c>
    </row>
    <row r="237" spans="1:15" x14ac:dyDescent="0.25">
      <c r="A237" t="s">
        <v>513</v>
      </c>
      <c r="B237" s="2">
        <v>45397</v>
      </c>
      <c r="C237" t="s">
        <v>24</v>
      </c>
      <c r="D237" t="s">
        <v>25</v>
      </c>
      <c r="E237">
        <v>0</v>
      </c>
      <c r="F237">
        <v>2361.1799999999998</v>
      </c>
      <c r="G237" t="s">
        <v>10</v>
      </c>
      <c r="H237" t="s">
        <v>62</v>
      </c>
      <c r="I237" t="s">
        <v>514</v>
      </c>
      <c r="J237" t="s">
        <v>45</v>
      </c>
      <c r="K237" s="4">
        <f>VLOOKUP(J237,Exchange_Rates!A:B,2,FALSE)</f>
        <v>1</v>
      </c>
      <c r="L237" s="4">
        <f t="shared" si="12"/>
        <v>0</v>
      </c>
      <c r="M237" s="4">
        <f t="shared" si="13"/>
        <v>2361.1799999999998</v>
      </c>
      <c r="N237" s="4">
        <f t="shared" si="14"/>
        <v>2024</v>
      </c>
      <c r="O237" s="4">
        <f t="shared" si="15"/>
        <v>2</v>
      </c>
    </row>
    <row r="238" spans="1:15" x14ac:dyDescent="0.25">
      <c r="A238" t="s">
        <v>515</v>
      </c>
      <c r="B238" s="2">
        <v>45586</v>
      </c>
      <c r="C238" t="s">
        <v>49</v>
      </c>
      <c r="D238" t="s">
        <v>50</v>
      </c>
      <c r="E238">
        <v>151.34</v>
      </c>
      <c r="F238">
        <v>0</v>
      </c>
      <c r="G238" t="s">
        <v>12</v>
      </c>
      <c r="H238" t="s">
        <v>26</v>
      </c>
      <c r="I238" t="s">
        <v>516</v>
      </c>
      <c r="J238" t="s">
        <v>42</v>
      </c>
      <c r="K238" s="4">
        <f>VLOOKUP(J238,Exchange_Rates!A:B,2,FALSE)</f>
        <v>0.66</v>
      </c>
      <c r="L238" s="4">
        <f t="shared" si="12"/>
        <v>99.884400000000014</v>
      </c>
      <c r="M238" s="4">
        <f t="shared" si="13"/>
        <v>0</v>
      </c>
      <c r="N238" s="4">
        <f t="shared" si="14"/>
        <v>2024</v>
      </c>
      <c r="O238" s="4">
        <f t="shared" si="15"/>
        <v>4</v>
      </c>
    </row>
    <row r="239" spans="1:15" x14ac:dyDescent="0.25">
      <c r="A239" t="s">
        <v>517</v>
      </c>
      <c r="B239" s="2">
        <v>44950</v>
      </c>
      <c r="C239" t="s">
        <v>60</v>
      </c>
      <c r="D239" t="s">
        <v>61</v>
      </c>
      <c r="E239">
        <v>0</v>
      </c>
      <c r="F239">
        <v>1299.3699999999999</v>
      </c>
      <c r="G239" t="s">
        <v>12</v>
      </c>
      <c r="H239" t="s">
        <v>34</v>
      </c>
      <c r="I239" t="s">
        <v>518</v>
      </c>
      <c r="J239" t="s">
        <v>45</v>
      </c>
      <c r="K239" s="4">
        <f>VLOOKUP(J239,Exchange_Rates!A:B,2,FALSE)</f>
        <v>1</v>
      </c>
      <c r="L239" s="4">
        <f t="shared" si="12"/>
        <v>0</v>
      </c>
      <c r="M239" s="4">
        <f t="shared" si="13"/>
        <v>1299.3699999999999</v>
      </c>
      <c r="N239" s="4">
        <f t="shared" si="14"/>
        <v>2023</v>
      </c>
      <c r="O239" s="4">
        <f t="shared" si="15"/>
        <v>1</v>
      </c>
    </row>
    <row r="240" spans="1:15" x14ac:dyDescent="0.25">
      <c r="A240" t="s">
        <v>519</v>
      </c>
      <c r="B240" s="2">
        <v>45534</v>
      </c>
      <c r="C240" t="s">
        <v>30</v>
      </c>
      <c r="D240" t="s">
        <v>31</v>
      </c>
      <c r="E240">
        <v>118.21</v>
      </c>
      <c r="F240">
        <v>0</v>
      </c>
      <c r="G240" t="s">
        <v>10</v>
      </c>
      <c r="H240" t="s">
        <v>34</v>
      </c>
      <c r="I240" t="s">
        <v>520</v>
      </c>
      <c r="J240" t="s">
        <v>36</v>
      </c>
      <c r="K240" s="4">
        <f>VLOOKUP(J240,Exchange_Rates!A:B,2,FALSE)</f>
        <v>1.08</v>
      </c>
      <c r="L240" s="4">
        <f t="shared" si="12"/>
        <v>127.66679999999999</v>
      </c>
      <c r="M240" s="4">
        <f t="shared" si="13"/>
        <v>0</v>
      </c>
      <c r="N240" s="4">
        <f t="shared" si="14"/>
        <v>2024</v>
      </c>
      <c r="O240" s="4">
        <f t="shared" si="15"/>
        <v>3</v>
      </c>
    </row>
    <row r="241" spans="1:15" x14ac:dyDescent="0.25">
      <c r="A241" t="s">
        <v>521</v>
      </c>
      <c r="B241" s="2">
        <v>45113</v>
      </c>
      <c r="C241" t="s">
        <v>24</v>
      </c>
      <c r="D241" t="s">
        <v>25</v>
      </c>
      <c r="E241">
        <v>0</v>
      </c>
      <c r="F241">
        <v>4864.04</v>
      </c>
      <c r="G241" t="s">
        <v>9</v>
      </c>
      <c r="H241" t="s">
        <v>26</v>
      </c>
      <c r="I241" t="s">
        <v>522</v>
      </c>
      <c r="J241" t="s">
        <v>28</v>
      </c>
      <c r="K241" s="4">
        <f>VLOOKUP(J241,Exchange_Rates!A:B,2,FALSE)</f>
        <v>1.27</v>
      </c>
      <c r="L241" s="4">
        <f t="shared" si="12"/>
        <v>0</v>
      </c>
      <c r="M241" s="4">
        <f t="shared" si="13"/>
        <v>6177.3307999999997</v>
      </c>
      <c r="N241" s="4">
        <f t="shared" si="14"/>
        <v>2023</v>
      </c>
      <c r="O241" s="4">
        <f t="shared" si="15"/>
        <v>3</v>
      </c>
    </row>
    <row r="242" spans="1:15" x14ac:dyDescent="0.25">
      <c r="A242" t="s">
        <v>523</v>
      </c>
      <c r="B242" s="2">
        <v>45712</v>
      </c>
      <c r="C242" t="s">
        <v>24</v>
      </c>
      <c r="D242" t="s">
        <v>25</v>
      </c>
      <c r="E242">
        <v>0</v>
      </c>
      <c r="F242">
        <v>4495.32</v>
      </c>
      <c r="G242" t="s">
        <v>8</v>
      </c>
      <c r="H242" t="s">
        <v>51</v>
      </c>
      <c r="I242" t="s">
        <v>524</v>
      </c>
      <c r="J242" t="s">
        <v>28</v>
      </c>
      <c r="K242" s="4">
        <f>VLOOKUP(J242,Exchange_Rates!A:B,2,FALSE)</f>
        <v>1.27</v>
      </c>
      <c r="L242" s="4">
        <f t="shared" si="12"/>
        <v>0</v>
      </c>
      <c r="M242" s="4">
        <f t="shared" si="13"/>
        <v>5709.0563999999995</v>
      </c>
      <c r="N242" s="4">
        <f t="shared" si="14"/>
        <v>2025</v>
      </c>
      <c r="O242" s="4">
        <f t="shared" si="15"/>
        <v>1</v>
      </c>
    </row>
    <row r="243" spans="1:15" x14ac:dyDescent="0.25">
      <c r="A243" t="s">
        <v>525</v>
      </c>
      <c r="B243" s="2">
        <v>45011</v>
      </c>
      <c r="C243" t="s">
        <v>38</v>
      </c>
      <c r="D243" t="s">
        <v>39</v>
      </c>
      <c r="E243">
        <v>1121.29</v>
      </c>
      <c r="F243">
        <v>0</v>
      </c>
      <c r="G243" t="s">
        <v>10</v>
      </c>
      <c r="H243" t="s">
        <v>62</v>
      </c>
      <c r="I243" t="s">
        <v>526</v>
      </c>
      <c r="J243" t="s">
        <v>36</v>
      </c>
      <c r="K243" s="4">
        <f>VLOOKUP(J243,Exchange_Rates!A:B,2,FALSE)</f>
        <v>1.08</v>
      </c>
      <c r="L243" s="4">
        <f t="shared" si="12"/>
        <v>1210.9932000000001</v>
      </c>
      <c r="M243" s="4">
        <f t="shared" si="13"/>
        <v>0</v>
      </c>
      <c r="N243" s="4">
        <f t="shared" si="14"/>
        <v>2023</v>
      </c>
      <c r="O243" s="4">
        <f t="shared" si="15"/>
        <v>1</v>
      </c>
    </row>
    <row r="244" spans="1:15" x14ac:dyDescent="0.25">
      <c r="A244" t="s">
        <v>527</v>
      </c>
      <c r="B244" s="2">
        <v>44940</v>
      </c>
      <c r="C244" t="s">
        <v>38</v>
      </c>
      <c r="D244" t="s">
        <v>39</v>
      </c>
      <c r="E244">
        <v>908.7</v>
      </c>
      <c r="F244">
        <v>0</v>
      </c>
      <c r="G244" t="s">
        <v>9</v>
      </c>
      <c r="H244" t="s">
        <v>62</v>
      </c>
      <c r="I244" t="s">
        <v>528</v>
      </c>
      <c r="J244" t="s">
        <v>36</v>
      </c>
      <c r="K244" s="4">
        <f>VLOOKUP(J244,Exchange_Rates!A:B,2,FALSE)</f>
        <v>1.08</v>
      </c>
      <c r="L244" s="4">
        <f t="shared" si="12"/>
        <v>981.39600000000007</v>
      </c>
      <c r="M244" s="4">
        <f t="shared" si="13"/>
        <v>0</v>
      </c>
      <c r="N244" s="4">
        <f t="shared" si="14"/>
        <v>2023</v>
      </c>
      <c r="O244" s="4">
        <f t="shared" si="15"/>
        <v>1</v>
      </c>
    </row>
    <row r="245" spans="1:15" x14ac:dyDescent="0.25">
      <c r="A245" t="s">
        <v>529</v>
      </c>
      <c r="B245" s="2">
        <v>45060</v>
      </c>
      <c r="C245" t="s">
        <v>60</v>
      </c>
      <c r="D245" t="s">
        <v>61</v>
      </c>
      <c r="E245">
        <v>0</v>
      </c>
      <c r="F245">
        <v>3760.55</v>
      </c>
      <c r="G245" t="s">
        <v>10</v>
      </c>
      <c r="H245" t="s">
        <v>34</v>
      </c>
      <c r="I245" t="s">
        <v>530</v>
      </c>
      <c r="J245" t="s">
        <v>42</v>
      </c>
      <c r="K245" s="4">
        <f>VLOOKUP(J245,Exchange_Rates!A:B,2,FALSE)</f>
        <v>0.66</v>
      </c>
      <c r="L245" s="4">
        <f t="shared" si="12"/>
        <v>0</v>
      </c>
      <c r="M245" s="4">
        <f t="shared" si="13"/>
        <v>2481.9630000000002</v>
      </c>
      <c r="N245" s="4">
        <f t="shared" si="14"/>
        <v>2023</v>
      </c>
      <c r="O245" s="4">
        <f t="shared" si="15"/>
        <v>2</v>
      </c>
    </row>
    <row r="246" spans="1:15" x14ac:dyDescent="0.25">
      <c r="A246" t="s">
        <v>531</v>
      </c>
      <c r="B246" s="2">
        <v>45725</v>
      </c>
      <c r="C246" t="s">
        <v>30</v>
      </c>
      <c r="D246" t="s">
        <v>31</v>
      </c>
      <c r="E246">
        <v>86.6</v>
      </c>
      <c r="F246">
        <v>0</v>
      </c>
      <c r="G246" t="s">
        <v>11</v>
      </c>
      <c r="H246" t="s">
        <v>34</v>
      </c>
      <c r="I246" t="s">
        <v>532</v>
      </c>
      <c r="J246" t="s">
        <v>28</v>
      </c>
      <c r="K246" s="4">
        <f>VLOOKUP(J246,Exchange_Rates!A:B,2,FALSE)</f>
        <v>1.27</v>
      </c>
      <c r="L246" s="4">
        <f t="shared" si="12"/>
        <v>109.982</v>
      </c>
      <c r="M246" s="4">
        <f t="shared" si="13"/>
        <v>0</v>
      </c>
      <c r="N246" s="4">
        <f t="shared" si="14"/>
        <v>2025</v>
      </c>
      <c r="O246" s="4">
        <f t="shared" si="15"/>
        <v>1</v>
      </c>
    </row>
    <row r="247" spans="1:15" x14ac:dyDescent="0.25">
      <c r="A247" t="s">
        <v>533</v>
      </c>
      <c r="B247" s="2">
        <v>45495</v>
      </c>
      <c r="C247" t="s">
        <v>60</v>
      </c>
      <c r="D247" t="s">
        <v>61</v>
      </c>
      <c r="E247">
        <v>0</v>
      </c>
      <c r="F247">
        <v>4264.16</v>
      </c>
      <c r="G247" t="s">
        <v>9</v>
      </c>
      <c r="H247" t="s">
        <v>34</v>
      </c>
      <c r="I247" t="s">
        <v>534</v>
      </c>
      <c r="J247" t="s">
        <v>28</v>
      </c>
      <c r="K247" s="4">
        <f>VLOOKUP(J247,Exchange_Rates!A:B,2,FALSE)</f>
        <v>1.27</v>
      </c>
      <c r="L247" s="4">
        <f t="shared" si="12"/>
        <v>0</v>
      </c>
      <c r="M247" s="4">
        <f t="shared" si="13"/>
        <v>5415.4831999999997</v>
      </c>
      <c r="N247" s="4">
        <f t="shared" si="14"/>
        <v>2024</v>
      </c>
      <c r="O247" s="4">
        <f t="shared" si="15"/>
        <v>3</v>
      </c>
    </row>
    <row r="248" spans="1:15" x14ac:dyDescent="0.25">
      <c r="A248" t="s">
        <v>535</v>
      </c>
      <c r="B248" s="2">
        <v>45234</v>
      </c>
      <c r="C248" t="s">
        <v>60</v>
      </c>
      <c r="D248" t="s">
        <v>61</v>
      </c>
      <c r="E248">
        <v>0</v>
      </c>
      <c r="F248">
        <v>4005.6</v>
      </c>
      <c r="G248" t="s">
        <v>11</v>
      </c>
      <c r="H248" t="s">
        <v>51</v>
      </c>
      <c r="I248" t="s">
        <v>536</v>
      </c>
      <c r="J248" t="s">
        <v>45</v>
      </c>
      <c r="K248" s="4">
        <f>VLOOKUP(J248,Exchange_Rates!A:B,2,FALSE)</f>
        <v>1</v>
      </c>
      <c r="L248" s="4">
        <f t="shared" si="12"/>
        <v>0</v>
      </c>
      <c r="M248" s="4">
        <f t="shared" si="13"/>
        <v>4005.6</v>
      </c>
      <c r="N248" s="4">
        <f t="shared" si="14"/>
        <v>2023</v>
      </c>
      <c r="O248" s="4">
        <f t="shared" si="15"/>
        <v>4</v>
      </c>
    </row>
    <row r="249" spans="1:15" x14ac:dyDescent="0.25">
      <c r="A249" t="s">
        <v>537</v>
      </c>
      <c r="B249" s="2">
        <v>45824</v>
      </c>
      <c r="C249" t="s">
        <v>30</v>
      </c>
      <c r="D249" t="s">
        <v>31</v>
      </c>
      <c r="E249">
        <v>736.75</v>
      </c>
      <c r="F249">
        <v>0</v>
      </c>
      <c r="G249" t="s">
        <v>12</v>
      </c>
      <c r="H249" t="s">
        <v>51</v>
      </c>
      <c r="I249" t="s">
        <v>538</v>
      </c>
      <c r="J249" t="s">
        <v>36</v>
      </c>
      <c r="K249" s="4">
        <f>VLOOKUP(J249,Exchange_Rates!A:B,2,FALSE)</f>
        <v>1.08</v>
      </c>
      <c r="L249" s="4">
        <f t="shared" si="12"/>
        <v>795.69</v>
      </c>
      <c r="M249" s="4">
        <f t="shared" si="13"/>
        <v>0</v>
      </c>
      <c r="N249" s="4">
        <f t="shared" si="14"/>
        <v>2025</v>
      </c>
      <c r="O249" s="4">
        <f t="shared" si="15"/>
        <v>2</v>
      </c>
    </row>
    <row r="250" spans="1:15" x14ac:dyDescent="0.25">
      <c r="A250" t="s">
        <v>539</v>
      </c>
      <c r="B250" s="2">
        <v>45455</v>
      </c>
      <c r="C250" t="s">
        <v>60</v>
      </c>
      <c r="D250" t="s">
        <v>61</v>
      </c>
      <c r="E250">
        <v>0</v>
      </c>
      <c r="F250">
        <v>4679.5</v>
      </c>
      <c r="G250" t="s">
        <v>9</v>
      </c>
      <c r="H250" t="s">
        <v>26</v>
      </c>
      <c r="I250" t="s">
        <v>540</v>
      </c>
      <c r="J250" t="s">
        <v>42</v>
      </c>
      <c r="K250" s="4">
        <f>VLOOKUP(J250,Exchange_Rates!A:B,2,FALSE)</f>
        <v>0.66</v>
      </c>
      <c r="L250" s="4">
        <f t="shared" si="12"/>
        <v>0</v>
      </c>
      <c r="M250" s="4">
        <f t="shared" si="13"/>
        <v>3088.4700000000003</v>
      </c>
      <c r="N250" s="4">
        <f t="shared" si="14"/>
        <v>2024</v>
      </c>
      <c r="O250" s="4">
        <f t="shared" si="15"/>
        <v>2</v>
      </c>
    </row>
    <row r="251" spans="1:15" x14ac:dyDescent="0.25">
      <c r="A251" t="s">
        <v>541</v>
      </c>
      <c r="B251" s="2">
        <v>45743</v>
      </c>
      <c r="C251" t="s">
        <v>49</v>
      </c>
      <c r="D251" t="s">
        <v>50</v>
      </c>
      <c r="E251">
        <v>1226.52</v>
      </c>
      <c r="F251">
        <v>0</v>
      </c>
      <c r="G251" t="s">
        <v>13</v>
      </c>
      <c r="H251" t="s">
        <v>51</v>
      </c>
      <c r="I251" t="s">
        <v>542</v>
      </c>
      <c r="J251" t="s">
        <v>45</v>
      </c>
      <c r="K251" s="4">
        <f>VLOOKUP(J251,Exchange_Rates!A:B,2,FALSE)</f>
        <v>1</v>
      </c>
      <c r="L251" s="4">
        <f t="shared" si="12"/>
        <v>1226.52</v>
      </c>
      <c r="M251" s="4">
        <f t="shared" si="13"/>
        <v>0</v>
      </c>
      <c r="N251" s="4">
        <f t="shared" si="14"/>
        <v>2025</v>
      </c>
      <c r="O251" s="4">
        <f t="shared" si="15"/>
        <v>1</v>
      </c>
    </row>
    <row r="252" spans="1:15" x14ac:dyDescent="0.25">
      <c r="A252" t="s">
        <v>543</v>
      </c>
      <c r="B252" s="2">
        <v>45475</v>
      </c>
      <c r="C252" t="s">
        <v>24</v>
      </c>
      <c r="D252" t="s">
        <v>25</v>
      </c>
      <c r="E252">
        <v>0</v>
      </c>
      <c r="F252">
        <v>2655.25</v>
      </c>
      <c r="G252" t="s">
        <v>9</v>
      </c>
      <c r="H252" t="s">
        <v>26</v>
      </c>
      <c r="I252" t="s">
        <v>544</v>
      </c>
      <c r="J252" t="s">
        <v>45</v>
      </c>
      <c r="K252" s="4">
        <f>VLOOKUP(J252,Exchange_Rates!A:B,2,FALSE)</f>
        <v>1</v>
      </c>
      <c r="L252" s="4">
        <f t="shared" si="12"/>
        <v>0</v>
      </c>
      <c r="M252" s="4">
        <f t="shared" si="13"/>
        <v>2655.25</v>
      </c>
      <c r="N252" s="4">
        <f t="shared" si="14"/>
        <v>2024</v>
      </c>
      <c r="O252" s="4">
        <f t="shared" si="15"/>
        <v>3</v>
      </c>
    </row>
    <row r="253" spans="1:15" x14ac:dyDescent="0.25">
      <c r="A253" t="s">
        <v>545</v>
      </c>
      <c r="B253" s="2">
        <v>45115</v>
      </c>
      <c r="C253" t="s">
        <v>24</v>
      </c>
      <c r="D253" t="s">
        <v>25</v>
      </c>
      <c r="E253">
        <v>0</v>
      </c>
      <c r="F253">
        <v>889.23</v>
      </c>
      <c r="G253" t="s">
        <v>10</v>
      </c>
      <c r="H253" t="s">
        <v>40</v>
      </c>
      <c r="I253" t="s">
        <v>546</v>
      </c>
      <c r="J253" t="s">
        <v>64</v>
      </c>
      <c r="K253" s="4">
        <f>VLOOKUP(J253,Exchange_Rates!A:B,2,FALSE)</f>
        <v>0.73</v>
      </c>
      <c r="L253" s="4">
        <f t="shared" si="12"/>
        <v>0</v>
      </c>
      <c r="M253" s="4">
        <f t="shared" si="13"/>
        <v>649.13789999999995</v>
      </c>
      <c r="N253" s="4">
        <f t="shared" si="14"/>
        <v>2023</v>
      </c>
      <c r="O253" s="4">
        <f t="shared" si="15"/>
        <v>3</v>
      </c>
    </row>
    <row r="254" spans="1:15" x14ac:dyDescent="0.25">
      <c r="A254" t="s">
        <v>547</v>
      </c>
      <c r="B254" s="2">
        <v>45451</v>
      </c>
      <c r="C254" t="s">
        <v>38</v>
      </c>
      <c r="D254" t="s">
        <v>39</v>
      </c>
      <c r="E254">
        <v>734.75</v>
      </c>
      <c r="F254">
        <v>0</v>
      </c>
      <c r="G254" t="s">
        <v>12</v>
      </c>
      <c r="H254" t="s">
        <v>51</v>
      </c>
      <c r="I254" t="s">
        <v>548</v>
      </c>
      <c r="J254" t="s">
        <v>28</v>
      </c>
      <c r="K254" s="4">
        <f>VLOOKUP(J254,Exchange_Rates!A:B,2,FALSE)</f>
        <v>1.27</v>
      </c>
      <c r="L254" s="4">
        <f t="shared" si="12"/>
        <v>933.13250000000005</v>
      </c>
      <c r="M254" s="4">
        <f t="shared" si="13"/>
        <v>0</v>
      </c>
      <c r="N254" s="4">
        <f t="shared" si="14"/>
        <v>2024</v>
      </c>
      <c r="O254" s="4">
        <f t="shared" si="15"/>
        <v>2</v>
      </c>
    </row>
    <row r="255" spans="1:15" x14ac:dyDescent="0.25">
      <c r="A255" t="s">
        <v>549</v>
      </c>
      <c r="B255" s="2">
        <v>45768</v>
      </c>
      <c r="C255" t="s">
        <v>38</v>
      </c>
      <c r="D255" t="s">
        <v>39</v>
      </c>
      <c r="E255">
        <v>1799.36</v>
      </c>
      <c r="F255">
        <v>0</v>
      </c>
      <c r="G255" t="s">
        <v>8</v>
      </c>
      <c r="H255" t="s">
        <v>40</v>
      </c>
      <c r="I255" t="s">
        <v>550</v>
      </c>
      <c r="J255" t="s">
        <v>64</v>
      </c>
      <c r="K255" s="4">
        <f>VLOOKUP(J255,Exchange_Rates!A:B,2,FALSE)</f>
        <v>0.73</v>
      </c>
      <c r="L255" s="4">
        <f t="shared" si="12"/>
        <v>1313.5328</v>
      </c>
      <c r="M255" s="4">
        <f t="shared" si="13"/>
        <v>0</v>
      </c>
      <c r="N255" s="4">
        <f t="shared" si="14"/>
        <v>2025</v>
      </c>
      <c r="O255" s="4">
        <f t="shared" si="15"/>
        <v>2</v>
      </c>
    </row>
    <row r="256" spans="1:15" x14ac:dyDescent="0.25">
      <c r="A256" t="s">
        <v>551</v>
      </c>
      <c r="B256" s="2">
        <v>44948</v>
      </c>
      <c r="C256" t="s">
        <v>38</v>
      </c>
      <c r="D256" t="s">
        <v>39</v>
      </c>
      <c r="E256">
        <v>950.03</v>
      </c>
      <c r="F256">
        <v>0</v>
      </c>
      <c r="G256" t="s">
        <v>12</v>
      </c>
      <c r="H256" t="s">
        <v>51</v>
      </c>
      <c r="I256" t="s">
        <v>552</v>
      </c>
      <c r="J256" t="s">
        <v>36</v>
      </c>
      <c r="K256" s="4">
        <f>VLOOKUP(J256,Exchange_Rates!A:B,2,FALSE)</f>
        <v>1.08</v>
      </c>
      <c r="L256" s="4">
        <f t="shared" si="12"/>
        <v>1026.0324000000001</v>
      </c>
      <c r="M256" s="4">
        <f t="shared" si="13"/>
        <v>0</v>
      </c>
      <c r="N256" s="4">
        <f t="shared" si="14"/>
        <v>2023</v>
      </c>
      <c r="O256" s="4">
        <f t="shared" si="15"/>
        <v>1</v>
      </c>
    </row>
    <row r="257" spans="1:15" x14ac:dyDescent="0.25">
      <c r="A257" t="s">
        <v>553</v>
      </c>
      <c r="B257" s="2">
        <v>45622</v>
      </c>
      <c r="C257" t="s">
        <v>24</v>
      </c>
      <c r="D257" t="s">
        <v>25</v>
      </c>
      <c r="E257">
        <v>0</v>
      </c>
      <c r="F257">
        <v>1523.43</v>
      </c>
      <c r="G257" t="s">
        <v>8</v>
      </c>
      <c r="H257" t="s">
        <v>26</v>
      </c>
      <c r="I257" t="s">
        <v>554</v>
      </c>
      <c r="J257" t="s">
        <v>28</v>
      </c>
      <c r="K257" s="4">
        <f>VLOOKUP(J257,Exchange_Rates!A:B,2,FALSE)</f>
        <v>1.27</v>
      </c>
      <c r="L257" s="4">
        <f t="shared" si="12"/>
        <v>0</v>
      </c>
      <c r="M257" s="4">
        <f t="shared" si="13"/>
        <v>1934.7561000000001</v>
      </c>
      <c r="N257" s="4">
        <f t="shared" si="14"/>
        <v>2024</v>
      </c>
      <c r="O257" s="4">
        <f t="shared" si="15"/>
        <v>4</v>
      </c>
    </row>
    <row r="258" spans="1:15" x14ac:dyDescent="0.25">
      <c r="A258" t="s">
        <v>555</v>
      </c>
      <c r="B258" s="2">
        <v>45765</v>
      </c>
      <c r="C258" t="s">
        <v>24</v>
      </c>
      <c r="D258" t="s">
        <v>25</v>
      </c>
      <c r="E258">
        <v>0</v>
      </c>
      <c r="F258">
        <v>2725.09</v>
      </c>
      <c r="G258" t="s">
        <v>8</v>
      </c>
      <c r="H258" t="s">
        <v>26</v>
      </c>
      <c r="I258" t="s">
        <v>556</v>
      </c>
      <c r="J258" t="s">
        <v>28</v>
      </c>
      <c r="K258" s="4">
        <f>VLOOKUP(J258,Exchange_Rates!A:B,2,FALSE)</f>
        <v>1.27</v>
      </c>
      <c r="L258" s="4">
        <f t="shared" si="12"/>
        <v>0</v>
      </c>
      <c r="M258" s="4">
        <f t="shared" si="13"/>
        <v>3460.8643000000002</v>
      </c>
      <c r="N258" s="4">
        <f t="shared" si="14"/>
        <v>2025</v>
      </c>
      <c r="O258" s="4">
        <f t="shared" si="15"/>
        <v>2</v>
      </c>
    </row>
    <row r="259" spans="1:15" x14ac:dyDescent="0.25">
      <c r="A259" t="s">
        <v>557</v>
      </c>
      <c r="B259" s="2">
        <v>45414</v>
      </c>
      <c r="C259" t="s">
        <v>38</v>
      </c>
      <c r="D259" t="s">
        <v>39</v>
      </c>
      <c r="E259">
        <v>1186.77</v>
      </c>
      <c r="F259">
        <v>0</v>
      </c>
      <c r="G259" t="s">
        <v>9</v>
      </c>
      <c r="H259" t="s">
        <v>51</v>
      </c>
      <c r="I259" t="s">
        <v>558</v>
      </c>
      <c r="J259" t="s">
        <v>45</v>
      </c>
      <c r="K259" s="4">
        <f>VLOOKUP(J259,Exchange_Rates!A:B,2,FALSE)</f>
        <v>1</v>
      </c>
      <c r="L259" s="4">
        <f t="shared" ref="L259:L322" si="16">E259*K259</f>
        <v>1186.77</v>
      </c>
      <c r="M259" s="4">
        <f t="shared" ref="M259:M322" si="17">F259*K259</f>
        <v>0</v>
      </c>
      <c r="N259" s="4">
        <f t="shared" ref="N259:N322" si="18">YEAR(B259)</f>
        <v>2024</v>
      </c>
      <c r="O259" s="4">
        <f t="shared" ref="O259:O322" si="19">ROUNDUP(MONTH(B259)/3,0)</f>
        <v>2</v>
      </c>
    </row>
    <row r="260" spans="1:15" x14ac:dyDescent="0.25">
      <c r="A260" t="s">
        <v>559</v>
      </c>
      <c r="B260" s="2">
        <v>45356</v>
      </c>
      <c r="C260" t="s">
        <v>60</v>
      </c>
      <c r="D260" t="s">
        <v>61</v>
      </c>
      <c r="E260">
        <v>0</v>
      </c>
      <c r="F260">
        <v>3404.96</v>
      </c>
      <c r="G260" t="s">
        <v>11</v>
      </c>
      <c r="H260" t="s">
        <v>26</v>
      </c>
      <c r="I260" t="s">
        <v>560</v>
      </c>
      <c r="J260" t="s">
        <v>42</v>
      </c>
      <c r="K260" s="4">
        <f>VLOOKUP(J260,Exchange_Rates!A:B,2,FALSE)</f>
        <v>0.66</v>
      </c>
      <c r="L260" s="4">
        <f t="shared" si="16"/>
        <v>0</v>
      </c>
      <c r="M260" s="4">
        <f t="shared" si="17"/>
        <v>2247.2736</v>
      </c>
      <c r="N260" s="4">
        <f t="shared" si="18"/>
        <v>2024</v>
      </c>
      <c r="O260" s="4">
        <f t="shared" si="19"/>
        <v>1</v>
      </c>
    </row>
    <row r="261" spans="1:15" x14ac:dyDescent="0.25">
      <c r="A261" t="s">
        <v>561</v>
      </c>
      <c r="B261" s="2">
        <v>45081</v>
      </c>
      <c r="C261" t="s">
        <v>49</v>
      </c>
      <c r="D261" t="s">
        <v>50</v>
      </c>
      <c r="E261">
        <v>436.8</v>
      </c>
      <c r="F261">
        <v>0</v>
      </c>
      <c r="G261" t="s">
        <v>9</v>
      </c>
      <c r="H261" t="s">
        <v>51</v>
      </c>
      <c r="I261" t="s">
        <v>562</v>
      </c>
      <c r="J261" t="s">
        <v>42</v>
      </c>
      <c r="K261" s="4">
        <f>VLOOKUP(J261,Exchange_Rates!A:B,2,FALSE)</f>
        <v>0.66</v>
      </c>
      <c r="L261" s="4">
        <f t="shared" si="16"/>
        <v>288.28800000000001</v>
      </c>
      <c r="M261" s="4">
        <f t="shared" si="17"/>
        <v>0</v>
      </c>
      <c r="N261" s="4">
        <f t="shared" si="18"/>
        <v>2023</v>
      </c>
      <c r="O261" s="4">
        <f t="shared" si="19"/>
        <v>2</v>
      </c>
    </row>
    <row r="262" spans="1:15" x14ac:dyDescent="0.25">
      <c r="A262" t="s">
        <v>563</v>
      </c>
      <c r="B262" s="2">
        <v>45138</v>
      </c>
      <c r="C262" t="s">
        <v>30</v>
      </c>
      <c r="D262" t="s">
        <v>31</v>
      </c>
      <c r="E262">
        <v>1095.1300000000001</v>
      </c>
      <c r="F262">
        <v>0</v>
      </c>
      <c r="G262" t="s">
        <v>9</v>
      </c>
      <c r="H262" t="s">
        <v>62</v>
      </c>
      <c r="I262" t="s">
        <v>564</v>
      </c>
      <c r="J262" t="s">
        <v>28</v>
      </c>
      <c r="K262" s="4">
        <f>VLOOKUP(J262,Exchange_Rates!A:B,2,FALSE)</f>
        <v>1.27</v>
      </c>
      <c r="L262" s="4">
        <f t="shared" si="16"/>
        <v>1390.8151000000003</v>
      </c>
      <c r="M262" s="4">
        <f t="shared" si="17"/>
        <v>0</v>
      </c>
      <c r="N262" s="4">
        <f t="shared" si="18"/>
        <v>2023</v>
      </c>
      <c r="O262" s="4">
        <f t="shared" si="19"/>
        <v>3</v>
      </c>
    </row>
    <row r="263" spans="1:15" x14ac:dyDescent="0.25">
      <c r="A263" t="s">
        <v>565</v>
      </c>
      <c r="B263" s="2">
        <v>45348</v>
      </c>
      <c r="C263" t="s">
        <v>49</v>
      </c>
      <c r="D263" t="s">
        <v>50</v>
      </c>
      <c r="E263">
        <v>393.67</v>
      </c>
      <c r="F263">
        <v>0</v>
      </c>
      <c r="G263" t="s">
        <v>12</v>
      </c>
      <c r="H263" t="s">
        <v>40</v>
      </c>
      <c r="I263" t="s">
        <v>566</v>
      </c>
      <c r="J263" t="s">
        <v>42</v>
      </c>
      <c r="K263" s="4">
        <f>VLOOKUP(J263,Exchange_Rates!A:B,2,FALSE)</f>
        <v>0.66</v>
      </c>
      <c r="L263" s="4">
        <f t="shared" si="16"/>
        <v>259.82220000000001</v>
      </c>
      <c r="M263" s="4">
        <f t="shared" si="17"/>
        <v>0</v>
      </c>
      <c r="N263" s="4">
        <f t="shared" si="18"/>
        <v>2024</v>
      </c>
      <c r="O263" s="4">
        <f t="shared" si="19"/>
        <v>1</v>
      </c>
    </row>
    <row r="264" spans="1:15" x14ac:dyDescent="0.25">
      <c r="A264" t="s">
        <v>567</v>
      </c>
      <c r="B264" s="2">
        <v>45697</v>
      </c>
      <c r="C264" t="s">
        <v>24</v>
      </c>
      <c r="D264" t="s">
        <v>25</v>
      </c>
      <c r="E264">
        <v>0</v>
      </c>
      <c r="F264">
        <v>799.77</v>
      </c>
      <c r="G264" t="s">
        <v>13</v>
      </c>
      <c r="H264" t="s">
        <v>34</v>
      </c>
      <c r="I264" t="s">
        <v>568</v>
      </c>
      <c r="J264" t="s">
        <v>28</v>
      </c>
      <c r="K264" s="4">
        <f>VLOOKUP(J264,Exchange_Rates!A:B,2,FALSE)</f>
        <v>1.27</v>
      </c>
      <c r="L264" s="4">
        <f t="shared" si="16"/>
        <v>0</v>
      </c>
      <c r="M264" s="4">
        <f t="shared" si="17"/>
        <v>1015.7079</v>
      </c>
      <c r="N264" s="4">
        <f t="shared" si="18"/>
        <v>2025</v>
      </c>
      <c r="O264" s="4">
        <f t="shared" si="19"/>
        <v>1</v>
      </c>
    </row>
    <row r="265" spans="1:15" x14ac:dyDescent="0.25">
      <c r="A265" t="s">
        <v>569</v>
      </c>
      <c r="B265" s="2">
        <v>45300</v>
      </c>
      <c r="C265" t="s">
        <v>24</v>
      </c>
      <c r="D265" t="s">
        <v>25</v>
      </c>
      <c r="E265">
        <v>0</v>
      </c>
      <c r="F265">
        <v>4354.13</v>
      </c>
      <c r="G265" t="s">
        <v>12</v>
      </c>
      <c r="H265" t="s">
        <v>40</v>
      </c>
      <c r="I265" t="s">
        <v>570</v>
      </c>
      <c r="J265" t="s">
        <v>36</v>
      </c>
      <c r="K265" s="4">
        <f>VLOOKUP(J265,Exchange_Rates!A:B,2,FALSE)</f>
        <v>1.08</v>
      </c>
      <c r="L265" s="4">
        <f t="shared" si="16"/>
        <v>0</v>
      </c>
      <c r="M265" s="4">
        <f t="shared" si="17"/>
        <v>4702.4604000000008</v>
      </c>
      <c r="N265" s="4">
        <f t="shared" si="18"/>
        <v>2024</v>
      </c>
      <c r="O265" s="4">
        <f t="shared" si="19"/>
        <v>1</v>
      </c>
    </row>
    <row r="266" spans="1:15" x14ac:dyDescent="0.25">
      <c r="A266" t="s">
        <v>571</v>
      </c>
      <c r="B266" s="2">
        <v>45663</v>
      </c>
      <c r="C266" t="s">
        <v>30</v>
      </c>
      <c r="D266" t="s">
        <v>31</v>
      </c>
      <c r="E266">
        <v>1157.8</v>
      </c>
      <c r="F266">
        <v>0</v>
      </c>
      <c r="G266" t="s">
        <v>11</v>
      </c>
      <c r="H266" t="s">
        <v>26</v>
      </c>
      <c r="I266" t="s">
        <v>572</v>
      </c>
      <c r="J266" t="s">
        <v>64</v>
      </c>
      <c r="K266" s="4">
        <f>VLOOKUP(J266,Exchange_Rates!A:B,2,FALSE)</f>
        <v>0.73</v>
      </c>
      <c r="L266" s="4">
        <f t="shared" si="16"/>
        <v>845.19399999999996</v>
      </c>
      <c r="M266" s="4">
        <f t="shared" si="17"/>
        <v>0</v>
      </c>
      <c r="N266" s="4">
        <f t="shared" si="18"/>
        <v>2025</v>
      </c>
      <c r="O266" s="4">
        <f t="shared" si="19"/>
        <v>1</v>
      </c>
    </row>
    <row r="267" spans="1:15" x14ac:dyDescent="0.25">
      <c r="A267" t="s">
        <v>573</v>
      </c>
      <c r="B267" s="2">
        <v>45220</v>
      </c>
      <c r="C267" t="s">
        <v>24</v>
      </c>
      <c r="D267" t="s">
        <v>25</v>
      </c>
      <c r="E267">
        <v>0</v>
      </c>
      <c r="F267">
        <v>2597.25</v>
      </c>
      <c r="G267" t="s">
        <v>13</v>
      </c>
      <c r="H267" t="s">
        <v>26</v>
      </c>
      <c r="I267" t="s">
        <v>574</v>
      </c>
      <c r="J267" t="s">
        <v>42</v>
      </c>
      <c r="K267" s="4">
        <f>VLOOKUP(J267,Exchange_Rates!A:B,2,FALSE)</f>
        <v>0.66</v>
      </c>
      <c r="L267" s="4">
        <f t="shared" si="16"/>
        <v>0</v>
      </c>
      <c r="M267" s="4">
        <f t="shared" si="17"/>
        <v>1714.1850000000002</v>
      </c>
      <c r="N267" s="4">
        <f t="shared" si="18"/>
        <v>2023</v>
      </c>
      <c r="O267" s="4">
        <f t="shared" si="19"/>
        <v>4</v>
      </c>
    </row>
    <row r="268" spans="1:15" x14ac:dyDescent="0.25">
      <c r="A268" t="s">
        <v>575</v>
      </c>
      <c r="B268" s="2">
        <v>45804</v>
      </c>
      <c r="C268" t="s">
        <v>30</v>
      </c>
      <c r="D268" t="s">
        <v>31</v>
      </c>
      <c r="E268">
        <v>1343.21</v>
      </c>
      <c r="F268">
        <v>0</v>
      </c>
      <c r="G268" t="s">
        <v>12</v>
      </c>
      <c r="H268" t="s">
        <v>51</v>
      </c>
      <c r="I268" t="s">
        <v>576</v>
      </c>
      <c r="J268" t="s">
        <v>36</v>
      </c>
      <c r="K268" s="4">
        <f>VLOOKUP(J268,Exchange_Rates!A:B,2,FALSE)</f>
        <v>1.08</v>
      </c>
      <c r="L268" s="4">
        <f t="shared" si="16"/>
        <v>1450.6668000000002</v>
      </c>
      <c r="M268" s="4">
        <f t="shared" si="17"/>
        <v>0</v>
      </c>
      <c r="N268" s="4">
        <f t="shared" si="18"/>
        <v>2025</v>
      </c>
      <c r="O268" s="4">
        <f t="shared" si="19"/>
        <v>2</v>
      </c>
    </row>
    <row r="269" spans="1:15" x14ac:dyDescent="0.25">
      <c r="A269" t="s">
        <v>577</v>
      </c>
      <c r="B269" s="2">
        <v>45191</v>
      </c>
      <c r="C269" t="s">
        <v>49</v>
      </c>
      <c r="D269" t="s">
        <v>50</v>
      </c>
      <c r="E269">
        <v>1498.82</v>
      </c>
      <c r="F269">
        <v>0</v>
      </c>
      <c r="G269" t="s">
        <v>9</v>
      </c>
      <c r="H269" t="s">
        <v>62</v>
      </c>
      <c r="I269" t="s">
        <v>578</v>
      </c>
      <c r="J269" t="s">
        <v>36</v>
      </c>
      <c r="K269" s="4">
        <f>VLOOKUP(J269,Exchange_Rates!A:B,2,FALSE)</f>
        <v>1.08</v>
      </c>
      <c r="L269" s="4">
        <f t="shared" si="16"/>
        <v>1618.7256</v>
      </c>
      <c r="M269" s="4">
        <f t="shared" si="17"/>
        <v>0</v>
      </c>
      <c r="N269" s="4">
        <f t="shared" si="18"/>
        <v>2023</v>
      </c>
      <c r="O269" s="4">
        <f t="shared" si="19"/>
        <v>3</v>
      </c>
    </row>
    <row r="270" spans="1:15" x14ac:dyDescent="0.25">
      <c r="A270" t="s">
        <v>579</v>
      </c>
      <c r="B270" s="2">
        <v>45338</v>
      </c>
      <c r="C270" t="s">
        <v>24</v>
      </c>
      <c r="D270" t="s">
        <v>25</v>
      </c>
      <c r="E270">
        <v>0</v>
      </c>
      <c r="F270">
        <v>4728.58</v>
      </c>
      <c r="G270" t="s">
        <v>12</v>
      </c>
      <c r="H270" t="s">
        <v>40</v>
      </c>
      <c r="I270" t="s">
        <v>580</v>
      </c>
      <c r="J270" t="s">
        <v>42</v>
      </c>
      <c r="K270" s="4">
        <f>VLOOKUP(J270,Exchange_Rates!A:B,2,FALSE)</f>
        <v>0.66</v>
      </c>
      <c r="L270" s="4">
        <f t="shared" si="16"/>
        <v>0</v>
      </c>
      <c r="M270" s="4">
        <f t="shared" si="17"/>
        <v>3120.8627999999999</v>
      </c>
      <c r="N270" s="4">
        <f t="shared" si="18"/>
        <v>2024</v>
      </c>
      <c r="O270" s="4">
        <f t="shared" si="19"/>
        <v>1</v>
      </c>
    </row>
    <row r="271" spans="1:15" x14ac:dyDescent="0.25">
      <c r="A271" t="s">
        <v>581</v>
      </c>
      <c r="B271" s="2">
        <v>45332</v>
      </c>
      <c r="C271" t="s">
        <v>60</v>
      </c>
      <c r="D271" t="s">
        <v>61</v>
      </c>
      <c r="E271">
        <v>0</v>
      </c>
      <c r="F271">
        <v>3612.83</v>
      </c>
      <c r="G271" t="s">
        <v>13</v>
      </c>
      <c r="H271" t="s">
        <v>62</v>
      </c>
      <c r="I271" t="s">
        <v>582</v>
      </c>
      <c r="J271" t="s">
        <v>36</v>
      </c>
      <c r="K271" s="4">
        <f>VLOOKUP(J271,Exchange_Rates!A:B,2,FALSE)</f>
        <v>1.08</v>
      </c>
      <c r="L271" s="4">
        <f t="shared" si="16"/>
        <v>0</v>
      </c>
      <c r="M271" s="4">
        <f t="shared" si="17"/>
        <v>3901.8564000000001</v>
      </c>
      <c r="N271" s="4">
        <f t="shared" si="18"/>
        <v>2024</v>
      </c>
      <c r="O271" s="4">
        <f t="shared" si="19"/>
        <v>1</v>
      </c>
    </row>
    <row r="272" spans="1:15" x14ac:dyDescent="0.25">
      <c r="A272" t="s">
        <v>583</v>
      </c>
      <c r="B272" s="2">
        <v>45091</v>
      </c>
      <c r="C272" t="s">
        <v>60</v>
      </c>
      <c r="D272" t="s">
        <v>61</v>
      </c>
      <c r="E272">
        <v>0</v>
      </c>
      <c r="F272">
        <v>4506.28</v>
      </c>
      <c r="G272" t="s">
        <v>12</v>
      </c>
      <c r="H272" t="s">
        <v>34</v>
      </c>
      <c r="I272" t="s">
        <v>584</v>
      </c>
      <c r="J272" t="s">
        <v>36</v>
      </c>
      <c r="K272" s="4">
        <f>VLOOKUP(J272,Exchange_Rates!A:B,2,FALSE)</f>
        <v>1.08</v>
      </c>
      <c r="L272" s="4">
        <f t="shared" si="16"/>
        <v>0</v>
      </c>
      <c r="M272" s="4">
        <f t="shared" si="17"/>
        <v>4866.7824000000001</v>
      </c>
      <c r="N272" s="4">
        <f t="shared" si="18"/>
        <v>2023</v>
      </c>
      <c r="O272" s="4">
        <f t="shared" si="19"/>
        <v>2</v>
      </c>
    </row>
    <row r="273" spans="1:15" x14ac:dyDescent="0.25">
      <c r="A273" t="s">
        <v>585</v>
      </c>
      <c r="B273" s="2">
        <v>45254</v>
      </c>
      <c r="C273" t="s">
        <v>49</v>
      </c>
      <c r="D273" t="s">
        <v>50</v>
      </c>
      <c r="E273">
        <v>1000.3</v>
      </c>
      <c r="F273">
        <v>0</v>
      </c>
      <c r="G273" t="s">
        <v>13</v>
      </c>
      <c r="H273" t="s">
        <v>62</v>
      </c>
      <c r="I273" t="s">
        <v>586</v>
      </c>
      <c r="J273" t="s">
        <v>64</v>
      </c>
      <c r="K273" s="4">
        <f>VLOOKUP(J273,Exchange_Rates!A:B,2,FALSE)</f>
        <v>0.73</v>
      </c>
      <c r="L273" s="4">
        <f t="shared" si="16"/>
        <v>730.21899999999994</v>
      </c>
      <c r="M273" s="4">
        <f t="shared" si="17"/>
        <v>0</v>
      </c>
      <c r="N273" s="4">
        <f t="shared" si="18"/>
        <v>2023</v>
      </c>
      <c r="O273" s="4">
        <f t="shared" si="19"/>
        <v>4</v>
      </c>
    </row>
    <row r="274" spans="1:15" x14ac:dyDescent="0.25">
      <c r="A274" t="s">
        <v>587</v>
      </c>
      <c r="B274" s="2">
        <v>45145</v>
      </c>
      <c r="C274" t="s">
        <v>30</v>
      </c>
      <c r="D274" t="s">
        <v>31</v>
      </c>
      <c r="E274">
        <v>991.08</v>
      </c>
      <c r="F274">
        <v>0</v>
      </c>
      <c r="G274" t="s">
        <v>8</v>
      </c>
      <c r="H274" t="s">
        <v>34</v>
      </c>
      <c r="I274" t="s">
        <v>588</v>
      </c>
      <c r="J274" t="s">
        <v>64</v>
      </c>
      <c r="K274" s="4">
        <f>VLOOKUP(J274,Exchange_Rates!A:B,2,FALSE)</f>
        <v>0.73</v>
      </c>
      <c r="L274" s="4">
        <f t="shared" si="16"/>
        <v>723.48839999999996</v>
      </c>
      <c r="M274" s="4">
        <f t="shared" si="17"/>
        <v>0</v>
      </c>
      <c r="N274" s="4">
        <f t="shared" si="18"/>
        <v>2023</v>
      </c>
      <c r="O274" s="4">
        <f t="shared" si="19"/>
        <v>3</v>
      </c>
    </row>
    <row r="275" spans="1:15" x14ac:dyDescent="0.25">
      <c r="A275" t="s">
        <v>589</v>
      </c>
      <c r="B275" s="2">
        <v>45389</v>
      </c>
      <c r="C275" t="s">
        <v>30</v>
      </c>
      <c r="D275" t="s">
        <v>31</v>
      </c>
      <c r="E275">
        <v>1499.52</v>
      </c>
      <c r="F275">
        <v>0</v>
      </c>
      <c r="G275" t="s">
        <v>8</v>
      </c>
      <c r="H275" t="s">
        <v>26</v>
      </c>
      <c r="I275" t="s">
        <v>590</v>
      </c>
      <c r="J275" t="s">
        <v>42</v>
      </c>
      <c r="K275" s="4">
        <f>VLOOKUP(J275,Exchange_Rates!A:B,2,FALSE)</f>
        <v>0.66</v>
      </c>
      <c r="L275" s="4">
        <f t="shared" si="16"/>
        <v>989.68320000000006</v>
      </c>
      <c r="M275" s="4">
        <f t="shared" si="17"/>
        <v>0</v>
      </c>
      <c r="N275" s="4">
        <f t="shared" si="18"/>
        <v>2024</v>
      </c>
      <c r="O275" s="4">
        <f t="shared" si="19"/>
        <v>2</v>
      </c>
    </row>
    <row r="276" spans="1:15" x14ac:dyDescent="0.25">
      <c r="A276" t="s">
        <v>591</v>
      </c>
      <c r="B276" s="2">
        <v>45052</v>
      </c>
      <c r="C276" t="s">
        <v>60</v>
      </c>
      <c r="D276" t="s">
        <v>61</v>
      </c>
      <c r="E276">
        <v>0</v>
      </c>
      <c r="F276">
        <v>1203.8</v>
      </c>
      <c r="G276" t="s">
        <v>8</v>
      </c>
      <c r="H276" t="s">
        <v>26</v>
      </c>
      <c r="I276" t="s">
        <v>592</v>
      </c>
      <c r="J276" t="s">
        <v>28</v>
      </c>
      <c r="K276" s="4">
        <f>VLOOKUP(J276,Exchange_Rates!A:B,2,FALSE)</f>
        <v>1.27</v>
      </c>
      <c r="L276" s="4">
        <f t="shared" si="16"/>
        <v>0</v>
      </c>
      <c r="M276" s="4">
        <f t="shared" si="17"/>
        <v>1528.826</v>
      </c>
      <c r="N276" s="4">
        <f t="shared" si="18"/>
        <v>2023</v>
      </c>
      <c r="O276" s="4">
        <f t="shared" si="19"/>
        <v>2</v>
      </c>
    </row>
    <row r="277" spans="1:15" x14ac:dyDescent="0.25">
      <c r="A277" t="s">
        <v>593</v>
      </c>
      <c r="B277" s="2">
        <v>45316</v>
      </c>
      <c r="C277" t="s">
        <v>24</v>
      </c>
      <c r="D277" t="s">
        <v>25</v>
      </c>
      <c r="E277">
        <v>0</v>
      </c>
      <c r="F277">
        <v>656.25</v>
      </c>
      <c r="G277" t="s">
        <v>12</v>
      </c>
      <c r="H277" t="s">
        <v>51</v>
      </c>
      <c r="I277" t="s">
        <v>594</v>
      </c>
      <c r="J277" t="s">
        <v>42</v>
      </c>
      <c r="K277" s="4">
        <f>VLOOKUP(J277,Exchange_Rates!A:B,2,FALSE)</f>
        <v>0.66</v>
      </c>
      <c r="L277" s="4">
        <f t="shared" si="16"/>
        <v>0</v>
      </c>
      <c r="M277" s="4">
        <f t="shared" si="17"/>
        <v>433.125</v>
      </c>
      <c r="N277" s="4">
        <f t="shared" si="18"/>
        <v>2024</v>
      </c>
      <c r="O277" s="4">
        <f t="shared" si="19"/>
        <v>1</v>
      </c>
    </row>
    <row r="278" spans="1:15" x14ac:dyDescent="0.25">
      <c r="A278" t="s">
        <v>595</v>
      </c>
      <c r="B278" s="2">
        <v>45694</v>
      </c>
      <c r="C278" t="s">
        <v>30</v>
      </c>
      <c r="D278" t="s">
        <v>31</v>
      </c>
      <c r="E278">
        <v>620.29999999999995</v>
      </c>
      <c r="F278">
        <v>0</v>
      </c>
      <c r="G278" t="s">
        <v>9</v>
      </c>
      <c r="H278" t="s">
        <v>62</v>
      </c>
      <c r="I278" t="s">
        <v>596</v>
      </c>
      <c r="J278" t="s">
        <v>64</v>
      </c>
      <c r="K278" s="4">
        <f>VLOOKUP(J278,Exchange_Rates!A:B,2,FALSE)</f>
        <v>0.73</v>
      </c>
      <c r="L278" s="4">
        <f t="shared" si="16"/>
        <v>452.81899999999996</v>
      </c>
      <c r="M278" s="4">
        <f t="shared" si="17"/>
        <v>0</v>
      </c>
      <c r="N278" s="4">
        <f t="shared" si="18"/>
        <v>2025</v>
      </c>
      <c r="O278" s="4">
        <f t="shared" si="19"/>
        <v>1</v>
      </c>
    </row>
    <row r="279" spans="1:15" x14ac:dyDescent="0.25">
      <c r="A279" t="s">
        <v>597</v>
      </c>
      <c r="B279" s="2">
        <v>45775</v>
      </c>
      <c r="C279" t="s">
        <v>38</v>
      </c>
      <c r="D279" t="s">
        <v>39</v>
      </c>
      <c r="E279">
        <v>85.24</v>
      </c>
      <c r="F279">
        <v>0</v>
      </c>
      <c r="G279" t="s">
        <v>8</v>
      </c>
      <c r="H279" t="s">
        <v>51</v>
      </c>
      <c r="I279" t="s">
        <v>598</v>
      </c>
      <c r="J279" t="s">
        <v>64</v>
      </c>
      <c r="K279" s="4">
        <f>VLOOKUP(J279,Exchange_Rates!A:B,2,FALSE)</f>
        <v>0.73</v>
      </c>
      <c r="L279" s="4">
        <f t="shared" si="16"/>
        <v>62.225199999999994</v>
      </c>
      <c r="M279" s="4">
        <f t="shared" si="17"/>
        <v>0</v>
      </c>
      <c r="N279" s="4">
        <f t="shared" si="18"/>
        <v>2025</v>
      </c>
      <c r="O279" s="4">
        <f t="shared" si="19"/>
        <v>2</v>
      </c>
    </row>
    <row r="280" spans="1:15" x14ac:dyDescent="0.25">
      <c r="A280" t="s">
        <v>599</v>
      </c>
      <c r="B280" s="2">
        <v>45174</v>
      </c>
      <c r="C280" t="s">
        <v>49</v>
      </c>
      <c r="D280" t="s">
        <v>50</v>
      </c>
      <c r="E280">
        <v>628.62</v>
      </c>
      <c r="F280">
        <v>0</v>
      </c>
      <c r="G280" t="s">
        <v>9</v>
      </c>
      <c r="H280" t="s">
        <v>51</v>
      </c>
      <c r="I280" t="s">
        <v>600</v>
      </c>
      <c r="J280" t="s">
        <v>42</v>
      </c>
      <c r="K280" s="4">
        <f>VLOOKUP(J280,Exchange_Rates!A:B,2,FALSE)</f>
        <v>0.66</v>
      </c>
      <c r="L280" s="4">
        <f t="shared" si="16"/>
        <v>414.88920000000002</v>
      </c>
      <c r="M280" s="4">
        <f t="shared" si="17"/>
        <v>0</v>
      </c>
      <c r="N280" s="4">
        <f t="shared" si="18"/>
        <v>2023</v>
      </c>
      <c r="O280" s="4">
        <f t="shared" si="19"/>
        <v>3</v>
      </c>
    </row>
    <row r="281" spans="1:15" x14ac:dyDescent="0.25">
      <c r="A281" t="s">
        <v>601</v>
      </c>
      <c r="B281" s="2">
        <v>45025</v>
      </c>
      <c r="C281" t="s">
        <v>24</v>
      </c>
      <c r="D281" t="s">
        <v>25</v>
      </c>
      <c r="E281">
        <v>0</v>
      </c>
      <c r="F281">
        <v>1358.19</v>
      </c>
      <c r="G281" t="s">
        <v>12</v>
      </c>
      <c r="H281" t="s">
        <v>40</v>
      </c>
      <c r="I281" t="s">
        <v>602</v>
      </c>
      <c r="J281" t="s">
        <v>28</v>
      </c>
      <c r="K281" s="4">
        <f>VLOOKUP(J281,Exchange_Rates!A:B,2,FALSE)</f>
        <v>1.27</v>
      </c>
      <c r="L281" s="4">
        <f t="shared" si="16"/>
        <v>0</v>
      </c>
      <c r="M281" s="4">
        <f t="shared" si="17"/>
        <v>1724.9013</v>
      </c>
      <c r="N281" s="4">
        <f t="shared" si="18"/>
        <v>2023</v>
      </c>
      <c r="O281" s="4">
        <f t="shared" si="19"/>
        <v>2</v>
      </c>
    </row>
    <row r="282" spans="1:15" x14ac:dyDescent="0.25">
      <c r="A282" t="s">
        <v>603</v>
      </c>
      <c r="B282" s="2">
        <v>45475</v>
      </c>
      <c r="C282" t="s">
        <v>60</v>
      </c>
      <c r="D282" t="s">
        <v>61</v>
      </c>
      <c r="E282">
        <v>0</v>
      </c>
      <c r="F282">
        <v>2329.64</v>
      </c>
      <c r="G282" t="s">
        <v>8</v>
      </c>
      <c r="H282" t="s">
        <v>40</v>
      </c>
      <c r="I282" t="s">
        <v>604</v>
      </c>
      <c r="J282" t="s">
        <v>45</v>
      </c>
      <c r="K282" s="4">
        <f>VLOOKUP(J282,Exchange_Rates!A:B,2,FALSE)</f>
        <v>1</v>
      </c>
      <c r="L282" s="4">
        <f t="shared" si="16"/>
        <v>0</v>
      </c>
      <c r="M282" s="4">
        <f t="shared" si="17"/>
        <v>2329.64</v>
      </c>
      <c r="N282" s="4">
        <f t="shared" si="18"/>
        <v>2024</v>
      </c>
      <c r="O282" s="4">
        <f t="shared" si="19"/>
        <v>3</v>
      </c>
    </row>
    <row r="283" spans="1:15" x14ac:dyDescent="0.25">
      <c r="A283" t="s">
        <v>605</v>
      </c>
      <c r="B283" s="2">
        <v>45662</v>
      </c>
      <c r="C283" t="s">
        <v>38</v>
      </c>
      <c r="D283" t="s">
        <v>39</v>
      </c>
      <c r="E283">
        <v>1039.56</v>
      </c>
      <c r="F283">
        <v>0</v>
      </c>
      <c r="G283" t="s">
        <v>11</v>
      </c>
      <c r="H283" t="s">
        <v>51</v>
      </c>
      <c r="I283" t="s">
        <v>606</v>
      </c>
      <c r="J283" t="s">
        <v>64</v>
      </c>
      <c r="K283" s="4">
        <f>VLOOKUP(J283,Exchange_Rates!A:B,2,FALSE)</f>
        <v>0.73</v>
      </c>
      <c r="L283" s="4">
        <f t="shared" si="16"/>
        <v>758.87879999999996</v>
      </c>
      <c r="M283" s="4">
        <f t="shared" si="17"/>
        <v>0</v>
      </c>
      <c r="N283" s="4">
        <f t="shared" si="18"/>
        <v>2025</v>
      </c>
      <c r="O283" s="4">
        <f t="shared" si="19"/>
        <v>1</v>
      </c>
    </row>
    <row r="284" spans="1:15" x14ac:dyDescent="0.25">
      <c r="A284" t="s">
        <v>607</v>
      </c>
      <c r="B284" s="2">
        <v>45000</v>
      </c>
      <c r="C284" t="s">
        <v>49</v>
      </c>
      <c r="D284" t="s">
        <v>50</v>
      </c>
      <c r="E284">
        <v>1441.17</v>
      </c>
      <c r="F284">
        <v>0</v>
      </c>
      <c r="G284" t="s">
        <v>9</v>
      </c>
      <c r="H284" t="s">
        <v>40</v>
      </c>
      <c r="I284" t="s">
        <v>608</v>
      </c>
      <c r="J284" t="s">
        <v>64</v>
      </c>
      <c r="K284" s="4">
        <f>VLOOKUP(J284,Exchange_Rates!A:B,2,FALSE)</f>
        <v>0.73</v>
      </c>
      <c r="L284" s="4">
        <f t="shared" si="16"/>
        <v>1052.0541000000001</v>
      </c>
      <c r="M284" s="4">
        <f t="shared" si="17"/>
        <v>0</v>
      </c>
      <c r="N284" s="4">
        <f t="shared" si="18"/>
        <v>2023</v>
      </c>
      <c r="O284" s="4">
        <f t="shared" si="19"/>
        <v>1</v>
      </c>
    </row>
    <row r="285" spans="1:15" x14ac:dyDescent="0.25">
      <c r="A285" t="s">
        <v>609</v>
      </c>
      <c r="B285" s="2">
        <v>45031</v>
      </c>
      <c r="C285" t="s">
        <v>24</v>
      </c>
      <c r="D285" t="s">
        <v>25</v>
      </c>
      <c r="E285">
        <v>0</v>
      </c>
      <c r="F285">
        <v>873.53</v>
      </c>
      <c r="G285" t="s">
        <v>10</v>
      </c>
      <c r="H285" t="s">
        <v>51</v>
      </c>
      <c r="I285" t="s">
        <v>610</v>
      </c>
      <c r="J285" t="s">
        <v>36</v>
      </c>
      <c r="K285" s="4">
        <f>VLOOKUP(J285,Exchange_Rates!A:B,2,FALSE)</f>
        <v>1.08</v>
      </c>
      <c r="L285" s="4">
        <f t="shared" si="16"/>
        <v>0</v>
      </c>
      <c r="M285" s="4">
        <f t="shared" si="17"/>
        <v>943.41240000000005</v>
      </c>
      <c r="N285" s="4">
        <f t="shared" si="18"/>
        <v>2023</v>
      </c>
      <c r="O285" s="4">
        <f t="shared" si="19"/>
        <v>2</v>
      </c>
    </row>
    <row r="286" spans="1:15" x14ac:dyDescent="0.25">
      <c r="A286" t="s">
        <v>611</v>
      </c>
      <c r="B286" s="2">
        <v>45685</v>
      </c>
      <c r="C286" t="s">
        <v>24</v>
      </c>
      <c r="D286" t="s">
        <v>25</v>
      </c>
      <c r="E286">
        <v>0</v>
      </c>
      <c r="F286">
        <v>1932.35</v>
      </c>
      <c r="G286" t="s">
        <v>11</v>
      </c>
      <c r="H286" t="s">
        <v>40</v>
      </c>
      <c r="I286" t="s">
        <v>612</v>
      </c>
      <c r="J286" t="s">
        <v>42</v>
      </c>
      <c r="K286" s="4">
        <f>VLOOKUP(J286,Exchange_Rates!A:B,2,FALSE)</f>
        <v>0.66</v>
      </c>
      <c r="L286" s="4">
        <f t="shared" si="16"/>
        <v>0</v>
      </c>
      <c r="M286" s="4">
        <f t="shared" si="17"/>
        <v>1275.3510000000001</v>
      </c>
      <c r="N286" s="4">
        <f t="shared" si="18"/>
        <v>2025</v>
      </c>
      <c r="O286" s="4">
        <f t="shared" si="19"/>
        <v>1</v>
      </c>
    </row>
    <row r="287" spans="1:15" x14ac:dyDescent="0.25">
      <c r="A287" t="s">
        <v>613</v>
      </c>
      <c r="B287" s="2">
        <v>45833</v>
      </c>
      <c r="C287" t="s">
        <v>30</v>
      </c>
      <c r="D287" t="s">
        <v>31</v>
      </c>
      <c r="E287">
        <v>1733.12</v>
      </c>
      <c r="F287">
        <v>0</v>
      </c>
      <c r="G287" t="s">
        <v>11</v>
      </c>
      <c r="H287" t="s">
        <v>26</v>
      </c>
      <c r="I287" t="s">
        <v>614</v>
      </c>
      <c r="J287" t="s">
        <v>64</v>
      </c>
      <c r="K287" s="4">
        <f>VLOOKUP(J287,Exchange_Rates!A:B,2,FALSE)</f>
        <v>0.73</v>
      </c>
      <c r="L287" s="4">
        <f t="shared" si="16"/>
        <v>1265.1776</v>
      </c>
      <c r="M287" s="4">
        <f t="shared" si="17"/>
        <v>0</v>
      </c>
      <c r="N287" s="4">
        <f t="shared" si="18"/>
        <v>2025</v>
      </c>
      <c r="O287" s="4">
        <f t="shared" si="19"/>
        <v>2</v>
      </c>
    </row>
    <row r="288" spans="1:15" x14ac:dyDescent="0.25">
      <c r="A288" t="s">
        <v>615</v>
      </c>
      <c r="B288" s="2">
        <v>45622</v>
      </c>
      <c r="C288" t="s">
        <v>24</v>
      </c>
      <c r="D288" t="s">
        <v>25</v>
      </c>
      <c r="E288">
        <v>0</v>
      </c>
      <c r="F288">
        <v>3004.12</v>
      </c>
      <c r="G288" t="s">
        <v>11</v>
      </c>
      <c r="H288" t="s">
        <v>51</v>
      </c>
      <c r="I288" t="s">
        <v>616</v>
      </c>
      <c r="J288" t="s">
        <v>36</v>
      </c>
      <c r="K288" s="4">
        <f>VLOOKUP(J288,Exchange_Rates!A:B,2,FALSE)</f>
        <v>1.08</v>
      </c>
      <c r="L288" s="4">
        <f t="shared" si="16"/>
        <v>0</v>
      </c>
      <c r="M288" s="4">
        <f t="shared" si="17"/>
        <v>3244.4495999999999</v>
      </c>
      <c r="N288" s="4">
        <f t="shared" si="18"/>
        <v>2024</v>
      </c>
      <c r="O288" s="4">
        <f t="shared" si="19"/>
        <v>4</v>
      </c>
    </row>
    <row r="289" spans="1:15" x14ac:dyDescent="0.25">
      <c r="A289" t="s">
        <v>617</v>
      </c>
      <c r="B289" s="2">
        <v>45383</v>
      </c>
      <c r="C289" t="s">
        <v>49</v>
      </c>
      <c r="D289" t="s">
        <v>50</v>
      </c>
      <c r="E289">
        <v>1521.85</v>
      </c>
      <c r="F289">
        <v>0</v>
      </c>
      <c r="G289" t="s">
        <v>10</v>
      </c>
      <c r="H289" t="s">
        <v>62</v>
      </c>
      <c r="I289" t="s">
        <v>618</v>
      </c>
      <c r="J289" t="s">
        <v>42</v>
      </c>
      <c r="K289" s="4">
        <f>VLOOKUP(J289,Exchange_Rates!A:B,2,FALSE)</f>
        <v>0.66</v>
      </c>
      <c r="L289" s="4">
        <f t="shared" si="16"/>
        <v>1004.4209999999999</v>
      </c>
      <c r="M289" s="4">
        <f t="shared" si="17"/>
        <v>0</v>
      </c>
      <c r="N289" s="4">
        <f t="shared" si="18"/>
        <v>2024</v>
      </c>
      <c r="O289" s="4">
        <f t="shared" si="19"/>
        <v>2</v>
      </c>
    </row>
    <row r="290" spans="1:15" x14ac:dyDescent="0.25">
      <c r="A290" t="s">
        <v>619</v>
      </c>
      <c r="B290" s="2">
        <v>45712</v>
      </c>
      <c r="C290" t="s">
        <v>30</v>
      </c>
      <c r="D290" t="s">
        <v>31</v>
      </c>
      <c r="E290">
        <v>1486.16</v>
      </c>
      <c r="F290">
        <v>0</v>
      </c>
      <c r="G290" t="s">
        <v>12</v>
      </c>
      <c r="H290" t="s">
        <v>26</v>
      </c>
      <c r="I290" t="s">
        <v>620</v>
      </c>
      <c r="J290" t="s">
        <v>42</v>
      </c>
      <c r="K290" s="4">
        <f>VLOOKUP(J290,Exchange_Rates!A:B,2,FALSE)</f>
        <v>0.66</v>
      </c>
      <c r="L290" s="4">
        <f t="shared" si="16"/>
        <v>980.86560000000009</v>
      </c>
      <c r="M290" s="4">
        <f t="shared" si="17"/>
        <v>0</v>
      </c>
      <c r="N290" s="4">
        <f t="shared" si="18"/>
        <v>2025</v>
      </c>
      <c r="O290" s="4">
        <f t="shared" si="19"/>
        <v>1</v>
      </c>
    </row>
    <row r="291" spans="1:15" x14ac:dyDescent="0.25">
      <c r="A291" t="s">
        <v>621</v>
      </c>
      <c r="B291" s="2">
        <v>45777</v>
      </c>
      <c r="C291" t="s">
        <v>30</v>
      </c>
      <c r="D291" t="s">
        <v>31</v>
      </c>
      <c r="E291">
        <v>1308.19</v>
      </c>
      <c r="F291">
        <v>0</v>
      </c>
      <c r="G291" t="s">
        <v>11</v>
      </c>
      <c r="H291" t="s">
        <v>40</v>
      </c>
      <c r="I291" t="s">
        <v>622</v>
      </c>
      <c r="J291" t="s">
        <v>45</v>
      </c>
      <c r="K291" s="4">
        <f>VLOOKUP(J291,Exchange_Rates!A:B,2,FALSE)</f>
        <v>1</v>
      </c>
      <c r="L291" s="4">
        <f t="shared" si="16"/>
        <v>1308.19</v>
      </c>
      <c r="M291" s="4">
        <f t="shared" si="17"/>
        <v>0</v>
      </c>
      <c r="N291" s="4">
        <f t="shared" si="18"/>
        <v>2025</v>
      </c>
      <c r="O291" s="4">
        <f t="shared" si="19"/>
        <v>2</v>
      </c>
    </row>
    <row r="292" spans="1:15" x14ac:dyDescent="0.25">
      <c r="A292" t="s">
        <v>623</v>
      </c>
      <c r="B292" s="2">
        <v>45690</v>
      </c>
      <c r="C292" t="s">
        <v>30</v>
      </c>
      <c r="D292" t="s">
        <v>31</v>
      </c>
      <c r="E292">
        <v>1765.16</v>
      </c>
      <c r="F292">
        <v>0</v>
      </c>
      <c r="G292" t="s">
        <v>12</v>
      </c>
      <c r="H292" t="s">
        <v>51</v>
      </c>
      <c r="I292" t="s">
        <v>624</v>
      </c>
      <c r="J292" t="s">
        <v>42</v>
      </c>
      <c r="K292" s="4">
        <f>VLOOKUP(J292,Exchange_Rates!A:B,2,FALSE)</f>
        <v>0.66</v>
      </c>
      <c r="L292" s="4">
        <f t="shared" si="16"/>
        <v>1165.0056000000002</v>
      </c>
      <c r="M292" s="4">
        <f t="shared" si="17"/>
        <v>0</v>
      </c>
      <c r="N292" s="4">
        <f t="shared" si="18"/>
        <v>2025</v>
      </c>
      <c r="O292" s="4">
        <f t="shared" si="19"/>
        <v>1</v>
      </c>
    </row>
    <row r="293" spans="1:15" x14ac:dyDescent="0.25">
      <c r="A293" t="s">
        <v>625</v>
      </c>
      <c r="B293" s="2">
        <v>45422</v>
      </c>
      <c r="C293" t="s">
        <v>49</v>
      </c>
      <c r="D293" t="s">
        <v>50</v>
      </c>
      <c r="E293">
        <v>842.35</v>
      </c>
      <c r="F293">
        <v>0</v>
      </c>
      <c r="G293" t="s">
        <v>12</v>
      </c>
      <c r="H293" t="s">
        <v>51</v>
      </c>
      <c r="I293" t="s">
        <v>626</v>
      </c>
      <c r="J293" t="s">
        <v>45</v>
      </c>
      <c r="K293" s="4">
        <f>VLOOKUP(J293,Exchange_Rates!A:B,2,FALSE)</f>
        <v>1</v>
      </c>
      <c r="L293" s="4">
        <f t="shared" si="16"/>
        <v>842.35</v>
      </c>
      <c r="M293" s="4">
        <f t="shared" si="17"/>
        <v>0</v>
      </c>
      <c r="N293" s="4">
        <f t="shared" si="18"/>
        <v>2024</v>
      </c>
      <c r="O293" s="4">
        <f t="shared" si="19"/>
        <v>2</v>
      </c>
    </row>
    <row r="294" spans="1:15" x14ac:dyDescent="0.25">
      <c r="A294" t="s">
        <v>627</v>
      </c>
      <c r="B294" s="2">
        <v>45351</v>
      </c>
      <c r="C294" t="s">
        <v>49</v>
      </c>
      <c r="D294" t="s">
        <v>50</v>
      </c>
      <c r="E294">
        <v>788.28</v>
      </c>
      <c r="F294">
        <v>0</v>
      </c>
      <c r="G294" t="s">
        <v>9</v>
      </c>
      <c r="H294" t="s">
        <v>26</v>
      </c>
      <c r="I294" t="s">
        <v>628</v>
      </c>
      <c r="J294" t="s">
        <v>36</v>
      </c>
      <c r="K294" s="4">
        <f>VLOOKUP(J294,Exchange_Rates!A:B,2,FALSE)</f>
        <v>1.08</v>
      </c>
      <c r="L294" s="4">
        <f t="shared" si="16"/>
        <v>851.3424</v>
      </c>
      <c r="M294" s="4">
        <f t="shared" si="17"/>
        <v>0</v>
      </c>
      <c r="N294" s="4">
        <f t="shared" si="18"/>
        <v>2024</v>
      </c>
      <c r="O294" s="4">
        <f t="shared" si="19"/>
        <v>1</v>
      </c>
    </row>
    <row r="295" spans="1:15" x14ac:dyDescent="0.25">
      <c r="A295" t="s">
        <v>629</v>
      </c>
      <c r="B295" s="2">
        <v>45535</v>
      </c>
      <c r="C295" t="s">
        <v>24</v>
      </c>
      <c r="D295" t="s">
        <v>25</v>
      </c>
      <c r="E295">
        <v>0</v>
      </c>
      <c r="F295">
        <v>239.94</v>
      </c>
      <c r="G295" t="s">
        <v>8</v>
      </c>
      <c r="H295" t="s">
        <v>51</v>
      </c>
      <c r="I295" t="s">
        <v>630</v>
      </c>
      <c r="J295" t="s">
        <v>36</v>
      </c>
      <c r="K295" s="4">
        <f>VLOOKUP(J295,Exchange_Rates!A:B,2,FALSE)</f>
        <v>1.08</v>
      </c>
      <c r="L295" s="4">
        <f t="shared" si="16"/>
        <v>0</v>
      </c>
      <c r="M295" s="4">
        <f t="shared" si="17"/>
        <v>259.1352</v>
      </c>
      <c r="N295" s="4">
        <f t="shared" si="18"/>
        <v>2024</v>
      </c>
      <c r="O295" s="4">
        <f t="shared" si="19"/>
        <v>3</v>
      </c>
    </row>
    <row r="296" spans="1:15" x14ac:dyDescent="0.25">
      <c r="A296" t="s">
        <v>631</v>
      </c>
      <c r="B296" s="2">
        <v>45679</v>
      </c>
      <c r="C296" t="s">
        <v>24</v>
      </c>
      <c r="D296" t="s">
        <v>25</v>
      </c>
      <c r="E296">
        <v>0</v>
      </c>
      <c r="F296">
        <v>4378.1899999999996</v>
      </c>
      <c r="G296" t="s">
        <v>12</v>
      </c>
      <c r="H296" t="s">
        <v>40</v>
      </c>
      <c r="I296" t="s">
        <v>632</v>
      </c>
      <c r="J296" t="s">
        <v>36</v>
      </c>
      <c r="K296" s="4">
        <f>VLOOKUP(J296,Exchange_Rates!A:B,2,FALSE)</f>
        <v>1.08</v>
      </c>
      <c r="L296" s="4">
        <f t="shared" si="16"/>
        <v>0</v>
      </c>
      <c r="M296" s="4">
        <f t="shared" si="17"/>
        <v>4728.4452000000001</v>
      </c>
      <c r="N296" s="4">
        <f t="shared" si="18"/>
        <v>2025</v>
      </c>
      <c r="O296" s="4">
        <f t="shared" si="19"/>
        <v>1</v>
      </c>
    </row>
    <row r="297" spans="1:15" x14ac:dyDescent="0.25">
      <c r="A297" t="s">
        <v>633</v>
      </c>
      <c r="B297" s="2">
        <v>45268</v>
      </c>
      <c r="C297" t="s">
        <v>38</v>
      </c>
      <c r="D297" t="s">
        <v>39</v>
      </c>
      <c r="E297">
        <v>1116.99</v>
      </c>
      <c r="F297">
        <v>0</v>
      </c>
      <c r="G297" t="s">
        <v>11</v>
      </c>
      <c r="H297" t="s">
        <v>26</v>
      </c>
      <c r="I297" t="s">
        <v>634</v>
      </c>
      <c r="J297" t="s">
        <v>42</v>
      </c>
      <c r="K297" s="4">
        <f>VLOOKUP(J297,Exchange_Rates!A:B,2,FALSE)</f>
        <v>0.66</v>
      </c>
      <c r="L297" s="4">
        <f t="shared" si="16"/>
        <v>737.21340000000009</v>
      </c>
      <c r="M297" s="4">
        <f t="shared" si="17"/>
        <v>0</v>
      </c>
      <c r="N297" s="4">
        <f t="shared" si="18"/>
        <v>2023</v>
      </c>
      <c r="O297" s="4">
        <f t="shared" si="19"/>
        <v>4</v>
      </c>
    </row>
    <row r="298" spans="1:15" x14ac:dyDescent="0.25">
      <c r="A298" t="s">
        <v>635</v>
      </c>
      <c r="B298" s="2">
        <v>45269</v>
      </c>
      <c r="C298" t="s">
        <v>49</v>
      </c>
      <c r="D298" t="s">
        <v>50</v>
      </c>
      <c r="E298">
        <v>1902.75</v>
      </c>
      <c r="F298">
        <v>0</v>
      </c>
      <c r="G298" t="s">
        <v>8</v>
      </c>
      <c r="H298" t="s">
        <v>40</v>
      </c>
      <c r="I298" t="s">
        <v>636</v>
      </c>
      <c r="J298" t="s">
        <v>28</v>
      </c>
      <c r="K298" s="4">
        <f>VLOOKUP(J298,Exchange_Rates!A:B,2,FALSE)</f>
        <v>1.27</v>
      </c>
      <c r="L298" s="4">
        <f t="shared" si="16"/>
        <v>2416.4924999999998</v>
      </c>
      <c r="M298" s="4">
        <f t="shared" si="17"/>
        <v>0</v>
      </c>
      <c r="N298" s="4">
        <f t="shared" si="18"/>
        <v>2023</v>
      </c>
      <c r="O298" s="4">
        <f t="shared" si="19"/>
        <v>4</v>
      </c>
    </row>
    <row r="299" spans="1:15" x14ac:dyDescent="0.25">
      <c r="A299" t="s">
        <v>637</v>
      </c>
      <c r="B299" s="2">
        <v>45625</v>
      </c>
      <c r="C299" t="s">
        <v>49</v>
      </c>
      <c r="D299" t="s">
        <v>50</v>
      </c>
      <c r="E299">
        <v>275.93</v>
      </c>
      <c r="F299">
        <v>0</v>
      </c>
      <c r="G299" t="s">
        <v>9</v>
      </c>
      <c r="H299" t="s">
        <v>34</v>
      </c>
      <c r="I299" t="s">
        <v>638</v>
      </c>
      <c r="J299" t="s">
        <v>45</v>
      </c>
      <c r="K299" s="4">
        <f>VLOOKUP(J299,Exchange_Rates!A:B,2,FALSE)</f>
        <v>1</v>
      </c>
      <c r="L299" s="4">
        <f t="shared" si="16"/>
        <v>275.93</v>
      </c>
      <c r="M299" s="4">
        <f t="shared" si="17"/>
        <v>0</v>
      </c>
      <c r="N299" s="4">
        <f t="shared" si="18"/>
        <v>2024</v>
      </c>
      <c r="O299" s="4">
        <f t="shared" si="19"/>
        <v>4</v>
      </c>
    </row>
    <row r="300" spans="1:15" x14ac:dyDescent="0.25">
      <c r="A300" t="s">
        <v>639</v>
      </c>
      <c r="B300" s="2">
        <v>45555</v>
      </c>
      <c r="C300" t="s">
        <v>38</v>
      </c>
      <c r="D300" t="s">
        <v>39</v>
      </c>
      <c r="E300">
        <v>1761.1</v>
      </c>
      <c r="F300">
        <v>0</v>
      </c>
      <c r="G300" t="s">
        <v>12</v>
      </c>
      <c r="H300" t="s">
        <v>40</v>
      </c>
      <c r="I300" t="s">
        <v>640</v>
      </c>
      <c r="J300" t="s">
        <v>42</v>
      </c>
      <c r="K300" s="4">
        <f>VLOOKUP(J300,Exchange_Rates!A:B,2,FALSE)</f>
        <v>0.66</v>
      </c>
      <c r="L300" s="4">
        <f t="shared" si="16"/>
        <v>1162.326</v>
      </c>
      <c r="M300" s="4">
        <f t="shared" si="17"/>
        <v>0</v>
      </c>
      <c r="N300" s="4">
        <f t="shared" si="18"/>
        <v>2024</v>
      </c>
      <c r="O300" s="4">
        <f t="shared" si="19"/>
        <v>3</v>
      </c>
    </row>
    <row r="301" spans="1:15" x14ac:dyDescent="0.25">
      <c r="A301" t="s">
        <v>641</v>
      </c>
      <c r="B301" s="2">
        <v>45308</v>
      </c>
      <c r="C301" t="s">
        <v>60</v>
      </c>
      <c r="D301" t="s">
        <v>61</v>
      </c>
      <c r="E301">
        <v>0</v>
      </c>
      <c r="F301">
        <v>4260.88</v>
      </c>
      <c r="G301" t="s">
        <v>9</v>
      </c>
      <c r="H301" t="s">
        <v>51</v>
      </c>
      <c r="I301" t="s">
        <v>642</v>
      </c>
      <c r="J301" t="s">
        <v>45</v>
      </c>
      <c r="K301" s="4">
        <f>VLOOKUP(J301,Exchange_Rates!A:B,2,FALSE)</f>
        <v>1</v>
      </c>
      <c r="L301" s="4">
        <f t="shared" si="16"/>
        <v>0</v>
      </c>
      <c r="M301" s="4">
        <f t="shared" si="17"/>
        <v>4260.88</v>
      </c>
      <c r="N301" s="4">
        <f t="shared" si="18"/>
        <v>2024</v>
      </c>
      <c r="O301" s="4">
        <f t="shared" si="19"/>
        <v>1</v>
      </c>
    </row>
    <row r="302" spans="1:15" x14ac:dyDescent="0.25">
      <c r="A302" t="s">
        <v>643</v>
      </c>
      <c r="B302" s="2">
        <v>45209</v>
      </c>
      <c r="C302" t="s">
        <v>24</v>
      </c>
      <c r="D302" t="s">
        <v>25</v>
      </c>
      <c r="E302">
        <v>0</v>
      </c>
      <c r="F302">
        <v>1229.46</v>
      </c>
      <c r="G302" t="s">
        <v>12</v>
      </c>
      <c r="H302" t="s">
        <v>26</v>
      </c>
      <c r="I302" t="s">
        <v>644</v>
      </c>
      <c r="J302" t="s">
        <v>64</v>
      </c>
      <c r="K302" s="4">
        <f>VLOOKUP(J302,Exchange_Rates!A:B,2,FALSE)</f>
        <v>0.73</v>
      </c>
      <c r="L302" s="4">
        <f t="shared" si="16"/>
        <v>0</v>
      </c>
      <c r="M302" s="4">
        <f t="shared" si="17"/>
        <v>897.50580000000002</v>
      </c>
      <c r="N302" s="4">
        <f t="shared" si="18"/>
        <v>2023</v>
      </c>
      <c r="O302" s="4">
        <f t="shared" si="19"/>
        <v>4</v>
      </c>
    </row>
    <row r="303" spans="1:15" x14ac:dyDescent="0.25">
      <c r="A303" t="s">
        <v>645</v>
      </c>
      <c r="B303" s="2">
        <v>45608</v>
      </c>
      <c r="C303" t="s">
        <v>30</v>
      </c>
      <c r="D303" t="s">
        <v>31</v>
      </c>
      <c r="E303">
        <v>1804.04</v>
      </c>
      <c r="F303">
        <v>0</v>
      </c>
      <c r="G303" t="s">
        <v>9</v>
      </c>
      <c r="H303" t="s">
        <v>51</v>
      </c>
      <c r="I303" t="s">
        <v>646</v>
      </c>
      <c r="J303" t="s">
        <v>28</v>
      </c>
      <c r="K303" s="4">
        <f>VLOOKUP(J303,Exchange_Rates!A:B,2,FALSE)</f>
        <v>1.27</v>
      </c>
      <c r="L303" s="4">
        <f t="shared" si="16"/>
        <v>2291.1307999999999</v>
      </c>
      <c r="M303" s="4">
        <f t="shared" si="17"/>
        <v>0</v>
      </c>
      <c r="N303" s="4">
        <f t="shared" si="18"/>
        <v>2024</v>
      </c>
      <c r="O303" s="4">
        <f t="shared" si="19"/>
        <v>4</v>
      </c>
    </row>
    <row r="304" spans="1:15" x14ac:dyDescent="0.25">
      <c r="A304" t="s">
        <v>647</v>
      </c>
      <c r="B304" s="2">
        <v>45567</v>
      </c>
      <c r="C304" t="s">
        <v>30</v>
      </c>
      <c r="D304" t="s">
        <v>31</v>
      </c>
      <c r="E304">
        <v>1637.96</v>
      </c>
      <c r="F304">
        <v>0</v>
      </c>
      <c r="G304" t="s">
        <v>9</v>
      </c>
      <c r="H304" t="s">
        <v>26</v>
      </c>
      <c r="I304" t="s">
        <v>648</v>
      </c>
      <c r="J304" t="s">
        <v>42</v>
      </c>
      <c r="K304" s="4">
        <f>VLOOKUP(J304,Exchange_Rates!A:B,2,FALSE)</f>
        <v>0.66</v>
      </c>
      <c r="L304" s="4">
        <f t="shared" si="16"/>
        <v>1081.0536000000002</v>
      </c>
      <c r="M304" s="4">
        <f t="shared" si="17"/>
        <v>0</v>
      </c>
      <c r="N304" s="4">
        <f t="shared" si="18"/>
        <v>2024</v>
      </c>
      <c r="O304" s="4">
        <f t="shared" si="19"/>
        <v>4</v>
      </c>
    </row>
    <row r="305" spans="1:15" x14ac:dyDescent="0.25">
      <c r="A305" t="s">
        <v>649</v>
      </c>
      <c r="B305" s="2">
        <v>45504</v>
      </c>
      <c r="C305" t="s">
        <v>24</v>
      </c>
      <c r="D305" t="s">
        <v>25</v>
      </c>
      <c r="E305">
        <v>0</v>
      </c>
      <c r="F305">
        <v>1400.77</v>
      </c>
      <c r="G305" t="s">
        <v>11</v>
      </c>
      <c r="H305" t="s">
        <v>51</v>
      </c>
      <c r="I305" t="s">
        <v>650</v>
      </c>
      <c r="J305" t="s">
        <v>36</v>
      </c>
      <c r="K305" s="4">
        <f>VLOOKUP(J305,Exchange_Rates!A:B,2,FALSE)</f>
        <v>1.08</v>
      </c>
      <c r="L305" s="4">
        <f t="shared" si="16"/>
        <v>0</v>
      </c>
      <c r="M305" s="4">
        <f t="shared" si="17"/>
        <v>1512.8316</v>
      </c>
      <c r="N305" s="4">
        <f t="shared" si="18"/>
        <v>2024</v>
      </c>
      <c r="O305" s="4">
        <f t="shared" si="19"/>
        <v>3</v>
      </c>
    </row>
    <row r="306" spans="1:15" x14ac:dyDescent="0.25">
      <c r="A306" t="s">
        <v>651</v>
      </c>
      <c r="B306" s="2">
        <v>45729</v>
      </c>
      <c r="C306" t="s">
        <v>49</v>
      </c>
      <c r="D306" t="s">
        <v>50</v>
      </c>
      <c r="E306">
        <v>1010.88</v>
      </c>
      <c r="F306">
        <v>0</v>
      </c>
      <c r="G306" t="s">
        <v>11</v>
      </c>
      <c r="H306" t="s">
        <v>40</v>
      </c>
      <c r="I306" t="s">
        <v>652</v>
      </c>
      <c r="J306" t="s">
        <v>42</v>
      </c>
      <c r="K306" s="4">
        <f>VLOOKUP(J306,Exchange_Rates!A:B,2,FALSE)</f>
        <v>0.66</v>
      </c>
      <c r="L306" s="4">
        <f t="shared" si="16"/>
        <v>667.18079999999998</v>
      </c>
      <c r="M306" s="4">
        <f t="shared" si="17"/>
        <v>0</v>
      </c>
      <c r="N306" s="4">
        <f t="shared" si="18"/>
        <v>2025</v>
      </c>
      <c r="O306" s="4">
        <f t="shared" si="19"/>
        <v>1</v>
      </c>
    </row>
    <row r="307" spans="1:15" x14ac:dyDescent="0.25">
      <c r="A307" t="s">
        <v>653</v>
      </c>
      <c r="B307" s="2">
        <v>45385</v>
      </c>
      <c r="C307" t="s">
        <v>24</v>
      </c>
      <c r="D307" t="s">
        <v>25</v>
      </c>
      <c r="E307">
        <v>0</v>
      </c>
      <c r="F307">
        <v>1059.18</v>
      </c>
      <c r="G307" t="s">
        <v>10</v>
      </c>
      <c r="H307" t="s">
        <v>40</v>
      </c>
      <c r="I307" t="s">
        <v>654</v>
      </c>
      <c r="J307" t="s">
        <v>45</v>
      </c>
      <c r="K307" s="4">
        <f>VLOOKUP(J307,Exchange_Rates!A:B,2,FALSE)</f>
        <v>1</v>
      </c>
      <c r="L307" s="4">
        <f t="shared" si="16"/>
        <v>0</v>
      </c>
      <c r="M307" s="4">
        <f t="shared" si="17"/>
        <v>1059.18</v>
      </c>
      <c r="N307" s="4">
        <f t="shared" si="18"/>
        <v>2024</v>
      </c>
      <c r="O307" s="4">
        <f t="shared" si="19"/>
        <v>2</v>
      </c>
    </row>
    <row r="308" spans="1:15" x14ac:dyDescent="0.25">
      <c r="A308" t="s">
        <v>655</v>
      </c>
      <c r="B308" s="2">
        <v>45152</v>
      </c>
      <c r="C308" t="s">
        <v>60</v>
      </c>
      <c r="D308" t="s">
        <v>61</v>
      </c>
      <c r="E308">
        <v>0</v>
      </c>
      <c r="F308">
        <v>951.38</v>
      </c>
      <c r="G308" t="s">
        <v>11</v>
      </c>
      <c r="H308" t="s">
        <v>26</v>
      </c>
      <c r="I308" t="s">
        <v>656</v>
      </c>
      <c r="J308" t="s">
        <v>28</v>
      </c>
      <c r="K308" s="4">
        <f>VLOOKUP(J308,Exchange_Rates!A:B,2,FALSE)</f>
        <v>1.27</v>
      </c>
      <c r="L308" s="4">
        <f t="shared" si="16"/>
        <v>0</v>
      </c>
      <c r="M308" s="4">
        <f t="shared" si="17"/>
        <v>1208.2526</v>
      </c>
      <c r="N308" s="4">
        <f t="shared" si="18"/>
        <v>2023</v>
      </c>
      <c r="O308" s="4">
        <f t="shared" si="19"/>
        <v>3</v>
      </c>
    </row>
    <row r="309" spans="1:15" x14ac:dyDescent="0.25">
      <c r="A309" t="s">
        <v>657</v>
      </c>
      <c r="B309" s="2">
        <v>44949</v>
      </c>
      <c r="C309" t="s">
        <v>24</v>
      </c>
      <c r="D309" t="s">
        <v>25</v>
      </c>
      <c r="E309">
        <v>0</v>
      </c>
      <c r="F309">
        <v>2648.82</v>
      </c>
      <c r="G309" t="s">
        <v>13</v>
      </c>
      <c r="H309" t="s">
        <v>51</v>
      </c>
      <c r="I309" t="s">
        <v>658</v>
      </c>
      <c r="J309" t="s">
        <v>28</v>
      </c>
      <c r="K309" s="4">
        <f>VLOOKUP(J309,Exchange_Rates!A:B,2,FALSE)</f>
        <v>1.27</v>
      </c>
      <c r="L309" s="4">
        <f t="shared" si="16"/>
        <v>0</v>
      </c>
      <c r="M309" s="4">
        <f t="shared" si="17"/>
        <v>3364.0014000000001</v>
      </c>
      <c r="N309" s="4">
        <f t="shared" si="18"/>
        <v>2023</v>
      </c>
      <c r="O309" s="4">
        <f t="shared" si="19"/>
        <v>1</v>
      </c>
    </row>
    <row r="310" spans="1:15" x14ac:dyDescent="0.25">
      <c r="A310" t="s">
        <v>659</v>
      </c>
      <c r="B310" s="2">
        <v>44989</v>
      </c>
      <c r="C310" t="s">
        <v>60</v>
      </c>
      <c r="D310" t="s">
        <v>61</v>
      </c>
      <c r="E310">
        <v>0</v>
      </c>
      <c r="F310">
        <v>2008.6</v>
      </c>
      <c r="G310" t="s">
        <v>8</v>
      </c>
      <c r="H310" t="s">
        <v>40</v>
      </c>
      <c r="I310" t="s">
        <v>660</v>
      </c>
      <c r="J310" t="s">
        <v>45</v>
      </c>
      <c r="K310" s="4">
        <f>VLOOKUP(J310,Exchange_Rates!A:B,2,FALSE)</f>
        <v>1</v>
      </c>
      <c r="L310" s="4">
        <f t="shared" si="16"/>
        <v>0</v>
      </c>
      <c r="M310" s="4">
        <f t="shared" si="17"/>
        <v>2008.6</v>
      </c>
      <c r="N310" s="4">
        <f t="shared" si="18"/>
        <v>2023</v>
      </c>
      <c r="O310" s="4">
        <f t="shared" si="19"/>
        <v>1</v>
      </c>
    </row>
    <row r="311" spans="1:15" x14ac:dyDescent="0.25">
      <c r="A311" t="s">
        <v>661</v>
      </c>
      <c r="B311" s="2">
        <v>45442</v>
      </c>
      <c r="C311" t="s">
        <v>38</v>
      </c>
      <c r="D311" t="s">
        <v>39</v>
      </c>
      <c r="E311">
        <v>1604.44</v>
      </c>
      <c r="F311">
        <v>0</v>
      </c>
      <c r="G311" t="s">
        <v>10</v>
      </c>
      <c r="H311" t="s">
        <v>26</v>
      </c>
      <c r="I311" t="s">
        <v>662</v>
      </c>
      <c r="J311" t="s">
        <v>64</v>
      </c>
      <c r="K311" s="4">
        <f>VLOOKUP(J311,Exchange_Rates!A:B,2,FALSE)</f>
        <v>0.73</v>
      </c>
      <c r="L311" s="4">
        <f t="shared" si="16"/>
        <v>1171.2411999999999</v>
      </c>
      <c r="M311" s="4">
        <f t="shared" si="17"/>
        <v>0</v>
      </c>
      <c r="N311" s="4">
        <f t="shared" si="18"/>
        <v>2024</v>
      </c>
      <c r="O311" s="4">
        <f t="shared" si="19"/>
        <v>2</v>
      </c>
    </row>
    <row r="312" spans="1:15" x14ac:dyDescent="0.25">
      <c r="A312" t="s">
        <v>663</v>
      </c>
      <c r="B312" s="2">
        <v>45566</v>
      </c>
      <c r="C312" t="s">
        <v>49</v>
      </c>
      <c r="D312" t="s">
        <v>50</v>
      </c>
      <c r="E312">
        <v>350.19</v>
      </c>
      <c r="F312">
        <v>0</v>
      </c>
      <c r="G312" t="s">
        <v>8</v>
      </c>
      <c r="H312" t="s">
        <v>26</v>
      </c>
      <c r="I312" t="s">
        <v>664</v>
      </c>
      <c r="J312" t="s">
        <v>28</v>
      </c>
      <c r="K312" s="4">
        <f>VLOOKUP(J312,Exchange_Rates!A:B,2,FALSE)</f>
        <v>1.27</v>
      </c>
      <c r="L312" s="4">
        <f t="shared" si="16"/>
        <v>444.74130000000002</v>
      </c>
      <c r="M312" s="4">
        <f t="shared" si="17"/>
        <v>0</v>
      </c>
      <c r="N312" s="4">
        <f t="shared" si="18"/>
        <v>2024</v>
      </c>
      <c r="O312" s="4">
        <f t="shared" si="19"/>
        <v>4</v>
      </c>
    </row>
    <row r="313" spans="1:15" x14ac:dyDescent="0.25">
      <c r="A313" t="s">
        <v>665</v>
      </c>
      <c r="B313" s="2">
        <v>45326</v>
      </c>
      <c r="C313" t="s">
        <v>30</v>
      </c>
      <c r="D313" t="s">
        <v>31</v>
      </c>
      <c r="E313">
        <v>547.95000000000005</v>
      </c>
      <c r="F313">
        <v>0</v>
      </c>
      <c r="G313" t="s">
        <v>8</v>
      </c>
      <c r="H313" t="s">
        <v>26</v>
      </c>
      <c r="I313" t="s">
        <v>666</v>
      </c>
      <c r="J313" t="s">
        <v>28</v>
      </c>
      <c r="K313" s="4">
        <f>VLOOKUP(J313,Exchange_Rates!A:B,2,FALSE)</f>
        <v>1.27</v>
      </c>
      <c r="L313" s="4">
        <f t="shared" si="16"/>
        <v>695.89650000000006</v>
      </c>
      <c r="M313" s="4">
        <f t="shared" si="17"/>
        <v>0</v>
      </c>
      <c r="N313" s="4">
        <f t="shared" si="18"/>
        <v>2024</v>
      </c>
      <c r="O313" s="4">
        <f t="shared" si="19"/>
        <v>1</v>
      </c>
    </row>
    <row r="314" spans="1:15" x14ac:dyDescent="0.25">
      <c r="A314" t="s">
        <v>667</v>
      </c>
      <c r="B314" s="2">
        <v>45796</v>
      </c>
      <c r="C314" t="s">
        <v>24</v>
      </c>
      <c r="D314" t="s">
        <v>25</v>
      </c>
      <c r="E314">
        <v>0</v>
      </c>
      <c r="F314">
        <v>561.46</v>
      </c>
      <c r="G314" t="s">
        <v>8</v>
      </c>
      <c r="H314" t="s">
        <v>62</v>
      </c>
      <c r="I314" t="s">
        <v>668</v>
      </c>
      <c r="J314" t="s">
        <v>28</v>
      </c>
      <c r="K314" s="4">
        <f>VLOOKUP(J314,Exchange_Rates!A:B,2,FALSE)</f>
        <v>1.27</v>
      </c>
      <c r="L314" s="4">
        <f t="shared" si="16"/>
        <v>0</v>
      </c>
      <c r="M314" s="4">
        <f t="shared" si="17"/>
        <v>713.05420000000004</v>
      </c>
      <c r="N314" s="4">
        <f t="shared" si="18"/>
        <v>2025</v>
      </c>
      <c r="O314" s="4">
        <f t="shared" si="19"/>
        <v>2</v>
      </c>
    </row>
    <row r="315" spans="1:15" x14ac:dyDescent="0.25">
      <c r="A315" t="s">
        <v>669</v>
      </c>
      <c r="B315" s="2">
        <v>45150</v>
      </c>
      <c r="C315" t="s">
        <v>38</v>
      </c>
      <c r="D315" t="s">
        <v>39</v>
      </c>
      <c r="E315">
        <v>737.29</v>
      </c>
      <c r="F315">
        <v>0</v>
      </c>
      <c r="G315" t="s">
        <v>11</v>
      </c>
      <c r="H315" t="s">
        <v>62</v>
      </c>
      <c r="I315" t="s">
        <v>670</v>
      </c>
      <c r="J315" t="s">
        <v>42</v>
      </c>
      <c r="K315" s="4">
        <f>VLOOKUP(J315,Exchange_Rates!A:B,2,FALSE)</f>
        <v>0.66</v>
      </c>
      <c r="L315" s="4">
        <f t="shared" si="16"/>
        <v>486.6114</v>
      </c>
      <c r="M315" s="4">
        <f t="shared" si="17"/>
        <v>0</v>
      </c>
      <c r="N315" s="4">
        <f t="shared" si="18"/>
        <v>2023</v>
      </c>
      <c r="O315" s="4">
        <f t="shared" si="19"/>
        <v>3</v>
      </c>
    </row>
    <row r="316" spans="1:15" x14ac:dyDescent="0.25">
      <c r="A316" t="s">
        <v>671</v>
      </c>
      <c r="B316" s="2">
        <v>45829</v>
      </c>
      <c r="C316" t="s">
        <v>60</v>
      </c>
      <c r="D316" t="s">
        <v>61</v>
      </c>
      <c r="E316">
        <v>0</v>
      </c>
      <c r="F316">
        <v>963.96</v>
      </c>
      <c r="G316" t="s">
        <v>10</v>
      </c>
      <c r="H316" t="s">
        <v>40</v>
      </c>
      <c r="I316" t="s">
        <v>672</v>
      </c>
      <c r="J316" t="s">
        <v>28</v>
      </c>
      <c r="K316" s="4">
        <f>VLOOKUP(J316,Exchange_Rates!A:B,2,FALSE)</f>
        <v>1.27</v>
      </c>
      <c r="L316" s="4">
        <f t="shared" si="16"/>
        <v>0</v>
      </c>
      <c r="M316" s="4">
        <f t="shared" si="17"/>
        <v>1224.2292</v>
      </c>
      <c r="N316" s="4">
        <f t="shared" si="18"/>
        <v>2025</v>
      </c>
      <c r="O316" s="4">
        <f t="shared" si="19"/>
        <v>2</v>
      </c>
    </row>
    <row r="317" spans="1:15" x14ac:dyDescent="0.25">
      <c r="A317" t="s">
        <v>673</v>
      </c>
      <c r="B317" s="2">
        <v>45118</v>
      </c>
      <c r="C317" t="s">
        <v>49</v>
      </c>
      <c r="D317" t="s">
        <v>50</v>
      </c>
      <c r="E317">
        <v>1233.1600000000001</v>
      </c>
      <c r="F317">
        <v>0</v>
      </c>
      <c r="G317" t="s">
        <v>11</v>
      </c>
      <c r="H317" t="s">
        <v>62</v>
      </c>
      <c r="I317" t="s">
        <v>674</v>
      </c>
      <c r="J317" t="s">
        <v>45</v>
      </c>
      <c r="K317" s="4">
        <f>VLOOKUP(J317,Exchange_Rates!A:B,2,FALSE)</f>
        <v>1</v>
      </c>
      <c r="L317" s="4">
        <f t="shared" si="16"/>
        <v>1233.1600000000001</v>
      </c>
      <c r="M317" s="4">
        <f t="shared" si="17"/>
        <v>0</v>
      </c>
      <c r="N317" s="4">
        <f t="shared" si="18"/>
        <v>2023</v>
      </c>
      <c r="O317" s="4">
        <f t="shared" si="19"/>
        <v>3</v>
      </c>
    </row>
    <row r="318" spans="1:15" x14ac:dyDescent="0.25">
      <c r="A318" t="s">
        <v>675</v>
      </c>
      <c r="B318" s="2">
        <v>45263</v>
      </c>
      <c r="C318" t="s">
        <v>24</v>
      </c>
      <c r="D318" t="s">
        <v>25</v>
      </c>
      <c r="E318">
        <v>0</v>
      </c>
      <c r="F318">
        <v>1228</v>
      </c>
      <c r="G318" t="s">
        <v>8</v>
      </c>
      <c r="H318" t="s">
        <v>26</v>
      </c>
      <c r="I318" t="s">
        <v>676</v>
      </c>
      <c r="J318" t="s">
        <v>45</v>
      </c>
      <c r="K318" s="4">
        <f>VLOOKUP(J318,Exchange_Rates!A:B,2,FALSE)</f>
        <v>1</v>
      </c>
      <c r="L318" s="4">
        <f t="shared" si="16"/>
        <v>0</v>
      </c>
      <c r="M318" s="4">
        <f t="shared" si="17"/>
        <v>1228</v>
      </c>
      <c r="N318" s="4">
        <f t="shared" si="18"/>
        <v>2023</v>
      </c>
      <c r="O318" s="4">
        <f t="shared" si="19"/>
        <v>4</v>
      </c>
    </row>
    <row r="319" spans="1:15" x14ac:dyDescent="0.25">
      <c r="A319" t="s">
        <v>677</v>
      </c>
      <c r="B319" s="2">
        <v>44943</v>
      </c>
      <c r="C319" t="s">
        <v>24</v>
      </c>
      <c r="D319" t="s">
        <v>25</v>
      </c>
      <c r="E319">
        <v>0</v>
      </c>
      <c r="F319">
        <v>1067.1500000000001</v>
      </c>
      <c r="G319" t="s">
        <v>11</v>
      </c>
      <c r="H319" t="s">
        <v>40</v>
      </c>
      <c r="I319" t="s">
        <v>678</v>
      </c>
      <c r="J319" t="s">
        <v>64</v>
      </c>
      <c r="K319" s="4">
        <f>VLOOKUP(J319,Exchange_Rates!A:B,2,FALSE)</f>
        <v>0.73</v>
      </c>
      <c r="L319" s="4">
        <f t="shared" si="16"/>
        <v>0</v>
      </c>
      <c r="M319" s="4">
        <f t="shared" si="17"/>
        <v>779.01949999999999</v>
      </c>
      <c r="N319" s="4">
        <f t="shared" si="18"/>
        <v>2023</v>
      </c>
      <c r="O319" s="4">
        <f t="shared" si="19"/>
        <v>1</v>
      </c>
    </row>
    <row r="320" spans="1:15" x14ac:dyDescent="0.25">
      <c r="A320" t="s">
        <v>679</v>
      </c>
      <c r="B320" s="2">
        <v>45301</v>
      </c>
      <c r="C320" t="s">
        <v>60</v>
      </c>
      <c r="D320" t="s">
        <v>61</v>
      </c>
      <c r="E320">
        <v>0</v>
      </c>
      <c r="F320">
        <v>1167.53</v>
      </c>
      <c r="G320" t="s">
        <v>9</v>
      </c>
      <c r="H320" t="s">
        <v>34</v>
      </c>
      <c r="I320" t="s">
        <v>680</v>
      </c>
      <c r="J320" t="s">
        <v>42</v>
      </c>
      <c r="K320" s="4">
        <f>VLOOKUP(J320,Exchange_Rates!A:B,2,FALSE)</f>
        <v>0.66</v>
      </c>
      <c r="L320" s="4">
        <f t="shared" si="16"/>
        <v>0</v>
      </c>
      <c r="M320" s="4">
        <f t="shared" si="17"/>
        <v>770.56979999999999</v>
      </c>
      <c r="N320" s="4">
        <f t="shared" si="18"/>
        <v>2024</v>
      </c>
      <c r="O320" s="4">
        <f t="shared" si="19"/>
        <v>1</v>
      </c>
    </row>
    <row r="321" spans="1:15" x14ac:dyDescent="0.25">
      <c r="A321" t="s">
        <v>681</v>
      </c>
      <c r="B321" s="2">
        <v>45340</v>
      </c>
      <c r="C321" t="s">
        <v>49</v>
      </c>
      <c r="D321" t="s">
        <v>50</v>
      </c>
      <c r="E321">
        <v>1808.37</v>
      </c>
      <c r="F321">
        <v>0</v>
      </c>
      <c r="G321" t="s">
        <v>8</v>
      </c>
      <c r="H321" t="s">
        <v>40</v>
      </c>
      <c r="I321" t="s">
        <v>682</v>
      </c>
      <c r="J321" t="s">
        <v>64</v>
      </c>
      <c r="K321" s="4">
        <f>VLOOKUP(J321,Exchange_Rates!A:B,2,FALSE)</f>
        <v>0.73</v>
      </c>
      <c r="L321" s="4">
        <f t="shared" si="16"/>
        <v>1320.1100999999999</v>
      </c>
      <c r="M321" s="4">
        <f t="shared" si="17"/>
        <v>0</v>
      </c>
      <c r="N321" s="4">
        <f t="shared" si="18"/>
        <v>2024</v>
      </c>
      <c r="O321" s="4">
        <f t="shared" si="19"/>
        <v>1</v>
      </c>
    </row>
    <row r="322" spans="1:15" x14ac:dyDescent="0.25">
      <c r="A322" t="s">
        <v>683</v>
      </c>
      <c r="B322" s="2">
        <v>45416</v>
      </c>
      <c r="C322" t="s">
        <v>24</v>
      </c>
      <c r="D322" t="s">
        <v>25</v>
      </c>
      <c r="E322">
        <v>0</v>
      </c>
      <c r="F322">
        <v>3683.59</v>
      </c>
      <c r="G322" t="s">
        <v>9</v>
      </c>
      <c r="H322" t="s">
        <v>51</v>
      </c>
      <c r="I322" t="s">
        <v>684</v>
      </c>
      <c r="J322" t="s">
        <v>64</v>
      </c>
      <c r="K322" s="4">
        <f>VLOOKUP(J322,Exchange_Rates!A:B,2,FALSE)</f>
        <v>0.73</v>
      </c>
      <c r="L322" s="4">
        <f t="shared" si="16"/>
        <v>0</v>
      </c>
      <c r="M322" s="4">
        <f t="shared" si="17"/>
        <v>2689.0207</v>
      </c>
      <c r="N322" s="4">
        <f t="shared" si="18"/>
        <v>2024</v>
      </c>
      <c r="O322" s="4">
        <f t="shared" si="19"/>
        <v>2</v>
      </c>
    </row>
    <row r="323" spans="1:15" x14ac:dyDescent="0.25">
      <c r="A323" t="s">
        <v>685</v>
      </c>
      <c r="B323" s="2">
        <v>45023</v>
      </c>
      <c r="C323" t="s">
        <v>60</v>
      </c>
      <c r="D323" t="s">
        <v>61</v>
      </c>
      <c r="E323">
        <v>0</v>
      </c>
      <c r="F323">
        <v>2268.92</v>
      </c>
      <c r="G323" t="s">
        <v>8</v>
      </c>
      <c r="H323" t="s">
        <v>26</v>
      </c>
      <c r="I323" t="s">
        <v>686</v>
      </c>
      <c r="J323" t="s">
        <v>28</v>
      </c>
      <c r="K323" s="4">
        <f>VLOOKUP(J323,Exchange_Rates!A:B,2,FALSE)</f>
        <v>1.27</v>
      </c>
      <c r="L323" s="4">
        <f t="shared" ref="L323:L386" si="20">E323*K323</f>
        <v>0</v>
      </c>
      <c r="M323" s="4">
        <f t="shared" ref="M323:M386" si="21">F323*K323</f>
        <v>2881.5284000000001</v>
      </c>
      <c r="N323" s="4">
        <f t="shared" ref="N323:N386" si="22">YEAR(B323)</f>
        <v>2023</v>
      </c>
      <c r="O323" s="4">
        <f t="shared" ref="O323:O386" si="23">ROUNDUP(MONTH(B323)/3,0)</f>
        <v>2</v>
      </c>
    </row>
    <row r="324" spans="1:15" x14ac:dyDescent="0.25">
      <c r="A324" t="s">
        <v>687</v>
      </c>
      <c r="B324" s="2">
        <v>45317</v>
      </c>
      <c r="C324" t="s">
        <v>38</v>
      </c>
      <c r="D324" t="s">
        <v>39</v>
      </c>
      <c r="E324">
        <v>791.64</v>
      </c>
      <c r="F324">
        <v>0</v>
      </c>
      <c r="G324" t="s">
        <v>8</v>
      </c>
      <c r="H324" t="s">
        <v>51</v>
      </c>
      <c r="I324" t="s">
        <v>688</v>
      </c>
      <c r="J324" t="s">
        <v>64</v>
      </c>
      <c r="K324" s="4">
        <f>VLOOKUP(J324,Exchange_Rates!A:B,2,FALSE)</f>
        <v>0.73</v>
      </c>
      <c r="L324" s="4">
        <f t="shared" si="20"/>
        <v>577.8972</v>
      </c>
      <c r="M324" s="4">
        <f t="shared" si="21"/>
        <v>0</v>
      </c>
      <c r="N324" s="4">
        <f t="shared" si="22"/>
        <v>2024</v>
      </c>
      <c r="O324" s="4">
        <f t="shared" si="23"/>
        <v>1</v>
      </c>
    </row>
    <row r="325" spans="1:15" x14ac:dyDescent="0.25">
      <c r="A325" t="s">
        <v>689</v>
      </c>
      <c r="B325" s="2">
        <v>45517</v>
      </c>
      <c r="C325" t="s">
        <v>24</v>
      </c>
      <c r="D325" t="s">
        <v>25</v>
      </c>
      <c r="E325">
        <v>0</v>
      </c>
      <c r="F325">
        <v>381.77</v>
      </c>
      <c r="G325" t="s">
        <v>13</v>
      </c>
      <c r="H325" t="s">
        <v>62</v>
      </c>
      <c r="I325" t="s">
        <v>690</v>
      </c>
      <c r="J325" t="s">
        <v>28</v>
      </c>
      <c r="K325" s="4">
        <f>VLOOKUP(J325,Exchange_Rates!A:B,2,FALSE)</f>
        <v>1.27</v>
      </c>
      <c r="L325" s="4">
        <f t="shared" si="20"/>
        <v>0</v>
      </c>
      <c r="M325" s="4">
        <f t="shared" si="21"/>
        <v>484.84789999999998</v>
      </c>
      <c r="N325" s="4">
        <f t="shared" si="22"/>
        <v>2024</v>
      </c>
      <c r="O325" s="4">
        <f t="shared" si="23"/>
        <v>3</v>
      </c>
    </row>
    <row r="326" spans="1:15" x14ac:dyDescent="0.25">
      <c r="A326" t="s">
        <v>691</v>
      </c>
      <c r="B326" s="2">
        <v>44972</v>
      </c>
      <c r="C326" t="s">
        <v>38</v>
      </c>
      <c r="D326" t="s">
        <v>39</v>
      </c>
      <c r="E326">
        <v>603.09</v>
      </c>
      <c r="F326">
        <v>0</v>
      </c>
      <c r="G326" t="s">
        <v>10</v>
      </c>
      <c r="H326" t="s">
        <v>51</v>
      </c>
      <c r="I326" t="s">
        <v>692</v>
      </c>
      <c r="J326" t="s">
        <v>45</v>
      </c>
      <c r="K326" s="4">
        <f>VLOOKUP(J326,Exchange_Rates!A:B,2,FALSE)</f>
        <v>1</v>
      </c>
      <c r="L326" s="4">
        <f t="shared" si="20"/>
        <v>603.09</v>
      </c>
      <c r="M326" s="4">
        <f t="shared" si="21"/>
        <v>0</v>
      </c>
      <c r="N326" s="4">
        <f t="shared" si="22"/>
        <v>2023</v>
      </c>
      <c r="O326" s="4">
        <f t="shared" si="23"/>
        <v>1</v>
      </c>
    </row>
    <row r="327" spans="1:15" x14ac:dyDescent="0.25">
      <c r="A327" t="s">
        <v>693</v>
      </c>
      <c r="B327" s="2">
        <v>45251</v>
      </c>
      <c r="C327" t="s">
        <v>30</v>
      </c>
      <c r="D327" t="s">
        <v>31</v>
      </c>
      <c r="E327">
        <v>76.959999999999994</v>
      </c>
      <c r="F327">
        <v>0</v>
      </c>
      <c r="G327" t="s">
        <v>8</v>
      </c>
      <c r="H327" t="s">
        <v>40</v>
      </c>
      <c r="I327" t="s">
        <v>694</v>
      </c>
      <c r="J327" t="s">
        <v>28</v>
      </c>
      <c r="K327" s="4">
        <f>VLOOKUP(J327,Exchange_Rates!A:B,2,FALSE)</f>
        <v>1.27</v>
      </c>
      <c r="L327" s="4">
        <f t="shared" si="20"/>
        <v>97.739199999999997</v>
      </c>
      <c r="M327" s="4">
        <f t="shared" si="21"/>
        <v>0</v>
      </c>
      <c r="N327" s="4">
        <f t="shared" si="22"/>
        <v>2023</v>
      </c>
      <c r="O327" s="4">
        <f t="shared" si="23"/>
        <v>4</v>
      </c>
    </row>
    <row r="328" spans="1:15" x14ac:dyDescent="0.25">
      <c r="A328" t="s">
        <v>695</v>
      </c>
      <c r="B328" s="2">
        <v>45243</v>
      </c>
      <c r="C328" t="s">
        <v>38</v>
      </c>
      <c r="D328" t="s">
        <v>39</v>
      </c>
      <c r="E328">
        <v>870.26</v>
      </c>
      <c r="F328">
        <v>0</v>
      </c>
      <c r="G328" t="s">
        <v>13</v>
      </c>
      <c r="H328" t="s">
        <v>40</v>
      </c>
      <c r="I328" t="s">
        <v>696</v>
      </c>
      <c r="J328" t="s">
        <v>64</v>
      </c>
      <c r="K328" s="4">
        <f>VLOOKUP(J328,Exchange_Rates!A:B,2,FALSE)</f>
        <v>0.73</v>
      </c>
      <c r="L328" s="4">
        <f t="shared" si="20"/>
        <v>635.28980000000001</v>
      </c>
      <c r="M328" s="4">
        <f t="shared" si="21"/>
        <v>0</v>
      </c>
      <c r="N328" s="4">
        <f t="shared" si="22"/>
        <v>2023</v>
      </c>
      <c r="O328" s="4">
        <f t="shared" si="23"/>
        <v>4</v>
      </c>
    </row>
    <row r="329" spans="1:15" x14ac:dyDescent="0.25">
      <c r="A329" t="s">
        <v>697</v>
      </c>
      <c r="B329" s="2">
        <v>45328</v>
      </c>
      <c r="C329" t="s">
        <v>24</v>
      </c>
      <c r="D329" t="s">
        <v>25</v>
      </c>
      <c r="E329">
        <v>0</v>
      </c>
      <c r="F329">
        <v>195.85</v>
      </c>
      <c r="G329" t="s">
        <v>13</v>
      </c>
      <c r="H329" t="s">
        <v>34</v>
      </c>
      <c r="I329" t="s">
        <v>698</v>
      </c>
      <c r="J329" t="s">
        <v>42</v>
      </c>
      <c r="K329" s="4">
        <f>VLOOKUP(J329,Exchange_Rates!A:B,2,FALSE)</f>
        <v>0.66</v>
      </c>
      <c r="L329" s="4">
        <f t="shared" si="20"/>
        <v>0</v>
      </c>
      <c r="M329" s="4">
        <f t="shared" si="21"/>
        <v>129.261</v>
      </c>
      <c r="N329" s="4">
        <f t="shared" si="22"/>
        <v>2024</v>
      </c>
      <c r="O329" s="4">
        <f t="shared" si="23"/>
        <v>1</v>
      </c>
    </row>
    <row r="330" spans="1:15" x14ac:dyDescent="0.25">
      <c r="A330" t="s">
        <v>699</v>
      </c>
      <c r="B330" s="2">
        <v>45427</v>
      </c>
      <c r="C330" t="s">
        <v>24</v>
      </c>
      <c r="D330" t="s">
        <v>25</v>
      </c>
      <c r="E330">
        <v>0</v>
      </c>
      <c r="F330">
        <v>3924.16</v>
      </c>
      <c r="G330" t="s">
        <v>8</v>
      </c>
      <c r="H330" t="s">
        <v>26</v>
      </c>
      <c r="I330" t="s">
        <v>700</v>
      </c>
      <c r="J330" t="s">
        <v>42</v>
      </c>
      <c r="K330" s="4">
        <f>VLOOKUP(J330,Exchange_Rates!A:B,2,FALSE)</f>
        <v>0.66</v>
      </c>
      <c r="L330" s="4">
        <f t="shared" si="20"/>
        <v>0</v>
      </c>
      <c r="M330" s="4">
        <f t="shared" si="21"/>
        <v>2589.9456</v>
      </c>
      <c r="N330" s="4">
        <f t="shared" si="22"/>
        <v>2024</v>
      </c>
      <c r="O330" s="4">
        <f t="shared" si="23"/>
        <v>2</v>
      </c>
    </row>
    <row r="331" spans="1:15" x14ac:dyDescent="0.25">
      <c r="A331" t="s">
        <v>701</v>
      </c>
      <c r="B331" s="2">
        <v>45783</v>
      </c>
      <c r="C331" t="s">
        <v>49</v>
      </c>
      <c r="D331" t="s">
        <v>50</v>
      </c>
      <c r="E331">
        <v>745.46</v>
      </c>
      <c r="F331">
        <v>0</v>
      </c>
      <c r="G331" t="s">
        <v>8</v>
      </c>
      <c r="H331" t="s">
        <v>26</v>
      </c>
      <c r="I331" t="s">
        <v>702</v>
      </c>
      <c r="J331" t="s">
        <v>36</v>
      </c>
      <c r="K331" s="4">
        <f>VLOOKUP(J331,Exchange_Rates!A:B,2,FALSE)</f>
        <v>1.08</v>
      </c>
      <c r="L331" s="4">
        <f t="shared" si="20"/>
        <v>805.09680000000014</v>
      </c>
      <c r="M331" s="4">
        <f t="shared" si="21"/>
        <v>0</v>
      </c>
      <c r="N331" s="4">
        <f t="shared" si="22"/>
        <v>2025</v>
      </c>
      <c r="O331" s="4">
        <f t="shared" si="23"/>
        <v>2</v>
      </c>
    </row>
    <row r="332" spans="1:15" x14ac:dyDescent="0.25">
      <c r="A332" t="s">
        <v>703</v>
      </c>
      <c r="B332" s="2">
        <v>45238</v>
      </c>
      <c r="C332" t="s">
        <v>24</v>
      </c>
      <c r="D332" t="s">
        <v>25</v>
      </c>
      <c r="E332">
        <v>0</v>
      </c>
      <c r="F332">
        <v>2579.5</v>
      </c>
      <c r="G332" t="s">
        <v>11</v>
      </c>
      <c r="H332" t="s">
        <v>34</v>
      </c>
      <c r="I332" t="s">
        <v>704</v>
      </c>
      <c r="J332" t="s">
        <v>36</v>
      </c>
      <c r="K332" s="4">
        <f>VLOOKUP(J332,Exchange_Rates!A:B,2,FALSE)</f>
        <v>1.08</v>
      </c>
      <c r="L332" s="4">
        <f t="shared" si="20"/>
        <v>0</v>
      </c>
      <c r="M332" s="4">
        <f t="shared" si="21"/>
        <v>2785.86</v>
      </c>
      <c r="N332" s="4">
        <f t="shared" si="22"/>
        <v>2023</v>
      </c>
      <c r="O332" s="4">
        <f t="shared" si="23"/>
        <v>4</v>
      </c>
    </row>
    <row r="333" spans="1:15" x14ac:dyDescent="0.25">
      <c r="A333" t="s">
        <v>705</v>
      </c>
      <c r="B333" s="2">
        <v>45570</v>
      </c>
      <c r="C333" t="s">
        <v>30</v>
      </c>
      <c r="D333" t="s">
        <v>31</v>
      </c>
      <c r="E333">
        <v>1763.39</v>
      </c>
      <c r="F333">
        <v>0</v>
      </c>
      <c r="G333" t="s">
        <v>8</v>
      </c>
      <c r="H333" t="s">
        <v>62</v>
      </c>
      <c r="I333" t="s">
        <v>706</v>
      </c>
      <c r="J333" t="s">
        <v>45</v>
      </c>
      <c r="K333" s="4">
        <f>VLOOKUP(J333,Exchange_Rates!A:B,2,FALSE)</f>
        <v>1</v>
      </c>
      <c r="L333" s="4">
        <f t="shared" si="20"/>
        <v>1763.39</v>
      </c>
      <c r="M333" s="4">
        <f t="shared" si="21"/>
        <v>0</v>
      </c>
      <c r="N333" s="4">
        <f t="shared" si="22"/>
        <v>2024</v>
      </c>
      <c r="O333" s="4">
        <f t="shared" si="23"/>
        <v>4</v>
      </c>
    </row>
    <row r="334" spans="1:15" x14ac:dyDescent="0.25">
      <c r="A334" t="s">
        <v>707</v>
      </c>
      <c r="B334" s="2">
        <v>45566</v>
      </c>
      <c r="C334" t="s">
        <v>30</v>
      </c>
      <c r="D334" t="s">
        <v>31</v>
      </c>
      <c r="E334">
        <v>957.72</v>
      </c>
      <c r="F334">
        <v>0</v>
      </c>
      <c r="G334" t="s">
        <v>8</v>
      </c>
      <c r="H334" t="s">
        <v>40</v>
      </c>
      <c r="I334" t="s">
        <v>708</v>
      </c>
      <c r="J334" t="s">
        <v>36</v>
      </c>
      <c r="K334" s="4">
        <f>VLOOKUP(J334,Exchange_Rates!A:B,2,FALSE)</f>
        <v>1.08</v>
      </c>
      <c r="L334" s="4">
        <f t="shared" si="20"/>
        <v>1034.3376000000001</v>
      </c>
      <c r="M334" s="4">
        <f t="shared" si="21"/>
        <v>0</v>
      </c>
      <c r="N334" s="4">
        <f t="shared" si="22"/>
        <v>2024</v>
      </c>
      <c r="O334" s="4">
        <f t="shared" si="23"/>
        <v>4</v>
      </c>
    </row>
    <row r="335" spans="1:15" x14ac:dyDescent="0.25">
      <c r="A335" t="s">
        <v>709</v>
      </c>
      <c r="B335" s="2">
        <v>45196</v>
      </c>
      <c r="C335" t="s">
        <v>24</v>
      </c>
      <c r="D335" t="s">
        <v>25</v>
      </c>
      <c r="E335">
        <v>0</v>
      </c>
      <c r="F335">
        <v>312.52</v>
      </c>
      <c r="G335" t="s">
        <v>11</v>
      </c>
      <c r="H335" t="s">
        <v>40</v>
      </c>
      <c r="I335" t="s">
        <v>710</v>
      </c>
      <c r="J335" t="s">
        <v>45</v>
      </c>
      <c r="K335" s="4">
        <f>VLOOKUP(J335,Exchange_Rates!A:B,2,FALSE)</f>
        <v>1</v>
      </c>
      <c r="L335" s="4">
        <f t="shared" si="20"/>
        <v>0</v>
      </c>
      <c r="M335" s="4">
        <f t="shared" si="21"/>
        <v>312.52</v>
      </c>
      <c r="N335" s="4">
        <f t="shared" si="22"/>
        <v>2023</v>
      </c>
      <c r="O335" s="4">
        <f t="shared" si="23"/>
        <v>3</v>
      </c>
    </row>
    <row r="336" spans="1:15" x14ac:dyDescent="0.25">
      <c r="A336" t="s">
        <v>711</v>
      </c>
      <c r="B336" s="2">
        <v>45232</v>
      </c>
      <c r="C336" t="s">
        <v>60</v>
      </c>
      <c r="D336" t="s">
        <v>61</v>
      </c>
      <c r="E336">
        <v>0</v>
      </c>
      <c r="F336">
        <v>4032.89</v>
      </c>
      <c r="G336" t="s">
        <v>9</v>
      </c>
      <c r="H336" t="s">
        <v>34</v>
      </c>
      <c r="I336" t="s">
        <v>712</v>
      </c>
      <c r="J336" t="s">
        <v>28</v>
      </c>
      <c r="K336" s="4">
        <f>VLOOKUP(J336,Exchange_Rates!A:B,2,FALSE)</f>
        <v>1.27</v>
      </c>
      <c r="L336" s="4">
        <f t="shared" si="20"/>
        <v>0</v>
      </c>
      <c r="M336" s="4">
        <f t="shared" si="21"/>
        <v>5121.7703000000001</v>
      </c>
      <c r="N336" s="4">
        <f t="shared" si="22"/>
        <v>2023</v>
      </c>
      <c r="O336" s="4">
        <f t="shared" si="23"/>
        <v>4</v>
      </c>
    </row>
    <row r="337" spans="1:15" x14ac:dyDescent="0.25">
      <c r="A337" t="s">
        <v>713</v>
      </c>
      <c r="B337" s="2">
        <v>45316</v>
      </c>
      <c r="C337" t="s">
        <v>30</v>
      </c>
      <c r="D337" t="s">
        <v>31</v>
      </c>
      <c r="E337">
        <v>822.42</v>
      </c>
      <c r="F337">
        <v>0</v>
      </c>
      <c r="G337" t="s">
        <v>8</v>
      </c>
      <c r="H337" t="s">
        <v>40</v>
      </c>
      <c r="I337" t="s">
        <v>714</v>
      </c>
      <c r="J337" t="s">
        <v>45</v>
      </c>
      <c r="K337" s="4">
        <f>VLOOKUP(J337,Exchange_Rates!A:B,2,FALSE)</f>
        <v>1</v>
      </c>
      <c r="L337" s="4">
        <f t="shared" si="20"/>
        <v>822.42</v>
      </c>
      <c r="M337" s="4">
        <f t="shared" si="21"/>
        <v>0</v>
      </c>
      <c r="N337" s="4">
        <f t="shared" si="22"/>
        <v>2024</v>
      </c>
      <c r="O337" s="4">
        <f t="shared" si="23"/>
        <v>1</v>
      </c>
    </row>
    <row r="338" spans="1:15" x14ac:dyDescent="0.25">
      <c r="A338" t="s">
        <v>715</v>
      </c>
      <c r="B338" s="2">
        <v>44976</v>
      </c>
      <c r="C338" t="s">
        <v>60</v>
      </c>
      <c r="D338" t="s">
        <v>61</v>
      </c>
      <c r="E338">
        <v>0</v>
      </c>
      <c r="F338">
        <v>2096.4299999999998</v>
      </c>
      <c r="G338" t="s">
        <v>12</v>
      </c>
      <c r="H338" t="s">
        <v>62</v>
      </c>
      <c r="I338" t="s">
        <v>716</v>
      </c>
      <c r="J338" t="s">
        <v>36</v>
      </c>
      <c r="K338" s="4">
        <f>VLOOKUP(J338,Exchange_Rates!A:B,2,FALSE)</f>
        <v>1.08</v>
      </c>
      <c r="L338" s="4">
        <f t="shared" si="20"/>
        <v>0</v>
      </c>
      <c r="M338" s="4">
        <f t="shared" si="21"/>
        <v>2264.1444000000001</v>
      </c>
      <c r="N338" s="4">
        <f t="shared" si="22"/>
        <v>2023</v>
      </c>
      <c r="O338" s="4">
        <f t="shared" si="23"/>
        <v>1</v>
      </c>
    </row>
    <row r="339" spans="1:15" x14ac:dyDescent="0.25">
      <c r="A339" t="s">
        <v>717</v>
      </c>
      <c r="B339" s="2">
        <v>45599</v>
      </c>
      <c r="C339" t="s">
        <v>24</v>
      </c>
      <c r="D339" t="s">
        <v>25</v>
      </c>
      <c r="E339">
        <v>0</v>
      </c>
      <c r="F339">
        <v>2254.64</v>
      </c>
      <c r="G339" t="s">
        <v>12</v>
      </c>
      <c r="H339" t="s">
        <v>26</v>
      </c>
      <c r="I339" t="s">
        <v>718</v>
      </c>
      <c r="J339" t="s">
        <v>36</v>
      </c>
      <c r="K339" s="4">
        <f>VLOOKUP(J339,Exchange_Rates!A:B,2,FALSE)</f>
        <v>1.08</v>
      </c>
      <c r="L339" s="4">
        <f t="shared" si="20"/>
        <v>0</v>
      </c>
      <c r="M339" s="4">
        <f t="shared" si="21"/>
        <v>2435.0111999999999</v>
      </c>
      <c r="N339" s="4">
        <f t="shared" si="22"/>
        <v>2024</v>
      </c>
      <c r="O339" s="4">
        <f t="shared" si="23"/>
        <v>4</v>
      </c>
    </row>
    <row r="340" spans="1:15" x14ac:dyDescent="0.25">
      <c r="A340" t="s">
        <v>719</v>
      </c>
      <c r="B340" s="2">
        <v>45554</v>
      </c>
      <c r="C340" t="s">
        <v>49</v>
      </c>
      <c r="D340" t="s">
        <v>50</v>
      </c>
      <c r="E340">
        <v>1898.13</v>
      </c>
      <c r="F340">
        <v>0</v>
      </c>
      <c r="G340" t="s">
        <v>13</v>
      </c>
      <c r="H340" t="s">
        <v>51</v>
      </c>
      <c r="I340" t="s">
        <v>720</v>
      </c>
      <c r="J340" t="s">
        <v>42</v>
      </c>
      <c r="K340" s="4">
        <f>VLOOKUP(J340,Exchange_Rates!A:B,2,FALSE)</f>
        <v>0.66</v>
      </c>
      <c r="L340" s="4">
        <f t="shared" si="20"/>
        <v>1252.7658000000001</v>
      </c>
      <c r="M340" s="4">
        <f t="shared" si="21"/>
        <v>0</v>
      </c>
      <c r="N340" s="4">
        <f t="shared" si="22"/>
        <v>2024</v>
      </c>
      <c r="O340" s="4">
        <f t="shared" si="23"/>
        <v>3</v>
      </c>
    </row>
    <row r="341" spans="1:15" x14ac:dyDescent="0.25">
      <c r="A341" t="s">
        <v>721</v>
      </c>
      <c r="B341" s="2">
        <v>45203</v>
      </c>
      <c r="C341" t="s">
        <v>30</v>
      </c>
      <c r="D341" t="s">
        <v>31</v>
      </c>
      <c r="E341">
        <v>92.89</v>
      </c>
      <c r="F341">
        <v>0</v>
      </c>
      <c r="G341" t="s">
        <v>10</v>
      </c>
      <c r="H341" t="s">
        <v>62</v>
      </c>
      <c r="I341" t="s">
        <v>722</v>
      </c>
      <c r="J341" t="s">
        <v>36</v>
      </c>
      <c r="K341" s="4">
        <f>VLOOKUP(J341,Exchange_Rates!A:B,2,FALSE)</f>
        <v>1.08</v>
      </c>
      <c r="L341" s="4">
        <f t="shared" si="20"/>
        <v>100.3212</v>
      </c>
      <c r="M341" s="4">
        <f t="shared" si="21"/>
        <v>0</v>
      </c>
      <c r="N341" s="4">
        <f t="shared" si="22"/>
        <v>2023</v>
      </c>
      <c r="O341" s="4">
        <f t="shared" si="23"/>
        <v>4</v>
      </c>
    </row>
    <row r="342" spans="1:15" x14ac:dyDescent="0.25">
      <c r="A342" t="s">
        <v>723</v>
      </c>
      <c r="B342" s="2">
        <v>45637</v>
      </c>
      <c r="C342" t="s">
        <v>30</v>
      </c>
      <c r="D342" t="s">
        <v>31</v>
      </c>
      <c r="E342">
        <v>192.59</v>
      </c>
      <c r="F342">
        <v>0</v>
      </c>
      <c r="G342" t="s">
        <v>10</v>
      </c>
      <c r="H342" t="s">
        <v>40</v>
      </c>
      <c r="I342" t="s">
        <v>724</v>
      </c>
      <c r="J342" t="s">
        <v>36</v>
      </c>
      <c r="K342" s="4">
        <f>VLOOKUP(J342,Exchange_Rates!A:B,2,FALSE)</f>
        <v>1.08</v>
      </c>
      <c r="L342" s="4">
        <f t="shared" si="20"/>
        <v>207.99720000000002</v>
      </c>
      <c r="M342" s="4">
        <f t="shared" si="21"/>
        <v>0</v>
      </c>
      <c r="N342" s="4">
        <f t="shared" si="22"/>
        <v>2024</v>
      </c>
      <c r="O342" s="4">
        <f t="shared" si="23"/>
        <v>4</v>
      </c>
    </row>
    <row r="343" spans="1:15" x14ac:dyDescent="0.25">
      <c r="A343" t="s">
        <v>725</v>
      </c>
      <c r="B343" s="2">
        <v>45311</v>
      </c>
      <c r="C343" t="s">
        <v>24</v>
      </c>
      <c r="D343" t="s">
        <v>25</v>
      </c>
      <c r="E343">
        <v>0</v>
      </c>
      <c r="F343">
        <v>1924.88</v>
      </c>
      <c r="G343" t="s">
        <v>13</v>
      </c>
      <c r="H343" t="s">
        <v>62</v>
      </c>
      <c r="I343" t="s">
        <v>726</v>
      </c>
      <c r="J343" t="s">
        <v>64</v>
      </c>
      <c r="K343" s="4">
        <f>VLOOKUP(J343,Exchange_Rates!A:B,2,FALSE)</f>
        <v>0.73</v>
      </c>
      <c r="L343" s="4">
        <f t="shared" si="20"/>
        <v>0</v>
      </c>
      <c r="M343" s="4">
        <f t="shared" si="21"/>
        <v>1405.1623999999999</v>
      </c>
      <c r="N343" s="4">
        <f t="shared" si="22"/>
        <v>2024</v>
      </c>
      <c r="O343" s="4">
        <f t="shared" si="23"/>
        <v>1</v>
      </c>
    </row>
    <row r="344" spans="1:15" x14ac:dyDescent="0.25">
      <c r="A344" t="s">
        <v>727</v>
      </c>
      <c r="B344" s="2">
        <v>45050</v>
      </c>
      <c r="C344" t="s">
        <v>30</v>
      </c>
      <c r="D344" t="s">
        <v>31</v>
      </c>
      <c r="E344">
        <v>1161.96</v>
      </c>
      <c r="F344">
        <v>0</v>
      </c>
      <c r="G344" t="s">
        <v>9</v>
      </c>
      <c r="H344" t="s">
        <v>62</v>
      </c>
      <c r="I344" t="s">
        <v>728</v>
      </c>
      <c r="J344" t="s">
        <v>28</v>
      </c>
      <c r="K344" s="4">
        <f>VLOOKUP(J344,Exchange_Rates!A:B,2,FALSE)</f>
        <v>1.27</v>
      </c>
      <c r="L344" s="4">
        <f t="shared" si="20"/>
        <v>1475.6892</v>
      </c>
      <c r="M344" s="4">
        <f t="shared" si="21"/>
        <v>0</v>
      </c>
      <c r="N344" s="4">
        <f t="shared" si="22"/>
        <v>2023</v>
      </c>
      <c r="O344" s="4">
        <f t="shared" si="23"/>
        <v>2</v>
      </c>
    </row>
    <row r="345" spans="1:15" x14ac:dyDescent="0.25">
      <c r="A345" t="s">
        <v>729</v>
      </c>
      <c r="B345" s="2">
        <v>45580</v>
      </c>
      <c r="C345" t="s">
        <v>49</v>
      </c>
      <c r="D345" t="s">
        <v>50</v>
      </c>
      <c r="E345">
        <v>1693.2</v>
      </c>
      <c r="F345">
        <v>0</v>
      </c>
      <c r="G345" t="s">
        <v>10</v>
      </c>
      <c r="H345" t="s">
        <v>34</v>
      </c>
      <c r="I345" t="s">
        <v>730</v>
      </c>
      <c r="J345" t="s">
        <v>36</v>
      </c>
      <c r="K345" s="4">
        <f>VLOOKUP(J345,Exchange_Rates!A:B,2,FALSE)</f>
        <v>1.08</v>
      </c>
      <c r="L345" s="4">
        <f t="shared" si="20"/>
        <v>1828.6560000000002</v>
      </c>
      <c r="M345" s="4">
        <f t="shared" si="21"/>
        <v>0</v>
      </c>
      <c r="N345" s="4">
        <f t="shared" si="22"/>
        <v>2024</v>
      </c>
      <c r="O345" s="4">
        <f t="shared" si="23"/>
        <v>4</v>
      </c>
    </row>
    <row r="346" spans="1:15" x14ac:dyDescent="0.25">
      <c r="A346" t="s">
        <v>731</v>
      </c>
      <c r="B346" s="2">
        <v>45212</v>
      </c>
      <c r="C346" t="s">
        <v>60</v>
      </c>
      <c r="D346" t="s">
        <v>61</v>
      </c>
      <c r="E346">
        <v>0</v>
      </c>
      <c r="F346">
        <v>535.42999999999995</v>
      </c>
      <c r="G346" t="s">
        <v>11</v>
      </c>
      <c r="H346" t="s">
        <v>34</v>
      </c>
      <c r="I346" t="s">
        <v>732</v>
      </c>
      <c r="J346" t="s">
        <v>28</v>
      </c>
      <c r="K346" s="4">
        <f>VLOOKUP(J346,Exchange_Rates!A:B,2,FALSE)</f>
        <v>1.27</v>
      </c>
      <c r="L346" s="4">
        <f t="shared" si="20"/>
        <v>0</v>
      </c>
      <c r="M346" s="4">
        <f t="shared" si="21"/>
        <v>679.99609999999996</v>
      </c>
      <c r="N346" s="4">
        <f t="shared" si="22"/>
        <v>2023</v>
      </c>
      <c r="O346" s="4">
        <f t="shared" si="23"/>
        <v>4</v>
      </c>
    </row>
    <row r="347" spans="1:15" x14ac:dyDescent="0.25">
      <c r="A347" t="s">
        <v>733</v>
      </c>
      <c r="B347" s="2">
        <v>45506</v>
      </c>
      <c r="C347" t="s">
        <v>30</v>
      </c>
      <c r="D347" t="s">
        <v>31</v>
      </c>
      <c r="E347">
        <v>449.09</v>
      </c>
      <c r="F347">
        <v>0</v>
      </c>
      <c r="G347" t="s">
        <v>12</v>
      </c>
      <c r="H347" t="s">
        <v>62</v>
      </c>
      <c r="I347" t="s">
        <v>734</v>
      </c>
      <c r="J347" t="s">
        <v>28</v>
      </c>
      <c r="K347" s="4">
        <f>VLOOKUP(J347,Exchange_Rates!A:B,2,FALSE)</f>
        <v>1.27</v>
      </c>
      <c r="L347" s="4">
        <f t="shared" si="20"/>
        <v>570.34429999999998</v>
      </c>
      <c r="M347" s="4">
        <f t="shared" si="21"/>
        <v>0</v>
      </c>
      <c r="N347" s="4">
        <f t="shared" si="22"/>
        <v>2024</v>
      </c>
      <c r="O347" s="4">
        <f t="shared" si="23"/>
        <v>3</v>
      </c>
    </row>
    <row r="348" spans="1:15" x14ac:dyDescent="0.25">
      <c r="A348" t="s">
        <v>735</v>
      </c>
      <c r="B348" s="2">
        <v>45173</v>
      </c>
      <c r="C348" t="s">
        <v>49</v>
      </c>
      <c r="D348" t="s">
        <v>50</v>
      </c>
      <c r="E348">
        <v>938.21</v>
      </c>
      <c r="F348">
        <v>0</v>
      </c>
      <c r="G348" t="s">
        <v>9</v>
      </c>
      <c r="H348" t="s">
        <v>62</v>
      </c>
      <c r="I348" t="s">
        <v>736</v>
      </c>
      <c r="J348" t="s">
        <v>28</v>
      </c>
      <c r="K348" s="4">
        <f>VLOOKUP(J348,Exchange_Rates!A:B,2,FALSE)</f>
        <v>1.27</v>
      </c>
      <c r="L348" s="4">
        <f t="shared" si="20"/>
        <v>1191.5267000000001</v>
      </c>
      <c r="M348" s="4">
        <f t="shared" si="21"/>
        <v>0</v>
      </c>
      <c r="N348" s="4">
        <f t="shared" si="22"/>
        <v>2023</v>
      </c>
      <c r="O348" s="4">
        <f t="shared" si="23"/>
        <v>3</v>
      </c>
    </row>
    <row r="349" spans="1:15" x14ac:dyDescent="0.25">
      <c r="A349" t="s">
        <v>737</v>
      </c>
      <c r="B349" s="2">
        <v>45702</v>
      </c>
      <c r="C349" t="s">
        <v>49</v>
      </c>
      <c r="D349" t="s">
        <v>50</v>
      </c>
      <c r="E349">
        <v>131.84</v>
      </c>
      <c r="F349">
        <v>0</v>
      </c>
      <c r="G349" t="s">
        <v>13</v>
      </c>
      <c r="H349" t="s">
        <v>51</v>
      </c>
      <c r="I349" t="s">
        <v>738</v>
      </c>
      <c r="J349" t="s">
        <v>36</v>
      </c>
      <c r="K349" s="4">
        <f>VLOOKUP(J349,Exchange_Rates!A:B,2,FALSE)</f>
        <v>1.08</v>
      </c>
      <c r="L349" s="4">
        <f t="shared" si="20"/>
        <v>142.38720000000001</v>
      </c>
      <c r="M349" s="4">
        <f t="shared" si="21"/>
        <v>0</v>
      </c>
      <c r="N349" s="4">
        <f t="shared" si="22"/>
        <v>2025</v>
      </c>
      <c r="O349" s="4">
        <f t="shared" si="23"/>
        <v>1</v>
      </c>
    </row>
    <row r="350" spans="1:15" x14ac:dyDescent="0.25">
      <c r="A350" t="s">
        <v>739</v>
      </c>
      <c r="B350" s="2">
        <v>45183</v>
      </c>
      <c r="C350" t="s">
        <v>24</v>
      </c>
      <c r="D350" t="s">
        <v>25</v>
      </c>
      <c r="E350">
        <v>0</v>
      </c>
      <c r="F350">
        <v>3658.34</v>
      </c>
      <c r="G350" t="s">
        <v>10</v>
      </c>
      <c r="H350" t="s">
        <v>34</v>
      </c>
      <c r="I350" t="s">
        <v>740</v>
      </c>
      <c r="J350" t="s">
        <v>42</v>
      </c>
      <c r="K350" s="4">
        <f>VLOOKUP(J350,Exchange_Rates!A:B,2,FALSE)</f>
        <v>0.66</v>
      </c>
      <c r="L350" s="4">
        <f t="shared" si="20"/>
        <v>0</v>
      </c>
      <c r="M350" s="4">
        <f t="shared" si="21"/>
        <v>2414.5044000000003</v>
      </c>
      <c r="N350" s="4">
        <f t="shared" si="22"/>
        <v>2023</v>
      </c>
      <c r="O350" s="4">
        <f t="shared" si="23"/>
        <v>3</v>
      </c>
    </row>
    <row r="351" spans="1:15" x14ac:dyDescent="0.25">
      <c r="A351" t="s">
        <v>741</v>
      </c>
      <c r="B351" s="2">
        <v>45030</v>
      </c>
      <c r="C351" t="s">
        <v>30</v>
      </c>
      <c r="D351" t="s">
        <v>31</v>
      </c>
      <c r="E351">
        <v>509.89</v>
      </c>
      <c r="F351">
        <v>0</v>
      </c>
      <c r="G351" t="s">
        <v>9</v>
      </c>
      <c r="H351" t="s">
        <v>26</v>
      </c>
      <c r="I351" t="s">
        <v>742</v>
      </c>
      <c r="J351" t="s">
        <v>36</v>
      </c>
      <c r="K351" s="4">
        <f>VLOOKUP(J351,Exchange_Rates!A:B,2,FALSE)</f>
        <v>1.08</v>
      </c>
      <c r="L351" s="4">
        <f t="shared" si="20"/>
        <v>550.68119999999999</v>
      </c>
      <c r="M351" s="4">
        <f t="shared" si="21"/>
        <v>0</v>
      </c>
      <c r="N351" s="4">
        <f t="shared" si="22"/>
        <v>2023</v>
      </c>
      <c r="O351" s="4">
        <f t="shared" si="23"/>
        <v>2</v>
      </c>
    </row>
    <row r="352" spans="1:15" x14ac:dyDescent="0.25">
      <c r="A352" t="s">
        <v>743</v>
      </c>
      <c r="B352" s="2">
        <v>45521</v>
      </c>
      <c r="C352" t="s">
        <v>30</v>
      </c>
      <c r="D352" t="s">
        <v>31</v>
      </c>
      <c r="E352">
        <v>697.58</v>
      </c>
      <c r="F352">
        <v>0</v>
      </c>
      <c r="G352" t="s">
        <v>10</v>
      </c>
      <c r="H352" t="s">
        <v>51</v>
      </c>
      <c r="I352" t="s">
        <v>744</v>
      </c>
      <c r="J352" t="s">
        <v>64</v>
      </c>
      <c r="K352" s="4">
        <f>VLOOKUP(J352,Exchange_Rates!A:B,2,FALSE)</f>
        <v>0.73</v>
      </c>
      <c r="L352" s="4">
        <f t="shared" si="20"/>
        <v>509.23340000000002</v>
      </c>
      <c r="M352" s="4">
        <f t="shared" si="21"/>
        <v>0</v>
      </c>
      <c r="N352" s="4">
        <f t="shared" si="22"/>
        <v>2024</v>
      </c>
      <c r="O352" s="4">
        <f t="shared" si="23"/>
        <v>3</v>
      </c>
    </row>
    <row r="353" spans="1:15" x14ac:dyDescent="0.25">
      <c r="A353" t="s">
        <v>745</v>
      </c>
      <c r="B353" s="2">
        <v>45582</v>
      </c>
      <c r="C353" t="s">
        <v>49</v>
      </c>
      <c r="D353" t="s">
        <v>50</v>
      </c>
      <c r="E353">
        <v>1580.47</v>
      </c>
      <c r="F353">
        <v>0</v>
      </c>
      <c r="G353" t="s">
        <v>8</v>
      </c>
      <c r="H353" t="s">
        <v>62</v>
      </c>
      <c r="I353" t="s">
        <v>746</v>
      </c>
      <c r="J353" t="s">
        <v>42</v>
      </c>
      <c r="K353" s="4">
        <f>VLOOKUP(J353,Exchange_Rates!A:B,2,FALSE)</f>
        <v>0.66</v>
      </c>
      <c r="L353" s="4">
        <f t="shared" si="20"/>
        <v>1043.1102000000001</v>
      </c>
      <c r="M353" s="4">
        <f t="shared" si="21"/>
        <v>0</v>
      </c>
      <c r="N353" s="4">
        <f t="shared" si="22"/>
        <v>2024</v>
      </c>
      <c r="O353" s="4">
        <f t="shared" si="23"/>
        <v>4</v>
      </c>
    </row>
    <row r="354" spans="1:15" x14ac:dyDescent="0.25">
      <c r="A354" t="s">
        <v>747</v>
      </c>
      <c r="B354" s="2">
        <v>45308</v>
      </c>
      <c r="C354" t="s">
        <v>30</v>
      </c>
      <c r="D354" t="s">
        <v>31</v>
      </c>
      <c r="E354">
        <v>1567.36</v>
      </c>
      <c r="F354">
        <v>0</v>
      </c>
      <c r="G354" t="s">
        <v>8</v>
      </c>
      <c r="H354" t="s">
        <v>34</v>
      </c>
      <c r="I354" t="s">
        <v>748</v>
      </c>
      <c r="J354" t="s">
        <v>36</v>
      </c>
      <c r="K354" s="4">
        <f>VLOOKUP(J354,Exchange_Rates!A:B,2,FALSE)</f>
        <v>1.08</v>
      </c>
      <c r="L354" s="4">
        <f t="shared" si="20"/>
        <v>1692.7488000000001</v>
      </c>
      <c r="M354" s="4">
        <f t="shared" si="21"/>
        <v>0</v>
      </c>
      <c r="N354" s="4">
        <f t="shared" si="22"/>
        <v>2024</v>
      </c>
      <c r="O354" s="4">
        <f t="shared" si="23"/>
        <v>1</v>
      </c>
    </row>
    <row r="355" spans="1:15" x14ac:dyDescent="0.25">
      <c r="A355" t="s">
        <v>749</v>
      </c>
      <c r="B355" s="2">
        <v>45715</v>
      </c>
      <c r="C355" t="s">
        <v>49</v>
      </c>
      <c r="D355" t="s">
        <v>50</v>
      </c>
      <c r="E355">
        <v>443.79</v>
      </c>
      <c r="F355">
        <v>0</v>
      </c>
      <c r="G355" t="s">
        <v>9</v>
      </c>
      <c r="H355" t="s">
        <v>40</v>
      </c>
      <c r="I355" t="s">
        <v>750</v>
      </c>
      <c r="J355" t="s">
        <v>42</v>
      </c>
      <c r="K355" s="4">
        <f>VLOOKUP(J355,Exchange_Rates!A:B,2,FALSE)</f>
        <v>0.66</v>
      </c>
      <c r="L355" s="4">
        <f t="shared" si="20"/>
        <v>292.90140000000002</v>
      </c>
      <c r="M355" s="4">
        <f t="shared" si="21"/>
        <v>0</v>
      </c>
      <c r="N355" s="4">
        <f t="shared" si="22"/>
        <v>2025</v>
      </c>
      <c r="O355" s="4">
        <f t="shared" si="23"/>
        <v>1</v>
      </c>
    </row>
    <row r="356" spans="1:15" x14ac:dyDescent="0.25">
      <c r="A356" t="s">
        <v>751</v>
      </c>
      <c r="B356" s="2">
        <v>45232</v>
      </c>
      <c r="C356" t="s">
        <v>49</v>
      </c>
      <c r="D356" t="s">
        <v>50</v>
      </c>
      <c r="E356">
        <v>889.34</v>
      </c>
      <c r="F356">
        <v>0</v>
      </c>
      <c r="G356" t="s">
        <v>10</v>
      </c>
      <c r="H356" t="s">
        <v>26</v>
      </c>
      <c r="I356" t="s">
        <v>752</v>
      </c>
      <c r="J356" t="s">
        <v>45</v>
      </c>
      <c r="K356" s="4">
        <f>VLOOKUP(J356,Exchange_Rates!A:B,2,FALSE)</f>
        <v>1</v>
      </c>
      <c r="L356" s="4">
        <f t="shared" si="20"/>
        <v>889.34</v>
      </c>
      <c r="M356" s="4">
        <f t="shared" si="21"/>
        <v>0</v>
      </c>
      <c r="N356" s="4">
        <f t="shared" si="22"/>
        <v>2023</v>
      </c>
      <c r="O356" s="4">
        <f t="shared" si="23"/>
        <v>4</v>
      </c>
    </row>
    <row r="357" spans="1:15" x14ac:dyDescent="0.25">
      <c r="A357" t="s">
        <v>753</v>
      </c>
      <c r="B357" s="2">
        <v>45801</v>
      </c>
      <c r="C357" t="s">
        <v>60</v>
      </c>
      <c r="D357" t="s">
        <v>61</v>
      </c>
      <c r="E357">
        <v>0</v>
      </c>
      <c r="F357">
        <v>2239.96</v>
      </c>
      <c r="G357" t="s">
        <v>8</v>
      </c>
      <c r="H357" t="s">
        <v>26</v>
      </c>
      <c r="I357" t="s">
        <v>754</v>
      </c>
      <c r="J357" t="s">
        <v>45</v>
      </c>
      <c r="K357" s="4">
        <f>VLOOKUP(J357,Exchange_Rates!A:B,2,FALSE)</f>
        <v>1</v>
      </c>
      <c r="L357" s="4">
        <f t="shared" si="20"/>
        <v>0</v>
      </c>
      <c r="M357" s="4">
        <f t="shared" si="21"/>
        <v>2239.96</v>
      </c>
      <c r="N357" s="4">
        <f t="shared" si="22"/>
        <v>2025</v>
      </c>
      <c r="O357" s="4">
        <f t="shared" si="23"/>
        <v>2</v>
      </c>
    </row>
    <row r="358" spans="1:15" x14ac:dyDescent="0.25">
      <c r="A358" t="s">
        <v>755</v>
      </c>
      <c r="B358" s="2">
        <v>45293</v>
      </c>
      <c r="C358" t="s">
        <v>49</v>
      </c>
      <c r="D358" t="s">
        <v>50</v>
      </c>
      <c r="E358">
        <v>1291.24</v>
      </c>
      <c r="F358">
        <v>0</v>
      </c>
      <c r="G358" t="s">
        <v>8</v>
      </c>
      <c r="H358" t="s">
        <v>40</v>
      </c>
      <c r="I358" t="s">
        <v>756</v>
      </c>
      <c r="J358" t="s">
        <v>42</v>
      </c>
      <c r="K358" s="4">
        <f>VLOOKUP(J358,Exchange_Rates!A:B,2,FALSE)</f>
        <v>0.66</v>
      </c>
      <c r="L358" s="4">
        <f t="shared" si="20"/>
        <v>852.21840000000009</v>
      </c>
      <c r="M358" s="4">
        <f t="shared" si="21"/>
        <v>0</v>
      </c>
      <c r="N358" s="4">
        <f t="shared" si="22"/>
        <v>2024</v>
      </c>
      <c r="O358" s="4">
        <f t="shared" si="23"/>
        <v>1</v>
      </c>
    </row>
    <row r="359" spans="1:15" x14ac:dyDescent="0.25">
      <c r="A359" t="s">
        <v>757</v>
      </c>
      <c r="B359" s="2">
        <v>45141</v>
      </c>
      <c r="C359" t="s">
        <v>49</v>
      </c>
      <c r="D359" t="s">
        <v>50</v>
      </c>
      <c r="E359">
        <v>397.07</v>
      </c>
      <c r="F359">
        <v>0</v>
      </c>
      <c r="G359" t="s">
        <v>8</v>
      </c>
      <c r="H359" t="s">
        <v>34</v>
      </c>
      <c r="I359" t="s">
        <v>758</v>
      </c>
      <c r="J359" t="s">
        <v>64</v>
      </c>
      <c r="K359" s="4">
        <f>VLOOKUP(J359,Exchange_Rates!A:B,2,FALSE)</f>
        <v>0.73</v>
      </c>
      <c r="L359" s="4">
        <f t="shared" si="20"/>
        <v>289.86109999999996</v>
      </c>
      <c r="M359" s="4">
        <f t="shared" si="21"/>
        <v>0</v>
      </c>
      <c r="N359" s="4">
        <f t="shared" si="22"/>
        <v>2023</v>
      </c>
      <c r="O359" s="4">
        <f t="shared" si="23"/>
        <v>3</v>
      </c>
    </row>
    <row r="360" spans="1:15" x14ac:dyDescent="0.25">
      <c r="A360" t="s">
        <v>759</v>
      </c>
      <c r="B360" s="2">
        <v>45525</v>
      </c>
      <c r="C360" t="s">
        <v>38</v>
      </c>
      <c r="D360" t="s">
        <v>39</v>
      </c>
      <c r="E360">
        <v>803.21</v>
      </c>
      <c r="F360">
        <v>0</v>
      </c>
      <c r="G360" t="s">
        <v>11</v>
      </c>
      <c r="H360" t="s">
        <v>62</v>
      </c>
      <c r="I360" t="s">
        <v>760</v>
      </c>
      <c r="J360" t="s">
        <v>42</v>
      </c>
      <c r="K360" s="4">
        <f>VLOOKUP(J360,Exchange_Rates!A:B,2,FALSE)</f>
        <v>0.66</v>
      </c>
      <c r="L360" s="4">
        <f t="shared" si="20"/>
        <v>530.11860000000001</v>
      </c>
      <c r="M360" s="4">
        <f t="shared" si="21"/>
        <v>0</v>
      </c>
      <c r="N360" s="4">
        <f t="shared" si="22"/>
        <v>2024</v>
      </c>
      <c r="O360" s="4">
        <f t="shared" si="23"/>
        <v>3</v>
      </c>
    </row>
    <row r="361" spans="1:15" x14ac:dyDescent="0.25">
      <c r="A361" t="s">
        <v>761</v>
      </c>
      <c r="B361" s="2">
        <v>45461</v>
      </c>
      <c r="C361" t="s">
        <v>24</v>
      </c>
      <c r="D361" t="s">
        <v>25</v>
      </c>
      <c r="E361">
        <v>0</v>
      </c>
      <c r="F361">
        <v>1032.8399999999999</v>
      </c>
      <c r="G361" t="s">
        <v>10</v>
      </c>
      <c r="H361" t="s">
        <v>51</v>
      </c>
      <c r="I361" t="s">
        <v>762</v>
      </c>
      <c r="J361" t="s">
        <v>64</v>
      </c>
      <c r="K361" s="4">
        <f>VLOOKUP(J361,Exchange_Rates!A:B,2,FALSE)</f>
        <v>0.73</v>
      </c>
      <c r="L361" s="4">
        <f t="shared" si="20"/>
        <v>0</v>
      </c>
      <c r="M361" s="4">
        <f t="shared" si="21"/>
        <v>753.97319999999991</v>
      </c>
      <c r="N361" s="4">
        <f t="shared" si="22"/>
        <v>2024</v>
      </c>
      <c r="O361" s="4">
        <f t="shared" si="23"/>
        <v>2</v>
      </c>
    </row>
    <row r="362" spans="1:15" x14ac:dyDescent="0.25">
      <c r="A362" t="s">
        <v>763</v>
      </c>
      <c r="B362" s="2">
        <v>45806</v>
      </c>
      <c r="C362" t="s">
        <v>38</v>
      </c>
      <c r="D362" t="s">
        <v>39</v>
      </c>
      <c r="E362">
        <v>1071.7</v>
      </c>
      <c r="F362">
        <v>0</v>
      </c>
      <c r="G362" t="s">
        <v>12</v>
      </c>
      <c r="H362" t="s">
        <v>51</v>
      </c>
      <c r="I362" t="s">
        <v>764</v>
      </c>
      <c r="J362" t="s">
        <v>45</v>
      </c>
      <c r="K362" s="4">
        <f>VLOOKUP(J362,Exchange_Rates!A:B,2,FALSE)</f>
        <v>1</v>
      </c>
      <c r="L362" s="4">
        <f t="shared" si="20"/>
        <v>1071.7</v>
      </c>
      <c r="M362" s="4">
        <f t="shared" si="21"/>
        <v>0</v>
      </c>
      <c r="N362" s="4">
        <f t="shared" si="22"/>
        <v>2025</v>
      </c>
      <c r="O362" s="4">
        <f t="shared" si="23"/>
        <v>2</v>
      </c>
    </row>
    <row r="363" spans="1:15" x14ac:dyDescent="0.25">
      <c r="A363" t="s">
        <v>765</v>
      </c>
      <c r="B363" s="2">
        <v>45444</v>
      </c>
      <c r="C363" t="s">
        <v>30</v>
      </c>
      <c r="D363" t="s">
        <v>31</v>
      </c>
      <c r="E363">
        <v>842.82</v>
      </c>
      <c r="F363">
        <v>0</v>
      </c>
      <c r="G363" t="s">
        <v>10</v>
      </c>
      <c r="H363" t="s">
        <v>51</v>
      </c>
      <c r="I363" t="s">
        <v>766</v>
      </c>
      <c r="J363" t="s">
        <v>28</v>
      </c>
      <c r="K363" s="4">
        <f>VLOOKUP(J363,Exchange_Rates!A:B,2,FALSE)</f>
        <v>1.27</v>
      </c>
      <c r="L363" s="4">
        <f t="shared" si="20"/>
        <v>1070.3814</v>
      </c>
      <c r="M363" s="4">
        <f t="shared" si="21"/>
        <v>0</v>
      </c>
      <c r="N363" s="4">
        <f t="shared" si="22"/>
        <v>2024</v>
      </c>
      <c r="O363" s="4">
        <f t="shared" si="23"/>
        <v>2</v>
      </c>
    </row>
    <row r="364" spans="1:15" x14ac:dyDescent="0.25">
      <c r="A364" t="s">
        <v>767</v>
      </c>
      <c r="B364" s="2">
        <v>45505</v>
      </c>
      <c r="C364" t="s">
        <v>49</v>
      </c>
      <c r="D364" t="s">
        <v>50</v>
      </c>
      <c r="E364">
        <v>1375.81</v>
      </c>
      <c r="F364">
        <v>0</v>
      </c>
      <c r="G364" t="s">
        <v>11</v>
      </c>
      <c r="H364" t="s">
        <v>40</v>
      </c>
      <c r="I364" t="s">
        <v>768</v>
      </c>
      <c r="J364" t="s">
        <v>64</v>
      </c>
      <c r="K364" s="4">
        <f>VLOOKUP(J364,Exchange_Rates!A:B,2,FALSE)</f>
        <v>0.73</v>
      </c>
      <c r="L364" s="4">
        <f t="shared" si="20"/>
        <v>1004.3412999999999</v>
      </c>
      <c r="M364" s="4">
        <f t="shared" si="21"/>
        <v>0</v>
      </c>
      <c r="N364" s="4">
        <f t="shared" si="22"/>
        <v>2024</v>
      </c>
      <c r="O364" s="4">
        <f t="shared" si="23"/>
        <v>3</v>
      </c>
    </row>
    <row r="365" spans="1:15" x14ac:dyDescent="0.25">
      <c r="A365" t="s">
        <v>769</v>
      </c>
      <c r="B365" s="2">
        <v>45313</v>
      </c>
      <c r="C365" t="s">
        <v>24</v>
      </c>
      <c r="D365" t="s">
        <v>25</v>
      </c>
      <c r="E365">
        <v>0</v>
      </c>
      <c r="F365">
        <v>4517.55</v>
      </c>
      <c r="G365" t="s">
        <v>10</v>
      </c>
      <c r="H365" t="s">
        <v>40</v>
      </c>
      <c r="I365" t="s">
        <v>770</v>
      </c>
      <c r="J365" t="s">
        <v>64</v>
      </c>
      <c r="K365" s="4">
        <f>VLOOKUP(J365,Exchange_Rates!A:B,2,FALSE)</f>
        <v>0.73</v>
      </c>
      <c r="L365" s="4">
        <f t="shared" si="20"/>
        <v>0</v>
      </c>
      <c r="M365" s="4">
        <f t="shared" si="21"/>
        <v>3297.8115000000003</v>
      </c>
      <c r="N365" s="4">
        <f t="shared" si="22"/>
        <v>2024</v>
      </c>
      <c r="O365" s="4">
        <f t="shared" si="23"/>
        <v>1</v>
      </c>
    </row>
    <row r="366" spans="1:15" x14ac:dyDescent="0.25">
      <c r="A366" t="s">
        <v>771</v>
      </c>
      <c r="B366" s="2">
        <v>45635</v>
      </c>
      <c r="C366" t="s">
        <v>49</v>
      </c>
      <c r="D366" t="s">
        <v>50</v>
      </c>
      <c r="E366">
        <v>837.89</v>
      </c>
      <c r="F366">
        <v>0</v>
      </c>
      <c r="G366" t="s">
        <v>9</v>
      </c>
      <c r="H366" t="s">
        <v>40</v>
      </c>
      <c r="I366" t="s">
        <v>772</v>
      </c>
      <c r="J366" t="s">
        <v>36</v>
      </c>
      <c r="K366" s="4">
        <f>VLOOKUP(J366,Exchange_Rates!A:B,2,FALSE)</f>
        <v>1.08</v>
      </c>
      <c r="L366" s="4">
        <f t="shared" si="20"/>
        <v>904.9212</v>
      </c>
      <c r="M366" s="4">
        <f t="shared" si="21"/>
        <v>0</v>
      </c>
      <c r="N366" s="4">
        <f t="shared" si="22"/>
        <v>2024</v>
      </c>
      <c r="O366" s="4">
        <f t="shared" si="23"/>
        <v>4</v>
      </c>
    </row>
    <row r="367" spans="1:15" x14ac:dyDescent="0.25">
      <c r="A367" t="s">
        <v>773</v>
      </c>
      <c r="B367" s="2">
        <v>44999</v>
      </c>
      <c r="C367" t="s">
        <v>49</v>
      </c>
      <c r="D367" t="s">
        <v>50</v>
      </c>
      <c r="E367">
        <v>426.78</v>
      </c>
      <c r="F367">
        <v>0</v>
      </c>
      <c r="G367" t="s">
        <v>11</v>
      </c>
      <c r="H367" t="s">
        <v>40</v>
      </c>
      <c r="I367" t="s">
        <v>774</v>
      </c>
      <c r="J367" t="s">
        <v>64</v>
      </c>
      <c r="K367" s="4">
        <f>VLOOKUP(J367,Exchange_Rates!A:B,2,FALSE)</f>
        <v>0.73</v>
      </c>
      <c r="L367" s="4">
        <f t="shared" si="20"/>
        <v>311.54939999999999</v>
      </c>
      <c r="M367" s="4">
        <f t="shared" si="21"/>
        <v>0</v>
      </c>
      <c r="N367" s="4">
        <f t="shared" si="22"/>
        <v>2023</v>
      </c>
      <c r="O367" s="4">
        <f t="shared" si="23"/>
        <v>1</v>
      </c>
    </row>
    <row r="368" spans="1:15" x14ac:dyDescent="0.25">
      <c r="A368" t="s">
        <v>775</v>
      </c>
      <c r="B368" s="2">
        <v>45761</v>
      </c>
      <c r="C368" t="s">
        <v>38</v>
      </c>
      <c r="D368" t="s">
        <v>39</v>
      </c>
      <c r="E368">
        <v>999.72</v>
      </c>
      <c r="F368">
        <v>0</v>
      </c>
      <c r="G368" t="s">
        <v>13</v>
      </c>
      <c r="H368" t="s">
        <v>34</v>
      </c>
      <c r="I368" t="s">
        <v>776</v>
      </c>
      <c r="J368" t="s">
        <v>36</v>
      </c>
      <c r="K368" s="4">
        <f>VLOOKUP(J368,Exchange_Rates!A:B,2,FALSE)</f>
        <v>1.08</v>
      </c>
      <c r="L368" s="4">
        <f t="shared" si="20"/>
        <v>1079.6976000000002</v>
      </c>
      <c r="M368" s="4">
        <f t="shared" si="21"/>
        <v>0</v>
      </c>
      <c r="N368" s="4">
        <f t="shared" si="22"/>
        <v>2025</v>
      </c>
      <c r="O368" s="4">
        <f t="shared" si="23"/>
        <v>2</v>
      </c>
    </row>
    <row r="369" spans="1:15" x14ac:dyDescent="0.25">
      <c r="A369" t="s">
        <v>777</v>
      </c>
      <c r="B369" s="2">
        <v>45023</v>
      </c>
      <c r="C369" t="s">
        <v>30</v>
      </c>
      <c r="D369" t="s">
        <v>31</v>
      </c>
      <c r="E369">
        <v>74.209999999999994</v>
      </c>
      <c r="F369">
        <v>0</v>
      </c>
      <c r="G369" t="s">
        <v>12</v>
      </c>
      <c r="H369" t="s">
        <v>62</v>
      </c>
      <c r="I369" t="s">
        <v>778</v>
      </c>
      <c r="J369" t="s">
        <v>64</v>
      </c>
      <c r="K369" s="4">
        <f>VLOOKUP(J369,Exchange_Rates!A:B,2,FALSE)</f>
        <v>0.73</v>
      </c>
      <c r="L369" s="4">
        <f t="shared" si="20"/>
        <v>54.173299999999998</v>
      </c>
      <c r="M369" s="4">
        <f t="shared" si="21"/>
        <v>0</v>
      </c>
      <c r="N369" s="4">
        <f t="shared" si="22"/>
        <v>2023</v>
      </c>
      <c r="O369" s="4">
        <f t="shared" si="23"/>
        <v>2</v>
      </c>
    </row>
    <row r="370" spans="1:15" x14ac:dyDescent="0.25">
      <c r="A370" t="s">
        <v>779</v>
      </c>
      <c r="B370" s="2">
        <v>44934</v>
      </c>
      <c r="C370" t="s">
        <v>24</v>
      </c>
      <c r="D370" t="s">
        <v>25</v>
      </c>
      <c r="E370">
        <v>0</v>
      </c>
      <c r="F370">
        <v>1158.73</v>
      </c>
      <c r="G370" t="s">
        <v>13</v>
      </c>
      <c r="H370" t="s">
        <v>26</v>
      </c>
      <c r="I370" t="s">
        <v>780</v>
      </c>
      <c r="J370" t="s">
        <v>36</v>
      </c>
      <c r="K370" s="4">
        <f>VLOOKUP(J370,Exchange_Rates!A:B,2,FALSE)</f>
        <v>1.08</v>
      </c>
      <c r="L370" s="4">
        <f t="shared" si="20"/>
        <v>0</v>
      </c>
      <c r="M370" s="4">
        <f t="shared" si="21"/>
        <v>1251.4284</v>
      </c>
      <c r="N370" s="4">
        <f t="shared" si="22"/>
        <v>2023</v>
      </c>
      <c r="O370" s="4">
        <f t="shared" si="23"/>
        <v>1</v>
      </c>
    </row>
    <row r="371" spans="1:15" x14ac:dyDescent="0.25">
      <c r="A371" t="s">
        <v>781</v>
      </c>
      <c r="B371" s="2">
        <v>45182</v>
      </c>
      <c r="C371" t="s">
        <v>38</v>
      </c>
      <c r="D371" t="s">
        <v>39</v>
      </c>
      <c r="E371">
        <v>1129.06</v>
      </c>
      <c r="F371">
        <v>0</v>
      </c>
      <c r="G371" t="s">
        <v>13</v>
      </c>
      <c r="H371" t="s">
        <v>40</v>
      </c>
      <c r="I371" t="s">
        <v>782</v>
      </c>
      <c r="J371" t="s">
        <v>36</v>
      </c>
      <c r="K371" s="4">
        <f>VLOOKUP(J371,Exchange_Rates!A:B,2,FALSE)</f>
        <v>1.08</v>
      </c>
      <c r="L371" s="4">
        <f t="shared" si="20"/>
        <v>1219.3848</v>
      </c>
      <c r="M371" s="4">
        <f t="shared" si="21"/>
        <v>0</v>
      </c>
      <c r="N371" s="4">
        <f t="shared" si="22"/>
        <v>2023</v>
      </c>
      <c r="O371" s="4">
        <f t="shared" si="23"/>
        <v>3</v>
      </c>
    </row>
    <row r="372" spans="1:15" x14ac:dyDescent="0.25">
      <c r="A372" t="s">
        <v>783</v>
      </c>
      <c r="B372" s="2">
        <v>45349</v>
      </c>
      <c r="C372" t="s">
        <v>49</v>
      </c>
      <c r="D372" t="s">
        <v>50</v>
      </c>
      <c r="E372">
        <v>1450.58</v>
      </c>
      <c r="F372">
        <v>0</v>
      </c>
      <c r="G372" t="s">
        <v>10</v>
      </c>
      <c r="H372" t="s">
        <v>40</v>
      </c>
      <c r="I372" t="s">
        <v>784</v>
      </c>
      <c r="J372" t="s">
        <v>45</v>
      </c>
      <c r="K372" s="4">
        <f>VLOOKUP(J372,Exchange_Rates!A:B,2,FALSE)</f>
        <v>1</v>
      </c>
      <c r="L372" s="4">
        <f t="shared" si="20"/>
        <v>1450.58</v>
      </c>
      <c r="M372" s="4">
        <f t="shared" si="21"/>
        <v>0</v>
      </c>
      <c r="N372" s="4">
        <f t="shared" si="22"/>
        <v>2024</v>
      </c>
      <c r="O372" s="4">
        <f t="shared" si="23"/>
        <v>1</v>
      </c>
    </row>
    <row r="373" spans="1:15" x14ac:dyDescent="0.25">
      <c r="A373" t="s">
        <v>785</v>
      </c>
      <c r="B373" s="2">
        <v>44930</v>
      </c>
      <c r="C373" t="s">
        <v>38</v>
      </c>
      <c r="D373" t="s">
        <v>39</v>
      </c>
      <c r="E373">
        <v>820.46</v>
      </c>
      <c r="F373">
        <v>0</v>
      </c>
      <c r="G373" t="s">
        <v>8</v>
      </c>
      <c r="H373" t="s">
        <v>26</v>
      </c>
      <c r="I373" t="s">
        <v>786</v>
      </c>
      <c r="J373" t="s">
        <v>28</v>
      </c>
      <c r="K373" s="4">
        <f>VLOOKUP(J373,Exchange_Rates!A:B,2,FALSE)</f>
        <v>1.27</v>
      </c>
      <c r="L373" s="4">
        <f t="shared" si="20"/>
        <v>1041.9842000000001</v>
      </c>
      <c r="M373" s="4">
        <f t="shared" si="21"/>
        <v>0</v>
      </c>
      <c r="N373" s="4">
        <f t="shared" si="22"/>
        <v>2023</v>
      </c>
      <c r="O373" s="4">
        <f t="shared" si="23"/>
        <v>1</v>
      </c>
    </row>
    <row r="374" spans="1:15" x14ac:dyDescent="0.25">
      <c r="A374" t="s">
        <v>787</v>
      </c>
      <c r="B374" s="2">
        <v>45718</v>
      </c>
      <c r="C374" t="s">
        <v>30</v>
      </c>
      <c r="D374" t="s">
        <v>31</v>
      </c>
      <c r="E374">
        <v>1027.96</v>
      </c>
      <c r="F374">
        <v>0</v>
      </c>
      <c r="G374" t="s">
        <v>9</v>
      </c>
      <c r="H374" t="s">
        <v>51</v>
      </c>
      <c r="I374" t="s">
        <v>788</v>
      </c>
      <c r="J374" t="s">
        <v>64</v>
      </c>
      <c r="K374" s="4">
        <f>VLOOKUP(J374,Exchange_Rates!A:B,2,FALSE)</f>
        <v>0.73</v>
      </c>
      <c r="L374" s="4">
        <f t="shared" si="20"/>
        <v>750.41079999999999</v>
      </c>
      <c r="M374" s="4">
        <f t="shared" si="21"/>
        <v>0</v>
      </c>
      <c r="N374" s="4">
        <f t="shared" si="22"/>
        <v>2025</v>
      </c>
      <c r="O374" s="4">
        <f t="shared" si="23"/>
        <v>1</v>
      </c>
    </row>
    <row r="375" spans="1:15" x14ac:dyDescent="0.25">
      <c r="A375" t="s">
        <v>789</v>
      </c>
      <c r="B375" s="2">
        <v>44945</v>
      </c>
      <c r="C375" t="s">
        <v>24</v>
      </c>
      <c r="D375" t="s">
        <v>25</v>
      </c>
      <c r="E375">
        <v>0</v>
      </c>
      <c r="F375">
        <v>2599.69</v>
      </c>
      <c r="G375" t="s">
        <v>11</v>
      </c>
      <c r="H375" t="s">
        <v>51</v>
      </c>
      <c r="I375" t="s">
        <v>790</v>
      </c>
      <c r="J375" t="s">
        <v>42</v>
      </c>
      <c r="K375" s="4">
        <f>VLOOKUP(J375,Exchange_Rates!A:B,2,FALSE)</f>
        <v>0.66</v>
      </c>
      <c r="L375" s="4">
        <f t="shared" si="20"/>
        <v>0</v>
      </c>
      <c r="M375" s="4">
        <f t="shared" si="21"/>
        <v>1715.7954000000002</v>
      </c>
      <c r="N375" s="4">
        <f t="shared" si="22"/>
        <v>2023</v>
      </c>
      <c r="O375" s="4">
        <f t="shared" si="23"/>
        <v>1</v>
      </c>
    </row>
    <row r="376" spans="1:15" x14ac:dyDescent="0.25">
      <c r="A376" t="s">
        <v>791</v>
      </c>
      <c r="B376" s="2">
        <v>45574</v>
      </c>
      <c r="C376" t="s">
        <v>49</v>
      </c>
      <c r="D376" t="s">
        <v>50</v>
      </c>
      <c r="E376">
        <v>903.24</v>
      </c>
      <c r="F376">
        <v>0</v>
      </c>
      <c r="G376" t="s">
        <v>10</v>
      </c>
      <c r="H376" t="s">
        <v>40</v>
      </c>
      <c r="I376" t="s">
        <v>792</v>
      </c>
      <c r="J376" t="s">
        <v>36</v>
      </c>
      <c r="K376" s="4">
        <f>VLOOKUP(J376,Exchange_Rates!A:B,2,FALSE)</f>
        <v>1.08</v>
      </c>
      <c r="L376" s="4">
        <f t="shared" si="20"/>
        <v>975.49920000000009</v>
      </c>
      <c r="M376" s="4">
        <f t="shared" si="21"/>
        <v>0</v>
      </c>
      <c r="N376" s="4">
        <f t="shared" si="22"/>
        <v>2024</v>
      </c>
      <c r="O376" s="4">
        <f t="shared" si="23"/>
        <v>4</v>
      </c>
    </row>
    <row r="377" spans="1:15" x14ac:dyDescent="0.25">
      <c r="A377" t="s">
        <v>793</v>
      </c>
      <c r="B377" s="2">
        <v>45363</v>
      </c>
      <c r="C377" t="s">
        <v>30</v>
      </c>
      <c r="D377" t="s">
        <v>31</v>
      </c>
      <c r="E377">
        <v>1037.05</v>
      </c>
      <c r="F377">
        <v>0</v>
      </c>
      <c r="G377" t="s">
        <v>11</v>
      </c>
      <c r="H377" t="s">
        <v>26</v>
      </c>
      <c r="I377" t="s">
        <v>794</v>
      </c>
      <c r="J377" t="s">
        <v>36</v>
      </c>
      <c r="K377" s="4">
        <f>VLOOKUP(J377,Exchange_Rates!A:B,2,FALSE)</f>
        <v>1.08</v>
      </c>
      <c r="L377" s="4">
        <f t="shared" si="20"/>
        <v>1120.0140000000001</v>
      </c>
      <c r="M377" s="4">
        <f t="shared" si="21"/>
        <v>0</v>
      </c>
      <c r="N377" s="4">
        <f t="shared" si="22"/>
        <v>2024</v>
      </c>
      <c r="O377" s="4">
        <f t="shared" si="23"/>
        <v>1</v>
      </c>
    </row>
    <row r="378" spans="1:15" x14ac:dyDescent="0.25">
      <c r="A378" t="s">
        <v>795</v>
      </c>
      <c r="B378" s="2">
        <v>45785</v>
      </c>
      <c r="C378" t="s">
        <v>49</v>
      </c>
      <c r="D378" t="s">
        <v>50</v>
      </c>
      <c r="E378">
        <v>390.22</v>
      </c>
      <c r="F378">
        <v>0</v>
      </c>
      <c r="G378" t="s">
        <v>9</v>
      </c>
      <c r="H378" t="s">
        <v>51</v>
      </c>
      <c r="I378" t="s">
        <v>796</v>
      </c>
      <c r="J378" t="s">
        <v>36</v>
      </c>
      <c r="K378" s="4">
        <f>VLOOKUP(J378,Exchange_Rates!A:B,2,FALSE)</f>
        <v>1.08</v>
      </c>
      <c r="L378" s="4">
        <f t="shared" si="20"/>
        <v>421.43760000000003</v>
      </c>
      <c r="M378" s="4">
        <f t="shared" si="21"/>
        <v>0</v>
      </c>
      <c r="N378" s="4">
        <f t="shared" si="22"/>
        <v>2025</v>
      </c>
      <c r="O378" s="4">
        <f t="shared" si="23"/>
        <v>2</v>
      </c>
    </row>
    <row r="379" spans="1:15" x14ac:dyDescent="0.25">
      <c r="A379" t="s">
        <v>797</v>
      </c>
      <c r="B379" s="2">
        <v>45699</v>
      </c>
      <c r="C379" t="s">
        <v>60</v>
      </c>
      <c r="D379" t="s">
        <v>61</v>
      </c>
      <c r="E379">
        <v>0</v>
      </c>
      <c r="F379">
        <v>4450.59</v>
      </c>
      <c r="G379" t="s">
        <v>12</v>
      </c>
      <c r="H379" t="s">
        <v>62</v>
      </c>
      <c r="I379" t="s">
        <v>798</v>
      </c>
      <c r="J379" t="s">
        <v>45</v>
      </c>
      <c r="K379" s="4">
        <f>VLOOKUP(J379,Exchange_Rates!A:B,2,FALSE)</f>
        <v>1</v>
      </c>
      <c r="L379" s="4">
        <f t="shared" si="20"/>
        <v>0</v>
      </c>
      <c r="M379" s="4">
        <f t="shared" si="21"/>
        <v>4450.59</v>
      </c>
      <c r="N379" s="4">
        <f t="shared" si="22"/>
        <v>2025</v>
      </c>
      <c r="O379" s="4">
        <f t="shared" si="23"/>
        <v>1</v>
      </c>
    </row>
    <row r="380" spans="1:15" x14ac:dyDescent="0.25">
      <c r="A380" t="s">
        <v>799</v>
      </c>
      <c r="B380" s="2">
        <v>45246</v>
      </c>
      <c r="C380" t="s">
        <v>38</v>
      </c>
      <c r="D380" t="s">
        <v>39</v>
      </c>
      <c r="E380">
        <v>1836.23</v>
      </c>
      <c r="F380">
        <v>0</v>
      </c>
      <c r="G380" t="s">
        <v>12</v>
      </c>
      <c r="H380" t="s">
        <v>62</v>
      </c>
      <c r="I380" t="s">
        <v>800</v>
      </c>
      <c r="J380" t="s">
        <v>28</v>
      </c>
      <c r="K380" s="4">
        <f>VLOOKUP(J380,Exchange_Rates!A:B,2,FALSE)</f>
        <v>1.27</v>
      </c>
      <c r="L380" s="4">
        <f t="shared" si="20"/>
        <v>2332.0120999999999</v>
      </c>
      <c r="M380" s="4">
        <f t="shared" si="21"/>
        <v>0</v>
      </c>
      <c r="N380" s="4">
        <f t="shared" si="22"/>
        <v>2023</v>
      </c>
      <c r="O380" s="4">
        <f t="shared" si="23"/>
        <v>4</v>
      </c>
    </row>
    <row r="381" spans="1:15" x14ac:dyDescent="0.25">
      <c r="A381" t="s">
        <v>801</v>
      </c>
      <c r="B381" s="2">
        <v>45549</v>
      </c>
      <c r="C381" t="s">
        <v>38</v>
      </c>
      <c r="D381" t="s">
        <v>39</v>
      </c>
      <c r="E381">
        <v>1033.93</v>
      </c>
      <c r="F381">
        <v>0</v>
      </c>
      <c r="G381" t="s">
        <v>13</v>
      </c>
      <c r="H381" t="s">
        <v>34</v>
      </c>
      <c r="I381" t="s">
        <v>802</v>
      </c>
      <c r="J381" t="s">
        <v>45</v>
      </c>
      <c r="K381" s="4">
        <f>VLOOKUP(J381,Exchange_Rates!A:B,2,FALSE)</f>
        <v>1</v>
      </c>
      <c r="L381" s="4">
        <f t="shared" si="20"/>
        <v>1033.93</v>
      </c>
      <c r="M381" s="4">
        <f t="shared" si="21"/>
        <v>0</v>
      </c>
      <c r="N381" s="4">
        <f t="shared" si="22"/>
        <v>2024</v>
      </c>
      <c r="O381" s="4">
        <f t="shared" si="23"/>
        <v>3</v>
      </c>
    </row>
    <row r="382" spans="1:15" x14ac:dyDescent="0.25">
      <c r="A382" t="s">
        <v>803</v>
      </c>
      <c r="B382" s="2">
        <v>45110</v>
      </c>
      <c r="C382" t="s">
        <v>49</v>
      </c>
      <c r="D382" t="s">
        <v>50</v>
      </c>
      <c r="E382">
        <v>64.73</v>
      </c>
      <c r="F382">
        <v>0</v>
      </c>
      <c r="G382" t="s">
        <v>9</v>
      </c>
      <c r="H382" t="s">
        <v>51</v>
      </c>
      <c r="I382" t="s">
        <v>804</v>
      </c>
      <c r="J382" t="s">
        <v>45</v>
      </c>
      <c r="K382" s="4">
        <f>VLOOKUP(J382,Exchange_Rates!A:B,2,FALSE)</f>
        <v>1</v>
      </c>
      <c r="L382" s="4">
        <f t="shared" si="20"/>
        <v>64.73</v>
      </c>
      <c r="M382" s="4">
        <f t="shared" si="21"/>
        <v>0</v>
      </c>
      <c r="N382" s="4">
        <f t="shared" si="22"/>
        <v>2023</v>
      </c>
      <c r="O382" s="4">
        <f t="shared" si="23"/>
        <v>3</v>
      </c>
    </row>
    <row r="383" spans="1:15" x14ac:dyDescent="0.25">
      <c r="A383" t="s">
        <v>805</v>
      </c>
      <c r="B383" s="2">
        <v>44956</v>
      </c>
      <c r="C383" t="s">
        <v>49</v>
      </c>
      <c r="D383" t="s">
        <v>50</v>
      </c>
      <c r="E383">
        <v>891.36</v>
      </c>
      <c r="F383">
        <v>0</v>
      </c>
      <c r="G383" t="s">
        <v>12</v>
      </c>
      <c r="H383" t="s">
        <v>40</v>
      </c>
      <c r="I383" t="s">
        <v>806</v>
      </c>
      <c r="J383" t="s">
        <v>36</v>
      </c>
      <c r="K383" s="4">
        <f>VLOOKUP(J383,Exchange_Rates!A:B,2,FALSE)</f>
        <v>1.08</v>
      </c>
      <c r="L383" s="4">
        <f t="shared" si="20"/>
        <v>962.66880000000003</v>
      </c>
      <c r="M383" s="4">
        <f t="shared" si="21"/>
        <v>0</v>
      </c>
      <c r="N383" s="4">
        <f t="shared" si="22"/>
        <v>2023</v>
      </c>
      <c r="O383" s="4">
        <f t="shared" si="23"/>
        <v>1</v>
      </c>
    </row>
    <row r="384" spans="1:15" x14ac:dyDescent="0.25">
      <c r="A384" t="s">
        <v>807</v>
      </c>
      <c r="B384" s="2">
        <v>45042</v>
      </c>
      <c r="C384" t="s">
        <v>49</v>
      </c>
      <c r="D384" t="s">
        <v>50</v>
      </c>
      <c r="E384">
        <v>983.92</v>
      </c>
      <c r="F384">
        <v>0</v>
      </c>
      <c r="G384" t="s">
        <v>8</v>
      </c>
      <c r="H384" t="s">
        <v>51</v>
      </c>
      <c r="I384" t="s">
        <v>808</v>
      </c>
      <c r="J384" t="s">
        <v>42</v>
      </c>
      <c r="K384" s="4">
        <f>VLOOKUP(J384,Exchange_Rates!A:B,2,FALSE)</f>
        <v>0.66</v>
      </c>
      <c r="L384" s="4">
        <f t="shared" si="20"/>
        <v>649.38720000000001</v>
      </c>
      <c r="M384" s="4">
        <f t="shared" si="21"/>
        <v>0</v>
      </c>
      <c r="N384" s="4">
        <f t="shared" si="22"/>
        <v>2023</v>
      </c>
      <c r="O384" s="4">
        <f t="shared" si="23"/>
        <v>2</v>
      </c>
    </row>
    <row r="385" spans="1:15" x14ac:dyDescent="0.25">
      <c r="A385" t="s">
        <v>809</v>
      </c>
      <c r="B385" s="2">
        <v>44966</v>
      </c>
      <c r="C385" t="s">
        <v>49</v>
      </c>
      <c r="D385" t="s">
        <v>50</v>
      </c>
      <c r="E385">
        <v>412.44</v>
      </c>
      <c r="F385">
        <v>0</v>
      </c>
      <c r="G385" t="s">
        <v>11</v>
      </c>
      <c r="H385" t="s">
        <v>62</v>
      </c>
      <c r="I385" t="s">
        <v>810</v>
      </c>
      <c r="J385" t="s">
        <v>36</v>
      </c>
      <c r="K385" s="4">
        <f>VLOOKUP(J385,Exchange_Rates!A:B,2,FALSE)</f>
        <v>1.08</v>
      </c>
      <c r="L385" s="4">
        <f t="shared" si="20"/>
        <v>445.43520000000001</v>
      </c>
      <c r="M385" s="4">
        <f t="shared" si="21"/>
        <v>0</v>
      </c>
      <c r="N385" s="4">
        <f t="shared" si="22"/>
        <v>2023</v>
      </c>
      <c r="O385" s="4">
        <f t="shared" si="23"/>
        <v>1</v>
      </c>
    </row>
    <row r="386" spans="1:15" x14ac:dyDescent="0.25">
      <c r="A386" t="s">
        <v>811</v>
      </c>
      <c r="B386" s="2">
        <v>45058</v>
      </c>
      <c r="C386" t="s">
        <v>60</v>
      </c>
      <c r="D386" t="s">
        <v>61</v>
      </c>
      <c r="E386">
        <v>0</v>
      </c>
      <c r="F386">
        <v>2409.8200000000002</v>
      </c>
      <c r="G386" t="s">
        <v>11</v>
      </c>
      <c r="H386" t="s">
        <v>26</v>
      </c>
      <c r="I386" t="s">
        <v>812</v>
      </c>
      <c r="J386" t="s">
        <v>64</v>
      </c>
      <c r="K386" s="4">
        <f>VLOOKUP(J386,Exchange_Rates!A:B,2,FALSE)</f>
        <v>0.73</v>
      </c>
      <c r="L386" s="4">
        <f t="shared" si="20"/>
        <v>0</v>
      </c>
      <c r="M386" s="4">
        <f t="shared" si="21"/>
        <v>1759.1686</v>
      </c>
      <c r="N386" s="4">
        <f t="shared" si="22"/>
        <v>2023</v>
      </c>
      <c r="O386" s="4">
        <f t="shared" si="23"/>
        <v>2</v>
      </c>
    </row>
    <row r="387" spans="1:15" x14ac:dyDescent="0.25">
      <c r="A387" t="s">
        <v>813</v>
      </c>
      <c r="B387" s="2">
        <v>45792</v>
      </c>
      <c r="C387" t="s">
        <v>49</v>
      </c>
      <c r="D387" t="s">
        <v>50</v>
      </c>
      <c r="E387">
        <v>1490.61</v>
      </c>
      <c r="F387">
        <v>0</v>
      </c>
      <c r="G387" t="s">
        <v>13</v>
      </c>
      <c r="H387" t="s">
        <v>26</v>
      </c>
      <c r="I387" t="s">
        <v>814</v>
      </c>
      <c r="J387" t="s">
        <v>64</v>
      </c>
      <c r="K387" s="4">
        <f>VLOOKUP(J387,Exchange_Rates!A:B,2,FALSE)</f>
        <v>0.73</v>
      </c>
      <c r="L387" s="4">
        <f t="shared" ref="L387:L450" si="24">E387*K387</f>
        <v>1088.1452999999999</v>
      </c>
      <c r="M387" s="4">
        <f t="shared" ref="M387:M450" si="25">F387*K387</f>
        <v>0</v>
      </c>
      <c r="N387" s="4">
        <f t="shared" ref="N387:N450" si="26">YEAR(B387)</f>
        <v>2025</v>
      </c>
      <c r="O387" s="4">
        <f t="shared" ref="O387:O450" si="27">ROUNDUP(MONTH(B387)/3,0)</f>
        <v>2</v>
      </c>
    </row>
    <row r="388" spans="1:15" x14ac:dyDescent="0.25">
      <c r="A388" t="s">
        <v>815</v>
      </c>
      <c r="B388" s="2">
        <v>45528</v>
      </c>
      <c r="C388" t="s">
        <v>24</v>
      </c>
      <c r="D388" t="s">
        <v>25</v>
      </c>
      <c r="E388">
        <v>0</v>
      </c>
      <c r="F388">
        <v>2946.46</v>
      </c>
      <c r="G388" t="s">
        <v>11</v>
      </c>
      <c r="H388" t="s">
        <v>40</v>
      </c>
      <c r="I388" t="s">
        <v>816</v>
      </c>
      <c r="J388" t="s">
        <v>28</v>
      </c>
      <c r="K388" s="4">
        <f>VLOOKUP(J388,Exchange_Rates!A:B,2,FALSE)</f>
        <v>1.27</v>
      </c>
      <c r="L388" s="4">
        <f t="shared" si="24"/>
        <v>0</v>
      </c>
      <c r="M388" s="4">
        <f t="shared" si="25"/>
        <v>3742.0042000000003</v>
      </c>
      <c r="N388" s="4">
        <f t="shared" si="26"/>
        <v>2024</v>
      </c>
      <c r="O388" s="4">
        <f t="shared" si="27"/>
        <v>3</v>
      </c>
    </row>
    <row r="389" spans="1:15" x14ac:dyDescent="0.25">
      <c r="A389" t="s">
        <v>817</v>
      </c>
      <c r="B389" s="2">
        <v>45548</v>
      </c>
      <c r="C389" t="s">
        <v>38</v>
      </c>
      <c r="D389" t="s">
        <v>39</v>
      </c>
      <c r="E389">
        <v>542.61</v>
      </c>
      <c r="F389">
        <v>0</v>
      </c>
      <c r="G389" t="s">
        <v>8</v>
      </c>
      <c r="H389" t="s">
        <v>51</v>
      </c>
      <c r="I389" t="s">
        <v>818</v>
      </c>
      <c r="J389" t="s">
        <v>45</v>
      </c>
      <c r="K389" s="4">
        <f>VLOOKUP(J389,Exchange_Rates!A:B,2,FALSE)</f>
        <v>1</v>
      </c>
      <c r="L389" s="4">
        <f t="shared" si="24"/>
        <v>542.61</v>
      </c>
      <c r="M389" s="4">
        <f t="shared" si="25"/>
        <v>0</v>
      </c>
      <c r="N389" s="4">
        <f t="shared" si="26"/>
        <v>2024</v>
      </c>
      <c r="O389" s="4">
        <f t="shared" si="27"/>
        <v>3</v>
      </c>
    </row>
    <row r="390" spans="1:15" x14ac:dyDescent="0.25">
      <c r="A390" t="s">
        <v>819</v>
      </c>
      <c r="B390" s="2">
        <v>45252</v>
      </c>
      <c r="C390" t="s">
        <v>60</v>
      </c>
      <c r="D390" t="s">
        <v>61</v>
      </c>
      <c r="E390">
        <v>0</v>
      </c>
      <c r="F390">
        <v>3453.36</v>
      </c>
      <c r="G390" t="s">
        <v>11</v>
      </c>
      <c r="H390" t="s">
        <v>40</v>
      </c>
      <c r="I390" t="s">
        <v>820</v>
      </c>
      <c r="J390" t="s">
        <v>36</v>
      </c>
      <c r="K390" s="4">
        <f>VLOOKUP(J390,Exchange_Rates!A:B,2,FALSE)</f>
        <v>1.08</v>
      </c>
      <c r="L390" s="4">
        <f t="shared" si="24"/>
        <v>0</v>
      </c>
      <c r="M390" s="4">
        <f t="shared" si="25"/>
        <v>3729.6288000000004</v>
      </c>
      <c r="N390" s="4">
        <f t="shared" si="26"/>
        <v>2023</v>
      </c>
      <c r="O390" s="4">
        <f t="shared" si="27"/>
        <v>4</v>
      </c>
    </row>
    <row r="391" spans="1:15" x14ac:dyDescent="0.25">
      <c r="A391" t="s">
        <v>821</v>
      </c>
      <c r="B391" s="2">
        <v>45317</v>
      </c>
      <c r="C391" t="s">
        <v>30</v>
      </c>
      <c r="D391" t="s">
        <v>31</v>
      </c>
      <c r="E391">
        <v>1550.28</v>
      </c>
      <c r="F391">
        <v>0</v>
      </c>
      <c r="G391" t="s">
        <v>9</v>
      </c>
      <c r="H391" t="s">
        <v>40</v>
      </c>
      <c r="I391" t="s">
        <v>822</v>
      </c>
      <c r="J391" t="s">
        <v>28</v>
      </c>
      <c r="K391" s="4">
        <f>VLOOKUP(J391,Exchange_Rates!A:B,2,FALSE)</f>
        <v>1.27</v>
      </c>
      <c r="L391" s="4">
        <f t="shared" si="24"/>
        <v>1968.8556000000001</v>
      </c>
      <c r="M391" s="4">
        <f t="shared" si="25"/>
        <v>0</v>
      </c>
      <c r="N391" s="4">
        <f t="shared" si="26"/>
        <v>2024</v>
      </c>
      <c r="O391" s="4">
        <f t="shared" si="27"/>
        <v>1</v>
      </c>
    </row>
    <row r="392" spans="1:15" x14ac:dyDescent="0.25">
      <c r="A392" t="s">
        <v>823</v>
      </c>
      <c r="B392" s="2">
        <v>45164</v>
      </c>
      <c r="C392" t="s">
        <v>60</v>
      </c>
      <c r="D392" t="s">
        <v>61</v>
      </c>
      <c r="E392">
        <v>0</v>
      </c>
      <c r="F392">
        <v>2348.4</v>
      </c>
      <c r="G392" t="s">
        <v>13</v>
      </c>
      <c r="H392" t="s">
        <v>62</v>
      </c>
      <c r="I392" t="s">
        <v>824</v>
      </c>
      <c r="J392" t="s">
        <v>64</v>
      </c>
      <c r="K392" s="4">
        <f>VLOOKUP(J392,Exchange_Rates!A:B,2,FALSE)</f>
        <v>0.73</v>
      </c>
      <c r="L392" s="4">
        <f t="shared" si="24"/>
        <v>0</v>
      </c>
      <c r="M392" s="4">
        <f t="shared" si="25"/>
        <v>1714.3320000000001</v>
      </c>
      <c r="N392" s="4">
        <f t="shared" si="26"/>
        <v>2023</v>
      </c>
      <c r="O392" s="4">
        <f t="shared" si="27"/>
        <v>3</v>
      </c>
    </row>
    <row r="393" spans="1:15" x14ac:dyDescent="0.25">
      <c r="A393" t="s">
        <v>825</v>
      </c>
      <c r="B393" s="2">
        <v>45128</v>
      </c>
      <c r="C393" t="s">
        <v>30</v>
      </c>
      <c r="D393" t="s">
        <v>31</v>
      </c>
      <c r="E393">
        <v>761.57</v>
      </c>
      <c r="F393">
        <v>0</v>
      </c>
      <c r="G393" t="s">
        <v>9</v>
      </c>
      <c r="H393" t="s">
        <v>26</v>
      </c>
      <c r="I393" t="s">
        <v>826</v>
      </c>
      <c r="J393" t="s">
        <v>36</v>
      </c>
      <c r="K393" s="4">
        <f>VLOOKUP(J393,Exchange_Rates!A:B,2,FALSE)</f>
        <v>1.08</v>
      </c>
      <c r="L393" s="4">
        <f t="shared" si="24"/>
        <v>822.49560000000008</v>
      </c>
      <c r="M393" s="4">
        <f t="shared" si="25"/>
        <v>0</v>
      </c>
      <c r="N393" s="4">
        <f t="shared" si="26"/>
        <v>2023</v>
      </c>
      <c r="O393" s="4">
        <f t="shared" si="27"/>
        <v>3</v>
      </c>
    </row>
    <row r="394" spans="1:15" x14ac:dyDescent="0.25">
      <c r="A394" t="s">
        <v>827</v>
      </c>
      <c r="B394" s="2">
        <v>45233</v>
      </c>
      <c r="C394" t="s">
        <v>24</v>
      </c>
      <c r="D394" t="s">
        <v>25</v>
      </c>
      <c r="E394">
        <v>0</v>
      </c>
      <c r="F394">
        <v>958.3</v>
      </c>
      <c r="G394" t="s">
        <v>9</v>
      </c>
      <c r="H394" t="s">
        <v>51</v>
      </c>
      <c r="I394" t="s">
        <v>828</v>
      </c>
      <c r="J394" t="s">
        <v>64</v>
      </c>
      <c r="K394" s="4">
        <f>VLOOKUP(J394,Exchange_Rates!A:B,2,FALSE)</f>
        <v>0.73</v>
      </c>
      <c r="L394" s="4">
        <f t="shared" si="24"/>
        <v>0</v>
      </c>
      <c r="M394" s="4">
        <f t="shared" si="25"/>
        <v>699.55899999999997</v>
      </c>
      <c r="N394" s="4">
        <f t="shared" si="26"/>
        <v>2023</v>
      </c>
      <c r="O394" s="4">
        <f t="shared" si="27"/>
        <v>4</v>
      </c>
    </row>
    <row r="395" spans="1:15" x14ac:dyDescent="0.25">
      <c r="A395" t="s">
        <v>829</v>
      </c>
      <c r="B395" s="2">
        <v>45690</v>
      </c>
      <c r="C395" t="s">
        <v>30</v>
      </c>
      <c r="D395" t="s">
        <v>31</v>
      </c>
      <c r="E395">
        <v>618.6</v>
      </c>
      <c r="F395">
        <v>0</v>
      </c>
      <c r="G395" t="s">
        <v>8</v>
      </c>
      <c r="H395" t="s">
        <v>26</v>
      </c>
      <c r="I395" t="s">
        <v>830</v>
      </c>
      <c r="J395" t="s">
        <v>45</v>
      </c>
      <c r="K395" s="4">
        <f>VLOOKUP(J395,Exchange_Rates!A:B,2,FALSE)</f>
        <v>1</v>
      </c>
      <c r="L395" s="4">
        <f t="shared" si="24"/>
        <v>618.6</v>
      </c>
      <c r="M395" s="4">
        <f t="shared" si="25"/>
        <v>0</v>
      </c>
      <c r="N395" s="4">
        <f t="shared" si="26"/>
        <v>2025</v>
      </c>
      <c r="O395" s="4">
        <f t="shared" si="27"/>
        <v>1</v>
      </c>
    </row>
    <row r="396" spans="1:15" x14ac:dyDescent="0.25">
      <c r="A396" t="s">
        <v>831</v>
      </c>
      <c r="B396" s="2">
        <v>45204</v>
      </c>
      <c r="C396" t="s">
        <v>24</v>
      </c>
      <c r="D396" t="s">
        <v>25</v>
      </c>
      <c r="E396">
        <v>0</v>
      </c>
      <c r="F396">
        <v>334.65</v>
      </c>
      <c r="G396" t="s">
        <v>12</v>
      </c>
      <c r="H396" t="s">
        <v>26</v>
      </c>
      <c r="I396" t="s">
        <v>832</v>
      </c>
      <c r="J396" t="s">
        <v>28</v>
      </c>
      <c r="K396" s="4">
        <f>VLOOKUP(J396,Exchange_Rates!A:B,2,FALSE)</f>
        <v>1.27</v>
      </c>
      <c r="L396" s="4">
        <f t="shared" si="24"/>
        <v>0</v>
      </c>
      <c r="M396" s="4">
        <f t="shared" si="25"/>
        <v>425.00549999999998</v>
      </c>
      <c r="N396" s="4">
        <f t="shared" si="26"/>
        <v>2023</v>
      </c>
      <c r="O396" s="4">
        <f t="shared" si="27"/>
        <v>4</v>
      </c>
    </row>
    <row r="397" spans="1:15" x14ac:dyDescent="0.25">
      <c r="A397" t="s">
        <v>833</v>
      </c>
      <c r="B397" s="2">
        <v>45525</v>
      </c>
      <c r="C397" t="s">
        <v>30</v>
      </c>
      <c r="D397" t="s">
        <v>31</v>
      </c>
      <c r="E397">
        <v>1922.54</v>
      </c>
      <c r="F397">
        <v>0</v>
      </c>
      <c r="G397" t="s">
        <v>12</v>
      </c>
      <c r="H397" t="s">
        <v>62</v>
      </c>
      <c r="I397" t="s">
        <v>834</v>
      </c>
      <c r="J397" t="s">
        <v>45</v>
      </c>
      <c r="K397" s="4">
        <f>VLOOKUP(J397,Exchange_Rates!A:B,2,FALSE)</f>
        <v>1</v>
      </c>
      <c r="L397" s="4">
        <f t="shared" si="24"/>
        <v>1922.54</v>
      </c>
      <c r="M397" s="4">
        <f t="shared" si="25"/>
        <v>0</v>
      </c>
      <c r="N397" s="4">
        <f t="shared" si="26"/>
        <v>2024</v>
      </c>
      <c r="O397" s="4">
        <f t="shared" si="27"/>
        <v>3</v>
      </c>
    </row>
    <row r="398" spans="1:15" x14ac:dyDescent="0.25">
      <c r="A398" t="s">
        <v>835</v>
      </c>
      <c r="B398" s="2">
        <v>45146</v>
      </c>
      <c r="C398" t="s">
        <v>24</v>
      </c>
      <c r="D398" t="s">
        <v>25</v>
      </c>
      <c r="E398">
        <v>0</v>
      </c>
      <c r="F398">
        <v>3519.07</v>
      </c>
      <c r="G398" t="s">
        <v>9</v>
      </c>
      <c r="H398" t="s">
        <v>34</v>
      </c>
      <c r="I398" t="s">
        <v>836</v>
      </c>
      <c r="J398" t="s">
        <v>42</v>
      </c>
      <c r="K398" s="4">
        <f>VLOOKUP(J398,Exchange_Rates!A:B,2,FALSE)</f>
        <v>0.66</v>
      </c>
      <c r="L398" s="4">
        <f t="shared" si="24"/>
        <v>0</v>
      </c>
      <c r="M398" s="4">
        <f t="shared" si="25"/>
        <v>2322.5862000000002</v>
      </c>
      <c r="N398" s="4">
        <f t="shared" si="26"/>
        <v>2023</v>
      </c>
      <c r="O398" s="4">
        <f t="shared" si="27"/>
        <v>3</v>
      </c>
    </row>
    <row r="399" spans="1:15" x14ac:dyDescent="0.25">
      <c r="A399" t="s">
        <v>837</v>
      </c>
      <c r="B399" s="2">
        <v>44983</v>
      </c>
      <c r="C399" t="s">
        <v>49</v>
      </c>
      <c r="D399" t="s">
        <v>50</v>
      </c>
      <c r="E399">
        <v>1944.25</v>
      </c>
      <c r="F399">
        <v>0</v>
      </c>
      <c r="G399" t="s">
        <v>9</v>
      </c>
      <c r="H399" t="s">
        <v>62</v>
      </c>
      <c r="I399" t="s">
        <v>838</v>
      </c>
      <c r="J399" t="s">
        <v>64</v>
      </c>
      <c r="K399" s="4">
        <f>VLOOKUP(J399,Exchange_Rates!A:B,2,FALSE)</f>
        <v>0.73</v>
      </c>
      <c r="L399" s="4">
        <f t="shared" si="24"/>
        <v>1419.3025</v>
      </c>
      <c r="M399" s="4">
        <f t="shared" si="25"/>
        <v>0</v>
      </c>
      <c r="N399" s="4">
        <f t="shared" si="26"/>
        <v>2023</v>
      </c>
      <c r="O399" s="4">
        <f t="shared" si="27"/>
        <v>1</v>
      </c>
    </row>
    <row r="400" spans="1:15" x14ac:dyDescent="0.25">
      <c r="A400" t="s">
        <v>839</v>
      </c>
      <c r="B400" s="2">
        <v>44957</v>
      </c>
      <c r="C400" t="s">
        <v>30</v>
      </c>
      <c r="D400" t="s">
        <v>31</v>
      </c>
      <c r="E400">
        <v>51.54</v>
      </c>
      <c r="F400">
        <v>0</v>
      </c>
      <c r="G400" t="s">
        <v>10</v>
      </c>
      <c r="H400" t="s">
        <v>40</v>
      </c>
      <c r="I400" t="s">
        <v>840</v>
      </c>
      <c r="J400" t="s">
        <v>28</v>
      </c>
      <c r="K400" s="4">
        <f>VLOOKUP(J400,Exchange_Rates!A:B,2,FALSE)</f>
        <v>1.27</v>
      </c>
      <c r="L400" s="4">
        <f t="shared" si="24"/>
        <v>65.455799999999996</v>
      </c>
      <c r="M400" s="4">
        <f t="shared" si="25"/>
        <v>0</v>
      </c>
      <c r="N400" s="4">
        <f t="shared" si="26"/>
        <v>2023</v>
      </c>
      <c r="O400" s="4">
        <f t="shared" si="27"/>
        <v>1</v>
      </c>
    </row>
    <row r="401" spans="1:15" x14ac:dyDescent="0.25">
      <c r="A401" t="s">
        <v>841</v>
      </c>
      <c r="B401" s="2">
        <v>45526</v>
      </c>
      <c r="C401" t="s">
        <v>60</v>
      </c>
      <c r="D401" t="s">
        <v>61</v>
      </c>
      <c r="E401">
        <v>0</v>
      </c>
      <c r="F401">
        <v>952.59</v>
      </c>
      <c r="G401" t="s">
        <v>9</v>
      </c>
      <c r="H401" t="s">
        <v>34</v>
      </c>
      <c r="I401" t="s">
        <v>842</v>
      </c>
      <c r="J401" t="s">
        <v>28</v>
      </c>
      <c r="K401" s="4">
        <f>VLOOKUP(J401,Exchange_Rates!A:B,2,FALSE)</f>
        <v>1.27</v>
      </c>
      <c r="L401" s="4">
        <f t="shared" si="24"/>
        <v>0</v>
      </c>
      <c r="M401" s="4">
        <f t="shared" si="25"/>
        <v>1209.7893000000001</v>
      </c>
      <c r="N401" s="4">
        <f t="shared" si="26"/>
        <v>2024</v>
      </c>
      <c r="O401" s="4">
        <f t="shared" si="27"/>
        <v>3</v>
      </c>
    </row>
    <row r="402" spans="1:15" x14ac:dyDescent="0.25">
      <c r="A402" t="s">
        <v>843</v>
      </c>
      <c r="B402" s="2">
        <v>45493</v>
      </c>
      <c r="C402" t="s">
        <v>49</v>
      </c>
      <c r="D402" t="s">
        <v>50</v>
      </c>
      <c r="E402">
        <v>312.45</v>
      </c>
      <c r="F402">
        <v>0</v>
      </c>
      <c r="G402" t="s">
        <v>9</v>
      </c>
      <c r="H402" t="s">
        <v>26</v>
      </c>
      <c r="I402" t="s">
        <v>844</v>
      </c>
      <c r="J402" t="s">
        <v>28</v>
      </c>
      <c r="K402" s="4">
        <f>VLOOKUP(J402,Exchange_Rates!A:B,2,FALSE)</f>
        <v>1.27</v>
      </c>
      <c r="L402" s="4">
        <f t="shared" si="24"/>
        <v>396.81149999999997</v>
      </c>
      <c r="M402" s="4">
        <f t="shared" si="25"/>
        <v>0</v>
      </c>
      <c r="N402" s="4">
        <f t="shared" si="26"/>
        <v>2024</v>
      </c>
      <c r="O402" s="4">
        <f t="shared" si="27"/>
        <v>3</v>
      </c>
    </row>
    <row r="403" spans="1:15" x14ac:dyDescent="0.25">
      <c r="A403" t="s">
        <v>845</v>
      </c>
      <c r="B403" s="2">
        <v>45679</v>
      </c>
      <c r="C403" t="s">
        <v>49</v>
      </c>
      <c r="D403" t="s">
        <v>50</v>
      </c>
      <c r="E403">
        <v>571.80999999999995</v>
      </c>
      <c r="F403">
        <v>0</v>
      </c>
      <c r="G403" t="s">
        <v>12</v>
      </c>
      <c r="H403" t="s">
        <v>51</v>
      </c>
      <c r="I403" t="s">
        <v>846</v>
      </c>
      <c r="J403" t="s">
        <v>36</v>
      </c>
      <c r="K403" s="4">
        <f>VLOOKUP(J403,Exchange_Rates!A:B,2,FALSE)</f>
        <v>1.08</v>
      </c>
      <c r="L403" s="4">
        <f t="shared" si="24"/>
        <v>617.5548</v>
      </c>
      <c r="M403" s="4">
        <f t="shared" si="25"/>
        <v>0</v>
      </c>
      <c r="N403" s="4">
        <f t="shared" si="26"/>
        <v>2025</v>
      </c>
      <c r="O403" s="4">
        <f t="shared" si="27"/>
        <v>1</v>
      </c>
    </row>
    <row r="404" spans="1:15" x14ac:dyDescent="0.25">
      <c r="A404" t="s">
        <v>847</v>
      </c>
      <c r="B404" s="2">
        <v>45647</v>
      </c>
      <c r="C404" t="s">
        <v>49</v>
      </c>
      <c r="D404" t="s">
        <v>50</v>
      </c>
      <c r="E404">
        <v>750.55</v>
      </c>
      <c r="F404">
        <v>0</v>
      </c>
      <c r="G404" t="s">
        <v>9</v>
      </c>
      <c r="H404" t="s">
        <v>40</v>
      </c>
      <c r="I404" t="s">
        <v>848</v>
      </c>
      <c r="J404" t="s">
        <v>64</v>
      </c>
      <c r="K404" s="4">
        <f>VLOOKUP(J404,Exchange_Rates!A:B,2,FALSE)</f>
        <v>0.73</v>
      </c>
      <c r="L404" s="4">
        <f t="shared" si="24"/>
        <v>547.90149999999994</v>
      </c>
      <c r="M404" s="4">
        <f t="shared" si="25"/>
        <v>0</v>
      </c>
      <c r="N404" s="4">
        <f t="shared" si="26"/>
        <v>2024</v>
      </c>
      <c r="O404" s="4">
        <f t="shared" si="27"/>
        <v>4</v>
      </c>
    </row>
    <row r="405" spans="1:15" x14ac:dyDescent="0.25">
      <c r="A405" t="s">
        <v>849</v>
      </c>
      <c r="B405" s="2">
        <v>44985</v>
      </c>
      <c r="C405" t="s">
        <v>60</v>
      </c>
      <c r="D405" t="s">
        <v>61</v>
      </c>
      <c r="E405">
        <v>0</v>
      </c>
      <c r="F405">
        <v>4835.87</v>
      </c>
      <c r="G405" t="s">
        <v>10</v>
      </c>
      <c r="H405" t="s">
        <v>26</v>
      </c>
      <c r="I405" t="s">
        <v>850</v>
      </c>
      <c r="J405" t="s">
        <v>36</v>
      </c>
      <c r="K405" s="4">
        <f>VLOOKUP(J405,Exchange_Rates!A:B,2,FALSE)</f>
        <v>1.08</v>
      </c>
      <c r="L405" s="4">
        <f t="shared" si="24"/>
        <v>0</v>
      </c>
      <c r="M405" s="4">
        <f t="shared" si="25"/>
        <v>5222.7395999999999</v>
      </c>
      <c r="N405" s="4">
        <f t="shared" si="26"/>
        <v>2023</v>
      </c>
      <c r="O405" s="4">
        <f t="shared" si="27"/>
        <v>1</v>
      </c>
    </row>
    <row r="406" spans="1:15" x14ac:dyDescent="0.25">
      <c r="A406" t="s">
        <v>851</v>
      </c>
      <c r="B406" s="2">
        <v>45684</v>
      </c>
      <c r="C406" t="s">
        <v>24</v>
      </c>
      <c r="D406" t="s">
        <v>25</v>
      </c>
      <c r="E406">
        <v>0</v>
      </c>
      <c r="F406">
        <v>2979.48</v>
      </c>
      <c r="G406" t="s">
        <v>13</v>
      </c>
      <c r="H406" t="s">
        <v>26</v>
      </c>
      <c r="I406" t="s">
        <v>852</v>
      </c>
      <c r="J406" t="s">
        <v>28</v>
      </c>
      <c r="K406" s="4">
        <f>VLOOKUP(J406,Exchange_Rates!A:B,2,FALSE)</f>
        <v>1.27</v>
      </c>
      <c r="L406" s="4">
        <f t="shared" si="24"/>
        <v>0</v>
      </c>
      <c r="M406" s="4">
        <f t="shared" si="25"/>
        <v>3783.9396000000002</v>
      </c>
      <c r="N406" s="4">
        <f t="shared" si="26"/>
        <v>2025</v>
      </c>
      <c r="O406" s="4">
        <f t="shared" si="27"/>
        <v>1</v>
      </c>
    </row>
    <row r="407" spans="1:15" x14ac:dyDescent="0.25">
      <c r="A407" t="s">
        <v>853</v>
      </c>
      <c r="B407" s="2">
        <v>45432</v>
      </c>
      <c r="C407" t="s">
        <v>30</v>
      </c>
      <c r="D407" t="s">
        <v>31</v>
      </c>
      <c r="E407">
        <v>1288.94</v>
      </c>
      <c r="F407">
        <v>0</v>
      </c>
      <c r="G407" t="s">
        <v>11</v>
      </c>
      <c r="H407" t="s">
        <v>26</v>
      </c>
      <c r="I407" t="s">
        <v>854</v>
      </c>
      <c r="J407" t="s">
        <v>28</v>
      </c>
      <c r="K407" s="4">
        <f>VLOOKUP(J407,Exchange_Rates!A:B,2,FALSE)</f>
        <v>1.27</v>
      </c>
      <c r="L407" s="4">
        <f t="shared" si="24"/>
        <v>1636.9538</v>
      </c>
      <c r="M407" s="4">
        <f t="shared" si="25"/>
        <v>0</v>
      </c>
      <c r="N407" s="4">
        <f t="shared" si="26"/>
        <v>2024</v>
      </c>
      <c r="O407" s="4">
        <f t="shared" si="27"/>
        <v>2</v>
      </c>
    </row>
    <row r="408" spans="1:15" x14ac:dyDescent="0.25">
      <c r="A408" t="s">
        <v>855</v>
      </c>
      <c r="B408" s="2">
        <v>45055</v>
      </c>
      <c r="C408" t="s">
        <v>30</v>
      </c>
      <c r="D408" t="s">
        <v>31</v>
      </c>
      <c r="E408">
        <v>578.6</v>
      </c>
      <c r="F408">
        <v>0</v>
      </c>
      <c r="G408" t="s">
        <v>11</v>
      </c>
      <c r="H408" t="s">
        <v>51</v>
      </c>
      <c r="I408" t="s">
        <v>856</v>
      </c>
      <c r="J408" t="s">
        <v>42</v>
      </c>
      <c r="K408" s="4">
        <f>VLOOKUP(J408,Exchange_Rates!A:B,2,FALSE)</f>
        <v>0.66</v>
      </c>
      <c r="L408" s="4">
        <f t="shared" si="24"/>
        <v>381.87600000000003</v>
      </c>
      <c r="M408" s="4">
        <f t="shared" si="25"/>
        <v>0</v>
      </c>
      <c r="N408" s="4">
        <f t="shared" si="26"/>
        <v>2023</v>
      </c>
      <c r="O408" s="4">
        <f t="shared" si="27"/>
        <v>2</v>
      </c>
    </row>
    <row r="409" spans="1:15" x14ac:dyDescent="0.25">
      <c r="A409" t="s">
        <v>857</v>
      </c>
      <c r="B409" s="2">
        <v>45742</v>
      </c>
      <c r="C409" t="s">
        <v>30</v>
      </c>
      <c r="D409" t="s">
        <v>31</v>
      </c>
      <c r="E409">
        <v>341.06</v>
      </c>
      <c r="F409">
        <v>0</v>
      </c>
      <c r="G409" t="s">
        <v>13</v>
      </c>
      <c r="H409" t="s">
        <v>62</v>
      </c>
      <c r="I409" t="s">
        <v>858</v>
      </c>
      <c r="J409" t="s">
        <v>42</v>
      </c>
      <c r="K409" s="4">
        <f>VLOOKUP(J409,Exchange_Rates!A:B,2,FALSE)</f>
        <v>0.66</v>
      </c>
      <c r="L409" s="4">
        <f t="shared" si="24"/>
        <v>225.09960000000001</v>
      </c>
      <c r="M409" s="4">
        <f t="shared" si="25"/>
        <v>0</v>
      </c>
      <c r="N409" s="4">
        <f t="shared" si="26"/>
        <v>2025</v>
      </c>
      <c r="O409" s="4">
        <f t="shared" si="27"/>
        <v>1</v>
      </c>
    </row>
    <row r="410" spans="1:15" x14ac:dyDescent="0.25">
      <c r="A410" t="s">
        <v>859</v>
      </c>
      <c r="B410" s="2">
        <v>45390</v>
      </c>
      <c r="C410" t="s">
        <v>49</v>
      </c>
      <c r="D410" t="s">
        <v>50</v>
      </c>
      <c r="E410">
        <v>1074.77</v>
      </c>
      <c r="F410">
        <v>0</v>
      </c>
      <c r="G410" t="s">
        <v>9</v>
      </c>
      <c r="H410" t="s">
        <v>51</v>
      </c>
      <c r="I410" t="s">
        <v>860</v>
      </c>
      <c r="J410" t="s">
        <v>36</v>
      </c>
      <c r="K410" s="4">
        <f>VLOOKUP(J410,Exchange_Rates!A:B,2,FALSE)</f>
        <v>1.08</v>
      </c>
      <c r="L410" s="4">
        <f t="shared" si="24"/>
        <v>1160.7516000000001</v>
      </c>
      <c r="M410" s="4">
        <f t="shared" si="25"/>
        <v>0</v>
      </c>
      <c r="N410" s="4">
        <f t="shared" si="26"/>
        <v>2024</v>
      </c>
      <c r="O410" s="4">
        <f t="shared" si="27"/>
        <v>2</v>
      </c>
    </row>
    <row r="411" spans="1:15" x14ac:dyDescent="0.25">
      <c r="A411" t="s">
        <v>861</v>
      </c>
      <c r="B411" s="2">
        <v>45433</v>
      </c>
      <c r="C411" t="s">
        <v>60</v>
      </c>
      <c r="D411" t="s">
        <v>61</v>
      </c>
      <c r="E411">
        <v>0</v>
      </c>
      <c r="F411">
        <v>1025.56</v>
      </c>
      <c r="G411" t="s">
        <v>9</v>
      </c>
      <c r="H411" t="s">
        <v>26</v>
      </c>
      <c r="I411" t="s">
        <v>862</v>
      </c>
      <c r="J411" t="s">
        <v>28</v>
      </c>
      <c r="K411" s="4">
        <f>VLOOKUP(J411,Exchange_Rates!A:B,2,FALSE)</f>
        <v>1.27</v>
      </c>
      <c r="L411" s="4">
        <f t="shared" si="24"/>
        <v>0</v>
      </c>
      <c r="M411" s="4">
        <f t="shared" si="25"/>
        <v>1302.4612</v>
      </c>
      <c r="N411" s="4">
        <f t="shared" si="26"/>
        <v>2024</v>
      </c>
      <c r="O411" s="4">
        <f t="shared" si="27"/>
        <v>2</v>
      </c>
    </row>
    <row r="412" spans="1:15" x14ac:dyDescent="0.25">
      <c r="A412" t="s">
        <v>863</v>
      </c>
      <c r="B412" s="2">
        <v>45368</v>
      </c>
      <c r="C412" t="s">
        <v>24</v>
      </c>
      <c r="D412" t="s">
        <v>25</v>
      </c>
      <c r="E412">
        <v>0</v>
      </c>
      <c r="F412">
        <v>1148.8499999999999</v>
      </c>
      <c r="G412" t="s">
        <v>8</v>
      </c>
      <c r="H412" t="s">
        <v>40</v>
      </c>
      <c r="I412" t="s">
        <v>864</v>
      </c>
      <c r="J412" t="s">
        <v>28</v>
      </c>
      <c r="K412" s="4">
        <f>VLOOKUP(J412,Exchange_Rates!A:B,2,FALSE)</f>
        <v>1.27</v>
      </c>
      <c r="L412" s="4">
        <f t="shared" si="24"/>
        <v>0</v>
      </c>
      <c r="M412" s="4">
        <f t="shared" si="25"/>
        <v>1459.0394999999999</v>
      </c>
      <c r="N412" s="4">
        <f t="shared" si="26"/>
        <v>2024</v>
      </c>
      <c r="O412" s="4">
        <f t="shared" si="27"/>
        <v>1</v>
      </c>
    </row>
    <row r="413" spans="1:15" x14ac:dyDescent="0.25">
      <c r="A413" t="s">
        <v>865</v>
      </c>
      <c r="B413" s="2">
        <v>45242</v>
      </c>
      <c r="C413" t="s">
        <v>30</v>
      </c>
      <c r="D413" t="s">
        <v>31</v>
      </c>
      <c r="E413">
        <v>1644.1</v>
      </c>
      <c r="F413">
        <v>0</v>
      </c>
      <c r="G413" t="s">
        <v>11</v>
      </c>
      <c r="H413" t="s">
        <v>40</v>
      </c>
      <c r="I413" t="s">
        <v>866</v>
      </c>
      <c r="J413" t="s">
        <v>36</v>
      </c>
      <c r="K413" s="4">
        <f>VLOOKUP(J413,Exchange_Rates!A:B,2,FALSE)</f>
        <v>1.08</v>
      </c>
      <c r="L413" s="4">
        <f t="shared" si="24"/>
        <v>1775.6279999999999</v>
      </c>
      <c r="M413" s="4">
        <f t="shared" si="25"/>
        <v>0</v>
      </c>
      <c r="N413" s="4">
        <f t="shared" si="26"/>
        <v>2023</v>
      </c>
      <c r="O413" s="4">
        <f t="shared" si="27"/>
        <v>4</v>
      </c>
    </row>
    <row r="414" spans="1:15" x14ac:dyDescent="0.25">
      <c r="A414" t="s">
        <v>867</v>
      </c>
      <c r="B414" s="2">
        <v>45308</v>
      </c>
      <c r="C414" t="s">
        <v>60</v>
      </c>
      <c r="D414" t="s">
        <v>61</v>
      </c>
      <c r="E414">
        <v>0</v>
      </c>
      <c r="F414">
        <v>3002.11</v>
      </c>
      <c r="G414" t="s">
        <v>12</v>
      </c>
      <c r="H414" t="s">
        <v>40</v>
      </c>
      <c r="I414" t="s">
        <v>868</v>
      </c>
      <c r="J414" t="s">
        <v>28</v>
      </c>
      <c r="K414" s="4">
        <f>VLOOKUP(J414,Exchange_Rates!A:B,2,FALSE)</f>
        <v>1.27</v>
      </c>
      <c r="L414" s="4">
        <f t="shared" si="24"/>
        <v>0</v>
      </c>
      <c r="M414" s="4">
        <f t="shared" si="25"/>
        <v>3812.6797000000001</v>
      </c>
      <c r="N414" s="4">
        <f t="shared" si="26"/>
        <v>2024</v>
      </c>
      <c r="O414" s="4">
        <f t="shared" si="27"/>
        <v>1</v>
      </c>
    </row>
    <row r="415" spans="1:15" x14ac:dyDescent="0.25">
      <c r="A415" t="s">
        <v>869</v>
      </c>
      <c r="B415" s="2">
        <v>45338</v>
      </c>
      <c r="C415" t="s">
        <v>49</v>
      </c>
      <c r="D415" t="s">
        <v>50</v>
      </c>
      <c r="E415">
        <v>327.57</v>
      </c>
      <c r="F415">
        <v>0</v>
      </c>
      <c r="G415" t="s">
        <v>9</v>
      </c>
      <c r="H415" t="s">
        <v>62</v>
      </c>
      <c r="I415" t="s">
        <v>870</v>
      </c>
      <c r="J415" t="s">
        <v>36</v>
      </c>
      <c r="K415" s="4">
        <f>VLOOKUP(J415,Exchange_Rates!A:B,2,FALSE)</f>
        <v>1.08</v>
      </c>
      <c r="L415" s="4">
        <f t="shared" si="24"/>
        <v>353.7756</v>
      </c>
      <c r="M415" s="4">
        <f t="shared" si="25"/>
        <v>0</v>
      </c>
      <c r="N415" s="4">
        <f t="shared" si="26"/>
        <v>2024</v>
      </c>
      <c r="O415" s="4">
        <f t="shared" si="27"/>
        <v>1</v>
      </c>
    </row>
    <row r="416" spans="1:15" x14ac:dyDescent="0.25">
      <c r="A416" t="s">
        <v>871</v>
      </c>
      <c r="B416" s="2">
        <v>45167</v>
      </c>
      <c r="C416" t="s">
        <v>24</v>
      </c>
      <c r="D416" t="s">
        <v>25</v>
      </c>
      <c r="E416">
        <v>0</v>
      </c>
      <c r="F416">
        <v>2146.0700000000002</v>
      </c>
      <c r="G416" t="s">
        <v>12</v>
      </c>
      <c r="H416" t="s">
        <v>26</v>
      </c>
      <c r="I416" t="s">
        <v>872</v>
      </c>
      <c r="J416" t="s">
        <v>42</v>
      </c>
      <c r="K416" s="4">
        <f>VLOOKUP(J416,Exchange_Rates!A:B,2,FALSE)</f>
        <v>0.66</v>
      </c>
      <c r="L416" s="4">
        <f t="shared" si="24"/>
        <v>0</v>
      </c>
      <c r="M416" s="4">
        <f t="shared" si="25"/>
        <v>1416.4062000000001</v>
      </c>
      <c r="N416" s="4">
        <f t="shared" si="26"/>
        <v>2023</v>
      </c>
      <c r="O416" s="4">
        <f t="shared" si="27"/>
        <v>3</v>
      </c>
    </row>
    <row r="417" spans="1:15" x14ac:dyDescent="0.25">
      <c r="A417" t="s">
        <v>873</v>
      </c>
      <c r="B417" s="2">
        <v>45517</v>
      </c>
      <c r="C417" t="s">
        <v>24</v>
      </c>
      <c r="D417" t="s">
        <v>25</v>
      </c>
      <c r="E417">
        <v>0</v>
      </c>
      <c r="F417">
        <v>811.92</v>
      </c>
      <c r="G417" t="s">
        <v>9</v>
      </c>
      <c r="H417" t="s">
        <v>26</v>
      </c>
      <c r="I417" t="s">
        <v>874</v>
      </c>
      <c r="J417" t="s">
        <v>42</v>
      </c>
      <c r="K417" s="4">
        <f>VLOOKUP(J417,Exchange_Rates!A:B,2,FALSE)</f>
        <v>0.66</v>
      </c>
      <c r="L417" s="4">
        <f t="shared" si="24"/>
        <v>0</v>
      </c>
      <c r="M417" s="4">
        <f t="shared" si="25"/>
        <v>535.86720000000003</v>
      </c>
      <c r="N417" s="4">
        <f t="shared" si="26"/>
        <v>2024</v>
      </c>
      <c r="O417" s="4">
        <f t="shared" si="27"/>
        <v>3</v>
      </c>
    </row>
    <row r="418" spans="1:15" x14ac:dyDescent="0.25">
      <c r="A418" t="s">
        <v>875</v>
      </c>
      <c r="B418" s="2">
        <v>45513</v>
      </c>
      <c r="C418" t="s">
        <v>30</v>
      </c>
      <c r="D418" t="s">
        <v>31</v>
      </c>
      <c r="E418">
        <v>943.91</v>
      </c>
      <c r="F418">
        <v>0</v>
      </c>
      <c r="G418" t="s">
        <v>9</v>
      </c>
      <c r="H418" t="s">
        <v>51</v>
      </c>
      <c r="I418" t="s">
        <v>876</v>
      </c>
      <c r="J418" t="s">
        <v>45</v>
      </c>
      <c r="K418" s="4">
        <f>VLOOKUP(J418,Exchange_Rates!A:B,2,FALSE)</f>
        <v>1</v>
      </c>
      <c r="L418" s="4">
        <f t="shared" si="24"/>
        <v>943.91</v>
      </c>
      <c r="M418" s="4">
        <f t="shared" si="25"/>
        <v>0</v>
      </c>
      <c r="N418" s="4">
        <f t="shared" si="26"/>
        <v>2024</v>
      </c>
      <c r="O418" s="4">
        <f t="shared" si="27"/>
        <v>3</v>
      </c>
    </row>
    <row r="419" spans="1:15" x14ac:dyDescent="0.25">
      <c r="A419" t="s">
        <v>877</v>
      </c>
      <c r="B419" s="2">
        <v>45667</v>
      </c>
      <c r="C419" t="s">
        <v>30</v>
      </c>
      <c r="D419" t="s">
        <v>31</v>
      </c>
      <c r="E419">
        <v>453.48</v>
      </c>
      <c r="F419">
        <v>0</v>
      </c>
      <c r="G419" t="s">
        <v>11</v>
      </c>
      <c r="H419" t="s">
        <v>26</v>
      </c>
      <c r="I419" t="s">
        <v>878</v>
      </c>
      <c r="J419" t="s">
        <v>45</v>
      </c>
      <c r="K419" s="4">
        <f>VLOOKUP(J419,Exchange_Rates!A:B,2,FALSE)</f>
        <v>1</v>
      </c>
      <c r="L419" s="4">
        <f t="shared" si="24"/>
        <v>453.48</v>
      </c>
      <c r="M419" s="4">
        <f t="shared" si="25"/>
        <v>0</v>
      </c>
      <c r="N419" s="4">
        <f t="shared" si="26"/>
        <v>2025</v>
      </c>
      <c r="O419" s="4">
        <f t="shared" si="27"/>
        <v>1</v>
      </c>
    </row>
    <row r="420" spans="1:15" x14ac:dyDescent="0.25">
      <c r="A420" t="s">
        <v>879</v>
      </c>
      <c r="B420" s="2">
        <v>45120</v>
      </c>
      <c r="C420" t="s">
        <v>24</v>
      </c>
      <c r="D420" t="s">
        <v>25</v>
      </c>
      <c r="E420">
        <v>0</v>
      </c>
      <c r="F420">
        <v>4075.25</v>
      </c>
      <c r="G420" t="s">
        <v>9</v>
      </c>
      <c r="H420" t="s">
        <v>34</v>
      </c>
      <c r="I420" t="s">
        <v>880</v>
      </c>
      <c r="J420" t="s">
        <v>45</v>
      </c>
      <c r="K420" s="4">
        <f>VLOOKUP(J420,Exchange_Rates!A:B,2,FALSE)</f>
        <v>1</v>
      </c>
      <c r="L420" s="4">
        <f t="shared" si="24"/>
        <v>0</v>
      </c>
      <c r="M420" s="4">
        <f t="shared" si="25"/>
        <v>4075.25</v>
      </c>
      <c r="N420" s="4">
        <f t="shared" si="26"/>
        <v>2023</v>
      </c>
      <c r="O420" s="4">
        <f t="shared" si="27"/>
        <v>3</v>
      </c>
    </row>
    <row r="421" spans="1:15" x14ac:dyDescent="0.25">
      <c r="A421" t="s">
        <v>881</v>
      </c>
      <c r="B421" s="2">
        <v>45333</v>
      </c>
      <c r="C421" t="s">
        <v>24</v>
      </c>
      <c r="D421" t="s">
        <v>25</v>
      </c>
      <c r="E421">
        <v>0</v>
      </c>
      <c r="F421">
        <v>4559.4399999999996</v>
      </c>
      <c r="G421" t="s">
        <v>8</v>
      </c>
      <c r="H421" t="s">
        <v>62</v>
      </c>
      <c r="I421" t="s">
        <v>882</v>
      </c>
      <c r="J421" t="s">
        <v>28</v>
      </c>
      <c r="K421" s="4">
        <f>VLOOKUP(J421,Exchange_Rates!A:B,2,FALSE)</f>
        <v>1.27</v>
      </c>
      <c r="L421" s="4">
        <f t="shared" si="24"/>
        <v>0</v>
      </c>
      <c r="M421" s="4">
        <f t="shared" si="25"/>
        <v>5790.4887999999992</v>
      </c>
      <c r="N421" s="4">
        <f t="shared" si="26"/>
        <v>2024</v>
      </c>
      <c r="O421" s="4">
        <f t="shared" si="27"/>
        <v>1</v>
      </c>
    </row>
    <row r="422" spans="1:15" x14ac:dyDescent="0.25">
      <c r="A422" t="s">
        <v>883</v>
      </c>
      <c r="B422" s="2">
        <v>45745</v>
      </c>
      <c r="C422" t="s">
        <v>49</v>
      </c>
      <c r="D422" t="s">
        <v>50</v>
      </c>
      <c r="E422">
        <v>50.64</v>
      </c>
      <c r="F422">
        <v>0</v>
      </c>
      <c r="G422" t="s">
        <v>11</v>
      </c>
      <c r="H422" t="s">
        <v>40</v>
      </c>
      <c r="I422" t="s">
        <v>884</v>
      </c>
      <c r="J422" t="s">
        <v>36</v>
      </c>
      <c r="K422" s="4">
        <f>VLOOKUP(J422,Exchange_Rates!A:B,2,FALSE)</f>
        <v>1.08</v>
      </c>
      <c r="L422" s="4">
        <f t="shared" si="24"/>
        <v>54.691200000000002</v>
      </c>
      <c r="M422" s="4">
        <f t="shared" si="25"/>
        <v>0</v>
      </c>
      <c r="N422" s="4">
        <f t="shared" si="26"/>
        <v>2025</v>
      </c>
      <c r="O422" s="4">
        <f t="shared" si="27"/>
        <v>1</v>
      </c>
    </row>
    <row r="423" spans="1:15" x14ac:dyDescent="0.25">
      <c r="A423" t="s">
        <v>885</v>
      </c>
      <c r="B423" s="2">
        <v>45114</v>
      </c>
      <c r="C423" t="s">
        <v>30</v>
      </c>
      <c r="D423" t="s">
        <v>31</v>
      </c>
      <c r="E423">
        <v>1277.92</v>
      </c>
      <c r="F423">
        <v>0</v>
      </c>
      <c r="G423" t="s">
        <v>9</v>
      </c>
      <c r="H423" t="s">
        <v>62</v>
      </c>
      <c r="I423" t="s">
        <v>886</v>
      </c>
      <c r="J423" t="s">
        <v>36</v>
      </c>
      <c r="K423" s="4">
        <f>VLOOKUP(J423,Exchange_Rates!A:B,2,FALSE)</f>
        <v>1.08</v>
      </c>
      <c r="L423" s="4">
        <f t="shared" si="24"/>
        <v>1380.1536000000001</v>
      </c>
      <c r="M423" s="4">
        <f t="shared" si="25"/>
        <v>0</v>
      </c>
      <c r="N423" s="4">
        <f t="shared" si="26"/>
        <v>2023</v>
      </c>
      <c r="O423" s="4">
        <f t="shared" si="27"/>
        <v>3</v>
      </c>
    </row>
    <row r="424" spans="1:15" x14ac:dyDescent="0.25">
      <c r="A424" t="s">
        <v>887</v>
      </c>
      <c r="B424" s="2">
        <v>45249</v>
      </c>
      <c r="C424" t="s">
        <v>49</v>
      </c>
      <c r="D424" t="s">
        <v>50</v>
      </c>
      <c r="E424">
        <v>707.53</v>
      </c>
      <c r="F424">
        <v>0</v>
      </c>
      <c r="G424" t="s">
        <v>9</v>
      </c>
      <c r="H424" t="s">
        <v>40</v>
      </c>
      <c r="I424" t="s">
        <v>888</v>
      </c>
      <c r="J424" t="s">
        <v>45</v>
      </c>
      <c r="K424" s="4">
        <f>VLOOKUP(J424,Exchange_Rates!A:B,2,FALSE)</f>
        <v>1</v>
      </c>
      <c r="L424" s="4">
        <f t="shared" si="24"/>
        <v>707.53</v>
      </c>
      <c r="M424" s="4">
        <f t="shared" si="25"/>
        <v>0</v>
      </c>
      <c r="N424" s="4">
        <f t="shared" si="26"/>
        <v>2023</v>
      </c>
      <c r="O424" s="4">
        <f t="shared" si="27"/>
        <v>4</v>
      </c>
    </row>
    <row r="425" spans="1:15" x14ac:dyDescent="0.25">
      <c r="A425" t="s">
        <v>889</v>
      </c>
      <c r="B425" s="2">
        <v>45336</v>
      </c>
      <c r="C425" t="s">
        <v>38</v>
      </c>
      <c r="D425" t="s">
        <v>39</v>
      </c>
      <c r="E425">
        <v>356.21</v>
      </c>
      <c r="F425">
        <v>0</v>
      </c>
      <c r="G425" t="s">
        <v>13</v>
      </c>
      <c r="H425" t="s">
        <v>26</v>
      </c>
      <c r="I425" t="s">
        <v>890</v>
      </c>
      <c r="J425" t="s">
        <v>36</v>
      </c>
      <c r="K425" s="4">
        <f>VLOOKUP(J425,Exchange_Rates!A:B,2,FALSE)</f>
        <v>1.08</v>
      </c>
      <c r="L425" s="4">
        <f t="shared" si="24"/>
        <v>384.70679999999999</v>
      </c>
      <c r="M425" s="4">
        <f t="shared" si="25"/>
        <v>0</v>
      </c>
      <c r="N425" s="4">
        <f t="shared" si="26"/>
        <v>2024</v>
      </c>
      <c r="O425" s="4">
        <f t="shared" si="27"/>
        <v>1</v>
      </c>
    </row>
    <row r="426" spans="1:15" x14ac:dyDescent="0.25">
      <c r="A426" t="s">
        <v>891</v>
      </c>
      <c r="B426" s="2">
        <v>45611</v>
      </c>
      <c r="C426" t="s">
        <v>49</v>
      </c>
      <c r="D426" t="s">
        <v>50</v>
      </c>
      <c r="E426">
        <v>189.31</v>
      </c>
      <c r="F426">
        <v>0</v>
      </c>
      <c r="G426" t="s">
        <v>9</v>
      </c>
      <c r="H426" t="s">
        <v>62</v>
      </c>
      <c r="I426" t="s">
        <v>892</v>
      </c>
      <c r="J426" t="s">
        <v>36</v>
      </c>
      <c r="K426" s="4">
        <f>VLOOKUP(J426,Exchange_Rates!A:B,2,FALSE)</f>
        <v>1.08</v>
      </c>
      <c r="L426" s="4">
        <f t="shared" si="24"/>
        <v>204.45480000000001</v>
      </c>
      <c r="M426" s="4">
        <f t="shared" si="25"/>
        <v>0</v>
      </c>
      <c r="N426" s="4">
        <f t="shared" si="26"/>
        <v>2024</v>
      </c>
      <c r="O426" s="4">
        <f t="shared" si="27"/>
        <v>4</v>
      </c>
    </row>
    <row r="427" spans="1:15" x14ac:dyDescent="0.25">
      <c r="A427" t="s">
        <v>893</v>
      </c>
      <c r="B427" s="2">
        <v>45319</v>
      </c>
      <c r="C427" t="s">
        <v>38</v>
      </c>
      <c r="D427" t="s">
        <v>39</v>
      </c>
      <c r="E427">
        <v>519.61</v>
      </c>
      <c r="F427">
        <v>0</v>
      </c>
      <c r="G427" t="s">
        <v>12</v>
      </c>
      <c r="H427" t="s">
        <v>34</v>
      </c>
      <c r="I427" t="s">
        <v>894</v>
      </c>
      <c r="J427" t="s">
        <v>28</v>
      </c>
      <c r="K427" s="4">
        <f>VLOOKUP(J427,Exchange_Rates!A:B,2,FALSE)</f>
        <v>1.27</v>
      </c>
      <c r="L427" s="4">
        <f t="shared" si="24"/>
        <v>659.90470000000005</v>
      </c>
      <c r="M427" s="4">
        <f t="shared" si="25"/>
        <v>0</v>
      </c>
      <c r="N427" s="4">
        <f t="shared" si="26"/>
        <v>2024</v>
      </c>
      <c r="O427" s="4">
        <f t="shared" si="27"/>
        <v>1</v>
      </c>
    </row>
    <row r="428" spans="1:15" x14ac:dyDescent="0.25">
      <c r="A428" t="s">
        <v>895</v>
      </c>
      <c r="B428" s="2">
        <v>45341</v>
      </c>
      <c r="C428" t="s">
        <v>24</v>
      </c>
      <c r="D428" t="s">
        <v>25</v>
      </c>
      <c r="E428">
        <v>0</v>
      </c>
      <c r="F428">
        <v>3923.81</v>
      </c>
      <c r="G428" t="s">
        <v>13</v>
      </c>
      <c r="H428" t="s">
        <v>40</v>
      </c>
      <c r="I428" t="s">
        <v>896</v>
      </c>
      <c r="J428" t="s">
        <v>42</v>
      </c>
      <c r="K428" s="4">
        <f>VLOOKUP(J428,Exchange_Rates!A:B,2,FALSE)</f>
        <v>0.66</v>
      </c>
      <c r="L428" s="4">
        <f t="shared" si="24"/>
        <v>0</v>
      </c>
      <c r="M428" s="4">
        <f t="shared" si="25"/>
        <v>2589.7146000000002</v>
      </c>
      <c r="N428" s="4">
        <f t="shared" si="26"/>
        <v>2024</v>
      </c>
      <c r="O428" s="4">
        <f t="shared" si="27"/>
        <v>1</v>
      </c>
    </row>
    <row r="429" spans="1:15" x14ac:dyDescent="0.25">
      <c r="A429" t="s">
        <v>897</v>
      </c>
      <c r="B429" s="2">
        <v>45227</v>
      </c>
      <c r="C429" t="s">
        <v>30</v>
      </c>
      <c r="D429" t="s">
        <v>31</v>
      </c>
      <c r="E429">
        <v>171.38</v>
      </c>
      <c r="F429">
        <v>0</v>
      </c>
      <c r="G429" t="s">
        <v>12</v>
      </c>
      <c r="H429" t="s">
        <v>40</v>
      </c>
      <c r="I429" t="s">
        <v>898</v>
      </c>
      <c r="J429" t="s">
        <v>64</v>
      </c>
      <c r="K429" s="4">
        <f>VLOOKUP(J429,Exchange_Rates!A:B,2,FALSE)</f>
        <v>0.73</v>
      </c>
      <c r="L429" s="4">
        <f t="shared" si="24"/>
        <v>125.1074</v>
      </c>
      <c r="M429" s="4">
        <f t="shared" si="25"/>
        <v>0</v>
      </c>
      <c r="N429" s="4">
        <f t="shared" si="26"/>
        <v>2023</v>
      </c>
      <c r="O429" s="4">
        <f t="shared" si="27"/>
        <v>4</v>
      </c>
    </row>
    <row r="430" spans="1:15" x14ac:dyDescent="0.25">
      <c r="A430" t="s">
        <v>899</v>
      </c>
      <c r="B430" s="2">
        <v>45114</v>
      </c>
      <c r="C430" t="s">
        <v>30</v>
      </c>
      <c r="D430" t="s">
        <v>31</v>
      </c>
      <c r="E430">
        <v>960.38</v>
      </c>
      <c r="F430">
        <v>0</v>
      </c>
      <c r="G430" t="s">
        <v>12</v>
      </c>
      <c r="H430" t="s">
        <v>62</v>
      </c>
      <c r="I430" t="s">
        <v>900</v>
      </c>
      <c r="J430" t="s">
        <v>36</v>
      </c>
      <c r="K430" s="4">
        <f>VLOOKUP(J430,Exchange_Rates!A:B,2,FALSE)</f>
        <v>1.08</v>
      </c>
      <c r="L430" s="4">
        <f t="shared" si="24"/>
        <v>1037.2104000000002</v>
      </c>
      <c r="M430" s="4">
        <f t="shared" si="25"/>
        <v>0</v>
      </c>
      <c r="N430" s="4">
        <f t="shared" si="26"/>
        <v>2023</v>
      </c>
      <c r="O430" s="4">
        <f t="shared" si="27"/>
        <v>3</v>
      </c>
    </row>
    <row r="431" spans="1:15" x14ac:dyDescent="0.25">
      <c r="A431" t="s">
        <v>901</v>
      </c>
      <c r="B431" s="2">
        <v>45001</v>
      </c>
      <c r="C431" t="s">
        <v>49</v>
      </c>
      <c r="D431" t="s">
        <v>50</v>
      </c>
      <c r="E431">
        <v>931.96</v>
      </c>
      <c r="F431">
        <v>0</v>
      </c>
      <c r="G431" t="s">
        <v>12</v>
      </c>
      <c r="H431" t="s">
        <v>62</v>
      </c>
      <c r="I431" t="s">
        <v>902</v>
      </c>
      <c r="J431" t="s">
        <v>28</v>
      </c>
      <c r="K431" s="4">
        <f>VLOOKUP(J431,Exchange_Rates!A:B,2,FALSE)</f>
        <v>1.27</v>
      </c>
      <c r="L431" s="4">
        <f t="shared" si="24"/>
        <v>1183.5892000000001</v>
      </c>
      <c r="M431" s="4">
        <f t="shared" si="25"/>
        <v>0</v>
      </c>
      <c r="N431" s="4">
        <f t="shared" si="26"/>
        <v>2023</v>
      </c>
      <c r="O431" s="4">
        <f t="shared" si="27"/>
        <v>1</v>
      </c>
    </row>
    <row r="432" spans="1:15" x14ac:dyDescent="0.25">
      <c r="A432" t="s">
        <v>903</v>
      </c>
      <c r="B432" s="2">
        <v>45267</v>
      </c>
      <c r="C432" t="s">
        <v>24</v>
      </c>
      <c r="D432" t="s">
        <v>25</v>
      </c>
      <c r="E432">
        <v>0</v>
      </c>
      <c r="F432">
        <v>353.32</v>
      </c>
      <c r="G432" t="s">
        <v>8</v>
      </c>
      <c r="H432" t="s">
        <v>34</v>
      </c>
      <c r="I432" t="s">
        <v>904</v>
      </c>
      <c r="J432" t="s">
        <v>45</v>
      </c>
      <c r="K432" s="4">
        <f>VLOOKUP(J432,Exchange_Rates!A:B,2,FALSE)</f>
        <v>1</v>
      </c>
      <c r="L432" s="4">
        <f t="shared" si="24"/>
        <v>0</v>
      </c>
      <c r="M432" s="4">
        <f t="shared" si="25"/>
        <v>353.32</v>
      </c>
      <c r="N432" s="4">
        <f t="shared" si="26"/>
        <v>2023</v>
      </c>
      <c r="O432" s="4">
        <f t="shared" si="27"/>
        <v>4</v>
      </c>
    </row>
    <row r="433" spans="1:15" x14ac:dyDescent="0.25">
      <c r="A433" t="s">
        <v>905</v>
      </c>
      <c r="B433" s="2">
        <v>45695</v>
      </c>
      <c r="C433" t="s">
        <v>38</v>
      </c>
      <c r="D433" t="s">
        <v>39</v>
      </c>
      <c r="E433">
        <v>66.08</v>
      </c>
      <c r="F433">
        <v>0</v>
      </c>
      <c r="G433" t="s">
        <v>10</v>
      </c>
      <c r="H433" t="s">
        <v>51</v>
      </c>
      <c r="I433" t="s">
        <v>906</v>
      </c>
      <c r="J433" t="s">
        <v>28</v>
      </c>
      <c r="K433" s="4">
        <f>VLOOKUP(J433,Exchange_Rates!A:B,2,FALSE)</f>
        <v>1.27</v>
      </c>
      <c r="L433" s="4">
        <f t="shared" si="24"/>
        <v>83.921599999999998</v>
      </c>
      <c r="M433" s="4">
        <f t="shared" si="25"/>
        <v>0</v>
      </c>
      <c r="N433" s="4">
        <f t="shared" si="26"/>
        <v>2025</v>
      </c>
      <c r="O433" s="4">
        <f t="shared" si="27"/>
        <v>1</v>
      </c>
    </row>
    <row r="434" spans="1:15" x14ac:dyDescent="0.25">
      <c r="A434" t="s">
        <v>907</v>
      </c>
      <c r="B434" s="2">
        <v>45496</v>
      </c>
      <c r="C434" t="s">
        <v>24</v>
      </c>
      <c r="D434" t="s">
        <v>25</v>
      </c>
      <c r="E434">
        <v>0</v>
      </c>
      <c r="F434">
        <v>361.74</v>
      </c>
      <c r="G434" t="s">
        <v>12</v>
      </c>
      <c r="H434" t="s">
        <v>62</v>
      </c>
      <c r="I434" t="s">
        <v>908</v>
      </c>
      <c r="J434" t="s">
        <v>28</v>
      </c>
      <c r="K434" s="4">
        <f>VLOOKUP(J434,Exchange_Rates!A:B,2,FALSE)</f>
        <v>1.27</v>
      </c>
      <c r="L434" s="4">
        <f t="shared" si="24"/>
        <v>0</v>
      </c>
      <c r="M434" s="4">
        <f t="shared" si="25"/>
        <v>459.40980000000002</v>
      </c>
      <c r="N434" s="4">
        <f t="shared" si="26"/>
        <v>2024</v>
      </c>
      <c r="O434" s="4">
        <f t="shared" si="27"/>
        <v>3</v>
      </c>
    </row>
    <row r="435" spans="1:15" x14ac:dyDescent="0.25">
      <c r="A435" t="s">
        <v>909</v>
      </c>
      <c r="B435" s="2">
        <v>44932</v>
      </c>
      <c r="C435" t="s">
        <v>38</v>
      </c>
      <c r="D435" t="s">
        <v>39</v>
      </c>
      <c r="E435">
        <v>1392.66</v>
      </c>
      <c r="F435">
        <v>0</v>
      </c>
      <c r="G435" t="s">
        <v>10</v>
      </c>
      <c r="H435" t="s">
        <v>62</v>
      </c>
      <c r="I435" t="s">
        <v>910</v>
      </c>
      <c r="J435" t="s">
        <v>64</v>
      </c>
      <c r="K435" s="4">
        <f>VLOOKUP(J435,Exchange_Rates!A:B,2,FALSE)</f>
        <v>0.73</v>
      </c>
      <c r="L435" s="4">
        <f t="shared" si="24"/>
        <v>1016.6418</v>
      </c>
      <c r="M435" s="4">
        <f t="shared" si="25"/>
        <v>0</v>
      </c>
      <c r="N435" s="4">
        <f t="shared" si="26"/>
        <v>2023</v>
      </c>
      <c r="O435" s="4">
        <f t="shared" si="27"/>
        <v>1</v>
      </c>
    </row>
    <row r="436" spans="1:15" x14ac:dyDescent="0.25">
      <c r="A436" t="s">
        <v>911</v>
      </c>
      <c r="B436" s="2">
        <v>45320</v>
      </c>
      <c r="C436" t="s">
        <v>24</v>
      </c>
      <c r="D436" t="s">
        <v>25</v>
      </c>
      <c r="E436">
        <v>0</v>
      </c>
      <c r="F436">
        <v>4172.26</v>
      </c>
      <c r="G436" t="s">
        <v>12</v>
      </c>
      <c r="H436" t="s">
        <v>62</v>
      </c>
      <c r="I436" t="s">
        <v>912</v>
      </c>
      <c r="J436" t="s">
        <v>45</v>
      </c>
      <c r="K436" s="4">
        <f>VLOOKUP(J436,Exchange_Rates!A:B,2,FALSE)</f>
        <v>1</v>
      </c>
      <c r="L436" s="4">
        <f t="shared" si="24"/>
        <v>0</v>
      </c>
      <c r="M436" s="4">
        <f t="shared" si="25"/>
        <v>4172.26</v>
      </c>
      <c r="N436" s="4">
        <f t="shared" si="26"/>
        <v>2024</v>
      </c>
      <c r="O436" s="4">
        <f t="shared" si="27"/>
        <v>1</v>
      </c>
    </row>
    <row r="437" spans="1:15" x14ac:dyDescent="0.25">
      <c r="A437" t="s">
        <v>913</v>
      </c>
      <c r="B437" s="2">
        <v>44947</v>
      </c>
      <c r="C437" t="s">
        <v>38</v>
      </c>
      <c r="D437" t="s">
        <v>39</v>
      </c>
      <c r="E437">
        <v>1792.82</v>
      </c>
      <c r="F437">
        <v>0</v>
      </c>
      <c r="G437" t="s">
        <v>11</v>
      </c>
      <c r="H437" t="s">
        <v>26</v>
      </c>
      <c r="I437" t="s">
        <v>914</v>
      </c>
      <c r="J437" t="s">
        <v>28</v>
      </c>
      <c r="K437" s="4">
        <f>VLOOKUP(J437,Exchange_Rates!A:B,2,FALSE)</f>
        <v>1.27</v>
      </c>
      <c r="L437" s="4">
        <f t="shared" si="24"/>
        <v>2276.8813999999998</v>
      </c>
      <c r="M437" s="4">
        <f t="shared" si="25"/>
        <v>0</v>
      </c>
      <c r="N437" s="4">
        <f t="shared" si="26"/>
        <v>2023</v>
      </c>
      <c r="O437" s="4">
        <f t="shared" si="27"/>
        <v>1</v>
      </c>
    </row>
    <row r="438" spans="1:15" x14ac:dyDescent="0.25">
      <c r="A438" t="s">
        <v>915</v>
      </c>
      <c r="B438" s="2">
        <v>45250</v>
      </c>
      <c r="C438" t="s">
        <v>30</v>
      </c>
      <c r="D438" t="s">
        <v>31</v>
      </c>
      <c r="E438">
        <v>164.54</v>
      </c>
      <c r="F438">
        <v>0</v>
      </c>
      <c r="G438" t="s">
        <v>12</v>
      </c>
      <c r="H438" t="s">
        <v>40</v>
      </c>
      <c r="I438" t="s">
        <v>916</v>
      </c>
      <c r="J438" t="s">
        <v>28</v>
      </c>
      <c r="K438" s="4">
        <f>VLOOKUP(J438,Exchange_Rates!A:B,2,FALSE)</f>
        <v>1.27</v>
      </c>
      <c r="L438" s="4">
        <f t="shared" si="24"/>
        <v>208.9658</v>
      </c>
      <c r="M438" s="4">
        <f t="shared" si="25"/>
        <v>0</v>
      </c>
      <c r="N438" s="4">
        <f t="shared" si="26"/>
        <v>2023</v>
      </c>
      <c r="O438" s="4">
        <f t="shared" si="27"/>
        <v>4</v>
      </c>
    </row>
    <row r="439" spans="1:15" x14ac:dyDescent="0.25">
      <c r="A439" t="s">
        <v>917</v>
      </c>
      <c r="B439" s="2">
        <v>45611</v>
      </c>
      <c r="C439" t="s">
        <v>38</v>
      </c>
      <c r="D439" t="s">
        <v>39</v>
      </c>
      <c r="E439">
        <v>217.44</v>
      </c>
      <c r="F439">
        <v>0</v>
      </c>
      <c r="G439" t="s">
        <v>11</v>
      </c>
      <c r="H439" t="s">
        <v>51</v>
      </c>
      <c r="I439" t="s">
        <v>918</v>
      </c>
      <c r="J439" t="s">
        <v>36</v>
      </c>
      <c r="K439" s="4">
        <f>VLOOKUP(J439,Exchange_Rates!A:B,2,FALSE)</f>
        <v>1.08</v>
      </c>
      <c r="L439" s="4">
        <f t="shared" si="24"/>
        <v>234.83520000000001</v>
      </c>
      <c r="M439" s="4">
        <f t="shared" si="25"/>
        <v>0</v>
      </c>
      <c r="N439" s="4">
        <f t="shared" si="26"/>
        <v>2024</v>
      </c>
      <c r="O439" s="4">
        <f t="shared" si="27"/>
        <v>4</v>
      </c>
    </row>
    <row r="440" spans="1:15" x14ac:dyDescent="0.25">
      <c r="A440" t="s">
        <v>919</v>
      </c>
      <c r="B440" s="2">
        <v>45660</v>
      </c>
      <c r="C440" t="s">
        <v>38</v>
      </c>
      <c r="D440" t="s">
        <v>39</v>
      </c>
      <c r="E440">
        <v>1899.59</v>
      </c>
      <c r="F440">
        <v>0</v>
      </c>
      <c r="G440" t="s">
        <v>8</v>
      </c>
      <c r="H440" t="s">
        <v>26</v>
      </c>
      <c r="I440" t="s">
        <v>920</v>
      </c>
      <c r="J440" t="s">
        <v>45</v>
      </c>
      <c r="K440" s="4">
        <f>VLOOKUP(J440,Exchange_Rates!A:B,2,FALSE)</f>
        <v>1</v>
      </c>
      <c r="L440" s="4">
        <f t="shared" si="24"/>
        <v>1899.59</v>
      </c>
      <c r="M440" s="4">
        <f t="shared" si="25"/>
        <v>0</v>
      </c>
      <c r="N440" s="4">
        <f t="shared" si="26"/>
        <v>2025</v>
      </c>
      <c r="O440" s="4">
        <f t="shared" si="27"/>
        <v>1</v>
      </c>
    </row>
    <row r="441" spans="1:15" x14ac:dyDescent="0.25">
      <c r="A441" t="s">
        <v>921</v>
      </c>
      <c r="B441" s="2">
        <v>45455</v>
      </c>
      <c r="C441" t="s">
        <v>49</v>
      </c>
      <c r="D441" t="s">
        <v>50</v>
      </c>
      <c r="E441">
        <v>808.94</v>
      </c>
      <c r="F441">
        <v>0</v>
      </c>
      <c r="G441" t="s">
        <v>13</v>
      </c>
      <c r="H441" t="s">
        <v>34</v>
      </c>
      <c r="I441" t="s">
        <v>922</v>
      </c>
      <c r="J441" t="s">
        <v>36</v>
      </c>
      <c r="K441" s="4">
        <f>VLOOKUP(J441,Exchange_Rates!A:B,2,FALSE)</f>
        <v>1.08</v>
      </c>
      <c r="L441" s="4">
        <f t="shared" si="24"/>
        <v>873.65520000000015</v>
      </c>
      <c r="M441" s="4">
        <f t="shared" si="25"/>
        <v>0</v>
      </c>
      <c r="N441" s="4">
        <f t="shared" si="26"/>
        <v>2024</v>
      </c>
      <c r="O441" s="4">
        <f t="shared" si="27"/>
        <v>2</v>
      </c>
    </row>
    <row r="442" spans="1:15" x14ac:dyDescent="0.25">
      <c r="A442" t="s">
        <v>923</v>
      </c>
      <c r="B442" s="2">
        <v>45120</v>
      </c>
      <c r="C442" t="s">
        <v>24</v>
      </c>
      <c r="D442" t="s">
        <v>25</v>
      </c>
      <c r="E442">
        <v>0</v>
      </c>
      <c r="F442">
        <v>3691.59</v>
      </c>
      <c r="G442" t="s">
        <v>12</v>
      </c>
      <c r="H442" t="s">
        <v>26</v>
      </c>
      <c r="I442" t="s">
        <v>924</v>
      </c>
      <c r="J442" t="s">
        <v>42</v>
      </c>
      <c r="K442" s="4">
        <f>VLOOKUP(J442,Exchange_Rates!A:B,2,FALSE)</f>
        <v>0.66</v>
      </c>
      <c r="L442" s="4">
        <f t="shared" si="24"/>
        <v>0</v>
      </c>
      <c r="M442" s="4">
        <f t="shared" si="25"/>
        <v>2436.4494000000004</v>
      </c>
      <c r="N442" s="4">
        <f t="shared" si="26"/>
        <v>2023</v>
      </c>
      <c r="O442" s="4">
        <f t="shared" si="27"/>
        <v>3</v>
      </c>
    </row>
    <row r="443" spans="1:15" x14ac:dyDescent="0.25">
      <c r="A443" t="s">
        <v>925</v>
      </c>
      <c r="B443" s="2">
        <v>45654</v>
      </c>
      <c r="C443" t="s">
        <v>60</v>
      </c>
      <c r="D443" t="s">
        <v>61</v>
      </c>
      <c r="E443">
        <v>0</v>
      </c>
      <c r="F443">
        <v>2510.66</v>
      </c>
      <c r="G443" t="s">
        <v>10</v>
      </c>
      <c r="H443" t="s">
        <v>62</v>
      </c>
      <c r="I443" t="s">
        <v>926</v>
      </c>
      <c r="J443" t="s">
        <v>45</v>
      </c>
      <c r="K443" s="4">
        <f>VLOOKUP(J443,Exchange_Rates!A:B,2,FALSE)</f>
        <v>1</v>
      </c>
      <c r="L443" s="4">
        <f t="shared" si="24"/>
        <v>0</v>
      </c>
      <c r="M443" s="4">
        <f t="shared" si="25"/>
        <v>2510.66</v>
      </c>
      <c r="N443" s="4">
        <f t="shared" si="26"/>
        <v>2024</v>
      </c>
      <c r="O443" s="4">
        <f t="shared" si="27"/>
        <v>4</v>
      </c>
    </row>
    <row r="444" spans="1:15" x14ac:dyDescent="0.25">
      <c r="A444" t="s">
        <v>927</v>
      </c>
      <c r="B444" s="2">
        <v>45467</v>
      </c>
      <c r="C444" t="s">
        <v>24</v>
      </c>
      <c r="D444" t="s">
        <v>25</v>
      </c>
      <c r="E444">
        <v>0</v>
      </c>
      <c r="F444">
        <v>1959.12</v>
      </c>
      <c r="G444" t="s">
        <v>10</v>
      </c>
      <c r="H444" t="s">
        <v>62</v>
      </c>
      <c r="I444" t="s">
        <v>928</v>
      </c>
      <c r="J444" t="s">
        <v>36</v>
      </c>
      <c r="K444" s="4">
        <f>VLOOKUP(J444,Exchange_Rates!A:B,2,FALSE)</f>
        <v>1.08</v>
      </c>
      <c r="L444" s="4">
        <f t="shared" si="24"/>
        <v>0</v>
      </c>
      <c r="M444" s="4">
        <f t="shared" si="25"/>
        <v>2115.8496</v>
      </c>
      <c r="N444" s="4">
        <f t="shared" si="26"/>
        <v>2024</v>
      </c>
      <c r="O444" s="4">
        <f t="shared" si="27"/>
        <v>2</v>
      </c>
    </row>
    <row r="445" spans="1:15" x14ac:dyDescent="0.25">
      <c r="A445" t="s">
        <v>929</v>
      </c>
      <c r="B445" s="2">
        <v>45574</v>
      </c>
      <c r="C445" t="s">
        <v>49</v>
      </c>
      <c r="D445" t="s">
        <v>50</v>
      </c>
      <c r="E445">
        <v>1541.66</v>
      </c>
      <c r="F445">
        <v>0</v>
      </c>
      <c r="G445" t="s">
        <v>10</v>
      </c>
      <c r="H445" t="s">
        <v>40</v>
      </c>
      <c r="I445" t="s">
        <v>930</v>
      </c>
      <c r="J445" t="s">
        <v>64</v>
      </c>
      <c r="K445" s="4">
        <f>VLOOKUP(J445,Exchange_Rates!A:B,2,FALSE)</f>
        <v>0.73</v>
      </c>
      <c r="L445" s="4">
        <f t="shared" si="24"/>
        <v>1125.4118000000001</v>
      </c>
      <c r="M445" s="4">
        <f t="shared" si="25"/>
        <v>0</v>
      </c>
      <c r="N445" s="4">
        <f t="shared" si="26"/>
        <v>2024</v>
      </c>
      <c r="O445" s="4">
        <f t="shared" si="27"/>
        <v>4</v>
      </c>
    </row>
    <row r="446" spans="1:15" x14ac:dyDescent="0.25">
      <c r="A446" t="s">
        <v>931</v>
      </c>
      <c r="B446" s="2">
        <v>45718</v>
      </c>
      <c r="C446" t="s">
        <v>49</v>
      </c>
      <c r="D446" t="s">
        <v>50</v>
      </c>
      <c r="E446">
        <v>1240.1400000000001</v>
      </c>
      <c r="F446">
        <v>0</v>
      </c>
      <c r="G446" t="s">
        <v>12</v>
      </c>
      <c r="H446" t="s">
        <v>26</v>
      </c>
      <c r="I446" t="s">
        <v>932</v>
      </c>
      <c r="J446" t="s">
        <v>64</v>
      </c>
      <c r="K446" s="4">
        <f>VLOOKUP(J446,Exchange_Rates!A:B,2,FALSE)</f>
        <v>0.73</v>
      </c>
      <c r="L446" s="4">
        <f t="shared" si="24"/>
        <v>905.30220000000008</v>
      </c>
      <c r="M446" s="4">
        <f t="shared" si="25"/>
        <v>0</v>
      </c>
      <c r="N446" s="4">
        <f t="shared" si="26"/>
        <v>2025</v>
      </c>
      <c r="O446" s="4">
        <f t="shared" si="27"/>
        <v>1</v>
      </c>
    </row>
    <row r="447" spans="1:15" x14ac:dyDescent="0.25">
      <c r="A447" t="s">
        <v>933</v>
      </c>
      <c r="B447" s="2">
        <v>45688</v>
      </c>
      <c r="C447" t="s">
        <v>49</v>
      </c>
      <c r="D447" t="s">
        <v>50</v>
      </c>
      <c r="E447">
        <v>889.94</v>
      </c>
      <c r="F447">
        <v>0</v>
      </c>
      <c r="G447" t="s">
        <v>10</v>
      </c>
      <c r="H447" t="s">
        <v>34</v>
      </c>
      <c r="I447" t="s">
        <v>934</v>
      </c>
      <c r="J447" t="s">
        <v>42</v>
      </c>
      <c r="K447" s="4">
        <f>VLOOKUP(J447,Exchange_Rates!A:B,2,FALSE)</f>
        <v>0.66</v>
      </c>
      <c r="L447" s="4">
        <f t="shared" si="24"/>
        <v>587.36040000000003</v>
      </c>
      <c r="M447" s="4">
        <f t="shared" si="25"/>
        <v>0</v>
      </c>
      <c r="N447" s="4">
        <f t="shared" si="26"/>
        <v>2025</v>
      </c>
      <c r="O447" s="4">
        <f t="shared" si="27"/>
        <v>1</v>
      </c>
    </row>
    <row r="448" spans="1:15" x14ac:dyDescent="0.25">
      <c r="A448" t="s">
        <v>935</v>
      </c>
      <c r="B448" s="2">
        <v>45824</v>
      </c>
      <c r="C448" t="s">
        <v>30</v>
      </c>
      <c r="D448" t="s">
        <v>31</v>
      </c>
      <c r="E448">
        <v>1562.72</v>
      </c>
      <c r="F448">
        <v>0</v>
      </c>
      <c r="G448" t="s">
        <v>10</v>
      </c>
      <c r="H448" t="s">
        <v>62</v>
      </c>
      <c r="I448" t="s">
        <v>936</v>
      </c>
      <c r="J448" t="s">
        <v>36</v>
      </c>
      <c r="K448" s="4">
        <f>VLOOKUP(J448,Exchange_Rates!A:B,2,FALSE)</f>
        <v>1.08</v>
      </c>
      <c r="L448" s="4">
        <f t="shared" si="24"/>
        <v>1687.7376000000002</v>
      </c>
      <c r="M448" s="4">
        <f t="shared" si="25"/>
        <v>0</v>
      </c>
      <c r="N448" s="4">
        <f t="shared" si="26"/>
        <v>2025</v>
      </c>
      <c r="O448" s="4">
        <f t="shared" si="27"/>
        <v>2</v>
      </c>
    </row>
    <row r="449" spans="1:15" x14ac:dyDescent="0.25">
      <c r="A449" t="s">
        <v>937</v>
      </c>
      <c r="B449" s="2">
        <v>45552</v>
      </c>
      <c r="C449" t="s">
        <v>38</v>
      </c>
      <c r="D449" t="s">
        <v>39</v>
      </c>
      <c r="E449">
        <v>1182.8</v>
      </c>
      <c r="F449">
        <v>0</v>
      </c>
      <c r="G449" t="s">
        <v>9</v>
      </c>
      <c r="H449" t="s">
        <v>51</v>
      </c>
      <c r="I449" t="s">
        <v>938</v>
      </c>
      <c r="J449" t="s">
        <v>36</v>
      </c>
      <c r="K449" s="4">
        <f>VLOOKUP(J449,Exchange_Rates!A:B,2,FALSE)</f>
        <v>1.08</v>
      </c>
      <c r="L449" s="4">
        <f t="shared" si="24"/>
        <v>1277.424</v>
      </c>
      <c r="M449" s="4">
        <f t="shared" si="25"/>
        <v>0</v>
      </c>
      <c r="N449" s="4">
        <f t="shared" si="26"/>
        <v>2024</v>
      </c>
      <c r="O449" s="4">
        <f t="shared" si="27"/>
        <v>3</v>
      </c>
    </row>
    <row r="450" spans="1:15" x14ac:dyDescent="0.25">
      <c r="A450" t="s">
        <v>939</v>
      </c>
      <c r="B450" s="2">
        <v>45177</v>
      </c>
      <c r="C450" t="s">
        <v>38</v>
      </c>
      <c r="D450" t="s">
        <v>39</v>
      </c>
      <c r="E450">
        <v>489.72</v>
      </c>
      <c r="F450">
        <v>0</v>
      </c>
      <c r="G450" t="s">
        <v>8</v>
      </c>
      <c r="H450" t="s">
        <v>62</v>
      </c>
      <c r="I450" t="s">
        <v>940</v>
      </c>
      <c r="J450" t="s">
        <v>64</v>
      </c>
      <c r="K450" s="4">
        <f>VLOOKUP(J450,Exchange_Rates!A:B,2,FALSE)</f>
        <v>0.73</v>
      </c>
      <c r="L450" s="4">
        <f t="shared" si="24"/>
        <v>357.49560000000002</v>
      </c>
      <c r="M450" s="4">
        <f t="shared" si="25"/>
        <v>0</v>
      </c>
      <c r="N450" s="4">
        <f t="shared" si="26"/>
        <v>2023</v>
      </c>
      <c r="O450" s="4">
        <f t="shared" si="27"/>
        <v>3</v>
      </c>
    </row>
    <row r="451" spans="1:15" x14ac:dyDescent="0.25">
      <c r="A451" t="s">
        <v>941</v>
      </c>
      <c r="B451" s="2">
        <v>45007</v>
      </c>
      <c r="C451" t="s">
        <v>38</v>
      </c>
      <c r="D451" t="s">
        <v>39</v>
      </c>
      <c r="E451">
        <v>1003.21</v>
      </c>
      <c r="F451">
        <v>0</v>
      </c>
      <c r="G451" t="s">
        <v>12</v>
      </c>
      <c r="H451" t="s">
        <v>51</v>
      </c>
      <c r="I451" t="s">
        <v>942</v>
      </c>
      <c r="J451" t="s">
        <v>36</v>
      </c>
      <c r="K451" s="4">
        <f>VLOOKUP(J451,Exchange_Rates!A:B,2,FALSE)</f>
        <v>1.08</v>
      </c>
      <c r="L451" s="4">
        <f t="shared" ref="L451:L514" si="28">E451*K451</f>
        <v>1083.4668000000001</v>
      </c>
      <c r="M451" s="4">
        <f t="shared" ref="M451:M514" si="29">F451*K451</f>
        <v>0</v>
      </c>
      <c r="N451" s="4">
        <f t="shared" ref="N451:N514" si="30">YEAR(B451)</f>
        <v>2023</v>
      </c>
      <c r="O451" s="4">
        <f t="shared" ref="O451:O514" si="31">ROUNDUP(MONTH(B451)/3,0)</f>
        <v>1</v>
      </c>
    </row>
    <row r="452" spans="1:15" x14ac:dyDescent="0.25">
      <c r="A452" t="s">
        <v>943</v>
      </c>
      <c r="B452" s="2">
        <v>45208</v>
      </c>
      <c r="C452" t="s">
        <v>24</v>
      </c>
      <c r="D452" t="s">
        <v>25</v>
      </c>
      <c r="E452">
        <v>0</v>
      </c>
      <c r="F452">
        <v>1571.79</v>
      </c>
      <c r="G452" t="s">
        <v>13</v>
      </c>
      <c r="H452" t="s">
        <v>62</v>
      </c>
      <c r="I452" t="s">
        <v>944</v>
      </c>
      <c r="J452" t="s">
        <v>42</v>
      </c>
      <c r="K452" s="4">
        <f>VLOOKUP(J452,Exchange_Rates!A:B,2,FALSE)</f>
        <v>0.66</v>
      </c>
      <c r="L452" s="4">
        <f t="shared" si="28"/>
        <v>0</v>
      </c>
      <c r="M452" s="4">
        <f t="shared" si="29"/>
        <v>1037.3814</v>
      </c>
      <c r="N452" s="4">
        <f t="shared" si="30"/>
        <v>2023</v>
      </c>
      <c r="O452" s="4">
        <f t="shared" si="31"/>
        <v>4</v>
      </c>
    </row>
    <row r="453" spans="1:15" x14ac:dyDescent="0.25">
      <c r="A453" t="s">
        <v>945</v>
      </c>
      <c r="B453" s="2">
        <v>45817</v>
      </c>
      <c r="C453" t="s">
        <v>38</v>
      </c>
      <c r="D453" t="s">
        <v>39</v>
      </c>
      <c r="E453">
        <v>1413.19</v>
      </c>
      <c r="F453">
        <v>0</v>
      </c>
      <c r="G453" t="s">
        <v>8</v>
      </c>
      <c r="H453" t="s">
        <v>26</v>
      </c>
      <c r="I453" t="s">
        <v>946</v>
      </c>
      <c r="J453" t="s">
        <v>42</v>
      </c>
      <c r="K453" s="4">
        <f>VLOOKUP(J453,Exchange_Rates!A:B,2,FALSE)</f>
        <v>0.66</v>
      </c>
      <c r="L453" s="4">
        <f t="shared" si="28"/>
        <v>932.70540000000005</v>
      </c>
      <c r="M453" s="4">
        <f t="shared" si="29"/>
        <v>0</v>
      </c>
      <c r="N453" s="4">
        <f t="shared" si="30"/>
        <v>2025</v>
      </c>
      <c r="O453" s="4">
        <f t="shared" si="31"/>
        <v>2</v>
      </c>
    </row>
    <row r="454" spans="1:15" x14ac:dyDescent="0.25">
      <c r="A454" t="s">
        <v>947</v>
      </c>
      <c r="B454" s="2">
        <v>45256</v>
      </c>
      <c r="C454" t="s">
        <v>38</v>
      </c>
      <c r="D454" t="s">
        <v>39</v>
      </c>
      <c r="E454">
        <v>819.5</v>
      </c>
      <c r="F454">
        <v>0</v>
      </c>
      <c r="G454" t="s">
        <v>10</v>
      </c>
      <c r="H454" t="s">
        <v>40</v>
      </c>
      <c r="I454" t="s">
        <v>948</v>
      </c>
      <c r="J454" t="s">
        <v>28</v>
      </c>
      <c r="K454" s="4">
        <f>VLOOKUP(J454,Exchange_Rates!A:B,2,FALSE)</f>
        <v>1.27</v>
      </c>
      <c r="L454" s="4">
        <f t="shared" si="28"/>
        <v>1040.7650000000001</v>
      </c>
      <c r="M454" s="4">
        <f t="shared" si="29"/>
        <v>0</v>
      </c>
      <c r="N454" s="4">
        <f t="shared" si="30"/>
        <v>2023</v>
      </c>
      <c r="O454" s="4">
        <f t="shared" si="31"/>
        <v>4</v>
      </c>
    </row>
    <row r="455" spans="1:15" x14ac:dyDescent="0.25">
      <c r="A455" t="s">
        <v>949</v>
      </c>
      <c r="B455" s="2">
        <v>44964</v>
      </c>
      <c r="C455" t="s">
        <v>60</v>
      </c>
      <c r="D455" t="s">
        <v>61</v>
      </c>
      <c r="E455">
        <v>0</v>
      </c>
      <c r="F455">
        <v>1428.23</v>
      </c>
      <c r="G455" t="s">
        <v>9</v>
      </c>
      <c r="H455" t="s">
        <v>51</v>
      </c>
      <c r="I455" t="s">
        <v>950</v>
      </c>
      <c r="J455" t="s">
        <v>45</v>
      </c>
      <c r="K455" s="4">
        <f>VLOOKUP(J455,Exchange_Rates!A:B,2,FALSE)</f>
        <v>1</v>
      </c>
      <c r="L455" s="4">
        <f t="shared" si="28"/>
        <v>0</v>
      </c>
      <c r="M455" s="4">
        <f t="shared" si="29"/>
        <v>1428.23</v>
      </c>
      <c r="N455" s="4">
        <f t="shared" si="30"/>
        <v>2023</v>
      </c>
      <c r="O455" s="4">
        <f t="shared" si="31"/>
        <v>1</v>
      </c>
    </row>
    <row r="456" spans="1:15" x14ac:dyDescent="0.25">
      <c r="A456" t="s">
        <v>951</v>
      </c>
      <c r="B456" s="2">
        <v>44935</v>
      </c>
      <c r="C456" t="s">
        <v>24</v>
      </c>
      <c r="D456" t="s">
        <v>25</v>
      </c>
      <c r="E456">
        <v>0</v>
      </c>
      <c r="F456">
        <v>1859.84</v>
      </c>
      <c r="G456" t="s">
        <v>11</v>
      </c>
      <c r="H456" t="s">
        <v>51</v>
      </c>
      <c r="I456" t="s">
        <v>952</v>
      </c>
      <c r="J456" t="s">
        <v>36</v>
      </c>
      <c r="K456" s="4">
        <f>VLOOKUP(J456,Exchange_Rates!A:B,2,FALSE)</f>
        <v>1.08</v>
      </c>
      <c r="L456" s="4">
        <f t="shared" si="28"/>
        <v>0</v>
      </c>
      <c r="M456" s="4">
        <f t="shared" si="29"/>
        <v>2008.6272000000001</v>
      </c>
      <c r="N456" s="4">
        <f t="shared" si="30"/>
        <v>2023</v>
      </c>
      <c r="O456" s="4">
        <f t="shared" si="31"/>
        <v>1</v>
      </c>
    </row>
    <row r="457" spans="1:15" x14ac:dyDescent="0.25">
      <c r="A457" t="s">
        <v>953</v>
      </c>
      <c r="B457" s="2">
        <v>45443</v>
      </c>
      <c r="C457" t="s">
        <v>49</v>
      </c>
      <c r="D457" t="s">
        <v>50</v>
      </c>
      <c r="E457">
        <v>1060.6500000000001</v>
      </c>
      <c r="F457">
        <v>0</v>
      </c>
      <c r="G457" t="s">
        <v>9</v>
      </c>
      <c r="H457" t="s">
        <v>62</v>
      </c>
      <c r="I457" t="s">
        <v>954</v>
      </c>
      <c r="J457" t="s">
        <v>45</v>
      </c>
      <c r="K457" s="4">
        <f>VLOOKUP(J457,Exchange_Rates!A:B,2,FALSE)</f>
        <v>1</v>
      </c>
      <c r="L457" s="4">
        <f t="shared" si="28"/>
        <v>1060.6500000000001</v>
      </c>
      <c r="M457" s="4">
        <f t="shared" si="29"/>
        <v>0</v>
      </c>
      <c r="N457" s="4">
        <f t="shared" si="30"/>
        <v>2024</v>
      </c>
      <c r="O457" s="4">
        <f t="shared" si="31"/>
        <v>2</v>
      </c>
    </row>
    <row r="458" spans="1:15" x14ac:dyDescent="0.25">
      <c r="A458" t="s">
        <v>955</v>
      </c>
      <c r="B458" s="2">
        <v>45626</v>
      </c>
      <c r="C458" t="s">
        <v>38</v>
      </c>
      <c r="D458" t="s">
        <v>39</v>
      </c>
      <c r="E458">
        <v>493.78</v>
      </c>
      <c r="F458">
        <v>0</v>
      </c>
      <c r="G458" t="s">
        <v>12</v>
      </c>
      <c r="H458" t="s">
        <v>34</v>
      </c>
      <c r="I458" t="s">
        <v>956</v>
      </c>
      <c r="J458" t="s">
        <v>36</v>
      </c>
      <c r="K458" s="4">
        <f>VLOOKUP(J458,Exchange_Rates!A:B,2,FALSE)</f>
        <v>1.08</v>
      </c>
      <c r="L458" s="4">
        <f t="shared" si="28"/>
        <v>533.28240000000005</v>
      </c>
      <c r="M458" s="4">
        <f t="shared" si="29"/>
        <v>0</v>
      </c>
      <c r="N458" s="4">
        <f t="shared" si="30"/>
        <v>2024</v>
      </c>
      <c r="O458" s="4">
        <f t="shared" si="31"/>
        <v>4</v>
      </c>
    </row>
    <row r="459" spans="1:15" x14ac:dyDescent="0.25">
      <c r="A459" t="s">
        <v>957</v>
      </c>
      <c r="B459" s="2">
        <v>45443</v>
      </c>
      <c r="C459" t="s">
        <v>49</v>
      </c>
      <c r="D459" t="s">
        <v>50</v>
      </c>
      <c r="E459">
        <v>911.05</v>
      </c>
      <c r="F459">
        <v>0</v>
      </c>
      <c r="G459" t="s">
        <v>12</v>
      </c>
      <c r="H459" t="s">
        <v>40</v>
      </c>
      <c r="I459" t="s">
        <v>958</v>
      </c>
      <c r="J459" t="s">
        <v>45</v>
      </c>
      <c r="K459" s="4">
        <f>VLOOKUP(J459,Exchange_Rates!A:B,2,FALSE)</f>
        <v>1</v>
      </c>
      <c r="L459" s="4">
        <f t="shared" si="28"/>
        <v>911.05</v>
      </c>
      <c r="M459" s="4">
        <f t="shared" si="29"/>
        <v>0</v>
      </c>
      <c r="N459" s="4">
        <f t="shared" si="30"/>
        <v>2024</v>
      </c>
      <c r="O459" s="4">
        <f t="shared" si="31"/>
        <v>2</v>
      </c>
    </row>
    <row r="460" spans="1:15" x14ac:dyDescent="0.25">
      <c r="A460" t="s">
        <v>959</v>
      </c>
      <c r="B460" s="2">
        <v>45541</v>
      </c>
      <c r="C460" t="s">
        <v>60</v>
      </c>
      <c r="D460" t="s">
        <v>61</v>
      </c>
      <c r="E460">
        <v>0</v>
      </c>
      <c r="F460">
        <v>855.46</v>
      </c>
      <c r="G460" t="s">
        <v>12</v>
      </c>
      <c r="H460" t="s">
        <v>26</v>
      </c>
      <c r="I460" t="s">
        <v>960</v>
      </c>
      <c r="J460" t="s">
        <v>28</v>
      </c>
      <c r="K460" s="4">
        <f>VLOOKUP(J460,Exchange_Rates!A:B,2,FALSE)</f>
        <v>1.27</v>
      </c>
      <c r="L460" s="4">
        <f t="shared" si="28"/>
        <v>0</v>
      </c>
      <c r="M460" s="4">
        <f t="shared" si="29"/>
        <v>1086.4342000000001</v>
      </c>
      <c r="N460" s="4">
        <f t="shared" si="30"/>
        <v>2024</v>
      </c>
      <c r="O460" s="4">
        <f t="shared" si="31"/>
        <v>3</v>
      </c>
    </row>
    <row r="461" spans="1:15" x14ac:dyDescent="0.25">
      <c r="A461" t="s">
        <v>961</v>
      </c>
      <c r="B461" s="2">
        <v>45182</v>
      </c>
      <c r="C461" t="s">
        <v>30</v>
      </c>
      <c r="D461" t="s">
        <v>31</v>
      </c>
      <c r="E461">
        <v>1218.8900000000001</v>
      </c>
      <c r="F461">
        <v>0</v>
      </c>
      <c r="G461" t="s">
        <v>12</v>
      </c>
      <c r="H461" t="s">
        <v>51</v>
      </c>
      <c r="I461" t="s">
        <v>962</v>
      </c>
      <c r="J461" t="s">
        <v>45</v>
      </c>
      <c r="K461" s="4">
        <f>VLOOKUP(J461,Exchange_Rates!A:B,2,FALSE)</f>
        <v>1</v>
      </c>
      <c r="L461" s="4">
        <f t="shared" si="28"/>
        <v>1218.8900000000001</v>
      </c>
      <c r="M461" s="4">
        <f t="shared" si="29"/>
        <v>0</v>
      </c>
      <c r="N461" s="4">
        <f t="shared" si="30"/>
        <v>2023</v>
      </c>
      <c r="O461" s="4">
        <f t="shared" si="31"/>
        <v>3</v>
      </c>
    </row>
    <row r="462" spans="1:15" x14ac:dyDescent="0.25">
      <c r="A462" t="s">
        <v>963</v>
      </c>
      <c r="B462" s="2">
        <v>44977</v>
      </c>
      <c r="C462" t="s">
        <v>38</v>
      </c>
      <c r="D462" t="s">
        <v>39</v>
      </c>
      <c r="E462">
        <v>670.27</v>
      </c>
      <c r="F462">
        <v>0</v>
      </c>
      <c r="G462" t="s">
        <v>12</v>
      </c>
      <c r="H462" t="s">
        <v>62</v>
      </c>
      <c r="I462" t="s">
        <v>964</v>
      </c>
      <c r="J462" t="s">
        <v>45</v>
      </c>
      <c r="K462" s="4">
        <f>VLOOKUP(J462,Exchange_Rates!A:B,2,FALSE)</f>
        <v>1</v>
      </c>
      <c r="L462" s="4">
        <f t="shared" si="28"/>
        <v>670.27</v>
      </c>
      <c r="M462" s="4">
        <f t="shared" si="29"/>
        <v>0</v>
      </c>
      <c r="N462" s="4">
        <f t="shared" si="30"/>
        <v>2023</v>
      </c>
      <c r="O462" s="4">
        <f t="shared" si="31"/>
        <v>1</v>
      </c>
    </row>
    <row r="463" spans="1:15" x14ac:dyDescent="0.25">
      <c r="A463" t="s">
        <v>965</v>
      </c>
      <c r="B463" s="2">
        <v>45439</v>
      </c>
      <c r="C463" t="s">
        <v>49</v>
      </c>
      <c r="D463" t="s">
        <v>50</v>
      </c>
      <c r="E463">
        <v>579</v>
      </c>
      <c r="F463">
        <v>0</v>
      </c>
      <c r="G463" t="s">
        <v>8</v>
      </c>
      <c r="H463" t="s">
        <v>40</v>
      </c>
      <c r="I463" t="s">
        <v>966</v>
      </c>
      <c r="J463" t="s">
        <v>28</v>
      </c>
      <c r="K463" s="4">
        <f>VLOOKUP(J463,Exchange_Rates!A:B,2,FALSE)</f>
        <v>1.27</v>
      </c>
      <c r="L463" s="4">
        <f t="shared" si="28"/>
        <v>735.33</v>
      </c>
      <c r="M463" s="4">
        <f t="shared" si="29"/>
        <v>0</v>
      </c>
      <c r="N463" s="4">
        <f t="shared" si="30"/>
        <v>2024</v>
      </c>
      <c r="O463" s="4">
        <f t="shared" si="31"/>
        <v>2</v>
      </c>
    </row>
    <row r="464" spans="1:15" x14ac:dyDescent="0.25">
      <c r="A464" t="s">
        <v>967</v>
      </c>
      <c r="B464" s="2">
        <v>45591</v>
      </c>
      <c r="C464" t="s">
        <v>60</v>
      </c>
      <c r="D464" t="s">
        <v>61</v>
      </c>
      <c r="E464">
        <v>0</v>
      </c>
      <c r="F464">
        <v>1322.5</v>
      </c>
      <c r="G464" t="s">
        <v>9</v>
      </c>
      <c r="H464" t="s">
        <v>26</v>
      </c>
      <c r="I464" t="s">
        <v>968</v>
      </c>
      <c r="J464" t="s">
        <v>28</v>
      </c>
      <c r="K464" s="4">
        <f>VLOOKUP(J464,Exchange_Rates!A:B,2,FALSE)</f>
        <v>1.27</v>
      </c>
      <c r="L464" s="4">
        <f t="shared" si="28"/>
        <v>0</v>
      </c>
      <c r="M464" s="4">
        <f t="shared" si="29"/>
        <v>1679.575</v>
      </c>
      <c r="N464" s="4">
        <f t="shared" si="30"/>
        <v>2024</v>
      </c>
      <c r="O464" s="4">
        <f t="shared" si="31"/>
        <v>4</v>
      </c>
    </row>
    <row r="465" spans="1:15" x14ac:dyDescent="0.25">
      <c r="A465" t="s">
        <v>969</v>
      </c>
      <c r="B465" s="2">
        <v>45667</v>
      </c>
      <c r="C465" t="s">
        <v>49</v>
      </c>
      <c r="D465" t="s">
        <v>50</v>
      </c>
      <c r="E465">
        <v>1920.52</v>
      </c>
      <c r="F465">
        <v>0</v>
      </c>
      <c r="G465" t="s">
        <v>11</v>
      </c>
      <c r="H465" t="s">
        <v>34</v>
      </c>
      <c r="I465" t="s">
        <v>970</v>
      </c>
      <c r="J465" t="s">
        <v>36</v>
      </c>
      <c r="K465" s="4">
        <f>VLOOKUP(J465,Exchange_Rates!A:B,2,FALSE)</f>
        <v>1.08</v>
      </c>
      <c r="L465" s="4">
        <f t="shared" si="28"/>
        <v>2074.1615999999999</v>
      </c>
      <c r="M465" s="4">
        <f t="shared" si="29"/>
        <v>0</v>
      </c>
      <c r="N465" s="4">
        <f t="shared" si="30"/>
        <v>2025</v>
      </c>
      <c r="O465" s="4">
        <f t="shared" si="31"/>
        <v>1</v>
      </c>
    </row>
    <row r="466" spans="1:15" x14ac:dyDescent="0.25">
      <c r="A466" t="s">
        <v>971</v>
      </c>
      <c r="B466" s="2">
        <v>45046</v>
      </c>
      <c r="C466" t="s">
        <v>38</v>
      </c>
      <c r="D466" t="s">
        <v>39</v>
      </c>
      <c r="E466">
        <v>417.54</v>
      </c>
      <c r="F466">
        <v>0</v>
      </c>
      <c r="G466" t="s">
        <v>12</v>
      </c>
      <c r="H466" t="s">
        <v>34</v>
      </c>
      <c r="I466" t="s">
        <v>972</v>
      </c>
      <c r="J466" t="s">
        <v>64</v>
      </c>
      <c r="K466" s="4">
        <f>VLOOKUP(J466,Exchange_Rates!A:B,2,FALSE)</f>
        <v>0.73</v>
      </c>
      <c r="L466" s="4">
        <f t="shared" si="28"/>
        <v>304.80419999999998</v>
      </c>
      <c r="M466" s="4">
        <f t="shared" si="29"/>
        <v>0</v>
      </c>
      <c r="N466" s="4">
        <f t="shared" si="30"/>
        <v>2023</v>
      </c>
      <c r="O466" s="4">
        <f t="shared" si="31"/>
        <v>2</v>
      </c>
    </row>
    <row r="467" spans="1:15" x14ac:dyDescent="0.25">
      <c r="A467" t="s">
        <v>973</v>
      </c>
      <c r="B467" s="2">
        <v>45798</v>
      </c>
      <c r="C467" t="s">
        <v>30</v>
      </c>
      <c r="D467" t="s">
        <v>31</v>
      </c>
      <c r="E467">
        <v>1832.61</v>
      </c>
      <c r="F467">
        <v>0</v>
      </c>
      <c r="G467" t="s">
        <v>12</v>
      </c>
      <c r="H467" t="s">
        <v>26</v>
      </c>
      <c r="I467" t="s">
        <v>974</v>
      </c>
      <c r="J467" t="s">
        <v>64</v>
      </c>
      <c r="K467" s="4">
        <f>VLOOKUP(J467,Exchange_Rates!A:B,2,FALSE)</f>
        <v>0.73</v>
      </c>
      <c r="L467" s="4">
        <f t="shared" si="28"/>
        <v>1337.8053</v>
      </c>
      <c r="M467" s="4">
        <f t="shared" si="29"/>
        <v>0</v>
      </c>
      <c r="N467" s="4">
        <f t="shared" si="30"/>
        <v>2025</v>
      </c>
      <c r="O467" s="4">
        <f t="shared" si="31"/>
        <v>2</v>
      </c>
    </row>
    <row r="468" spans="1:15" x14ac:dyDescent="0.25">
      <c r="A468" t="s">
        <v>975</v>
      </c>
      <c r="B468" s="2">
        <v>44974</v>
      </c>
      <c r="C468" t="s">
        <v>24</v>
      </c>
      <c r="D468" t="s">
        <v>25</v>
      </c>
      <c r="E468">
        <v>0</v>
      </c>
      <c r="F468">
        <v>1225.02</v>
      </c>
      <c r="G468" t="s">
        <v>13</v>
      </c>
      <c r="H468" t="s">
        <v>51</v>
      </c>
      <c r="I468" t="s">
        <v>976</v>
      </c>
      <c r="J468" t="s">
        <v>36</v>
      </c>
      <c r="K468" s="4">
        <f>VLOOKUP(J468,Exchange_Rates!A:B,2,FALSE)</f>
        <v>1.08</v>
      </c>
      <c r="L468" s="4">
        <f t="shared" si="28"/>
        <v>0</v>
      </c>
      <c r="M468" s="4">
        <f t="shared" si="29"/>
        <v>1323.0216</v>
      </c>
      <c r="N468" s="4">
        <f t="shared" si="30"/>
        <v>2023</v>
      </c>
      <c r="O468" s="4">
        <f t="shared" si="31"/>
        <v>1</v>
      </c>
    </row>
    <row r="469" spans="1:15" x14ac:dyDescent="0.25">
      <c r="A469" t="s">
        <v>977</v>
      </c>
      <c r="B469" s="2">
        <v>45583</v>
      </c>
      <c r="C469" t="s">
        <v>30</v>
      </c>
      <c r="D469" t="s">
        <v>31</v>
      </c>
      <c r="E469">
        <v>973.97</v>
      </c>
      <c r="F469">
        <v>0</v>
      </c>
      <c r="G469" t="s">
        <v>8</v>
      </c>
      <c r="H469" t="s">
        <v>26</v>
      </c>
      <c r="I469" t="s">
        <v>978</v>
      </c>
      <c r="J469" t="s">
        <v>28</v>
      </c>
      <c r="K469" s="4">
        <f>VLOOKUP(J469,Exchange_Rates!A:B,2,FALSE)</f>
        <v>1.27</v>
      </c>
      <c r="L469" s="4">
        <f t="shared" si="28"/>
        <v>1236.9419</v>
      </c>
      <c r="M469" s="4">
        <f t="shared" si="29"/>
        <v>0</v>
      </c>
      <c r="N469" s="4">
        <f t="shared" si="30"/>
        <v>2024</v>
      </c>
      <c r="O469" s="4">
        <f t="shared" si="31"/>
        <v>4</v>
      </c>
    </row>
    <row r="470" spans="1:15" x14ac:dyDescent="0.25">
      <c r="A470" t="s">
        <v>979</v>
      </c>
      <c r="B470" s="2">
        <v>45319</v>
      </c>
      <c r="C470" t="s">
        <v>38</v>
      </c>
      <c r="D470" t="s">
        <v>39</v>
      </c>
      <c r="E470">
        <v>525.5</v>
      </c>
      <c r="F470">
        <v>0</v>
      </c>
      <c r="G470" t="s">
        <v>13</v>
      </c>
      <c r="H470" t="s">
        <v>51</v>
      </c>
      <c r="I470" t="s">
        <v>980</v>
      </c>
      <c r="J470" t="s">
        <v>36</v>
      </c>
      <c r="K470" s="4">
        <f>VLOOKUP(J470,Exchange_Rates!A:B,2,FALSE)</f>
        <v>1.08</v>
      </c>
      <c r="L470" s="4">
        <f t="shared" si="28"/>
        <v>567.54000000000008</v>
      </c>
      <c r="M470" s="4">
        <f t="shared" si="29"/>
        <v>0</v>
      </c>
      <c r="N470" s="4">
        <f t="shared" si="30"/>
        <v>2024</v>
      </c>
      <c r="O470" s="4">
        <f t="shared" si="31"/>
        <v>1</v>
      </c>
    </row>
    <row r="471" spans="1:15" x14ac:dyDescent="0.25">
      <c r="A471" t="s">
        <v>981</v>
      </c>
      <c r="B471" s="2">
        <v>45222</v>
      </c>
      <c r="C471" t="s">
        <v>30</v>
      </c>
      <c r="D471" t="s">
        <v>31</v>
      </c>
      <c r="E471">
        <v>805.56</v>
      </c>
      <c r="F471">
        <v>0</v>
      </c>
      <c r="G471" t="s">
        <v>11</v>
      </c>
      <c r="H471" t="s">
        <v>40</v>
      </c>
      <c r="I471" t="s">
        <v>982</v>
      </c>
      <c r="J471" t="s">
        <v>64</v>
      </c>
      <c r="K471" s="4">
        <f>VLOOKUP(J471,Exchange_Rates!A:B,2,FALSE)</f>
        <v>0.73</v>
      </c>
      <c r="L471" s="4">
        <f t="shared" si="28"/>
        <v>588.05879999999991</v>
      </c>
      <c r="M471" s="4">
        <f t="shared" si="29"/>
        <v>0</v>
      </c>
      <c r="N471" s="4">
        <f t="shared" si="30"/>
        <v>2023</v>
      </c>
      <c r="O471" s="4">
        <f t="shared" si="31"/>
        <v>4</v>
      </c>
    </row>
    <row r="472" spans="1:15" x14ac:dyDescent="0.25">
      <c r="A472" t="s">
        <v>983</v>
      </c>
      <c r="B472" s="2">
        <v>45261</v>
      </c>
      <c r="C472" t="s">
        <v>38</v>
      </c>
      <c r="D472" t="s">
        <v>39</v>
      </c>
      <c r="E472">
        <v>1466.97</v>
      </c>
      <c r="F472">
        <v>0</v>
      </c>
      <c r="G472" t="s">
        <v>9</v>
      </c>
      <c r="H472" t="s">
        <v>51</v>
      </c>
      <c r="I472" t="s">
        <v>984</v>
      </c>
      <c r="J472" t="s">
        <v>42</v>
      </c>
      <c r="K472" s="4">
        <f>VLOOKUP(J472,Exchange_Rates!A:B,2,FALSE)</f>
        <v>0.66</v>
      </c>
      <c r="L472" s="4">
        <f t="shared" si="28"/>
        <v>968.20020000000011</v>
      </c>
      <c r="M472" s="4">
        <f t="shared" si="29"/>
        <v>0</v>
      </c>
      <c r="N472" s="4">
        <f t="shared" si="30"/>
        <v>2023</v>
      </c>
      <c r="O472" s="4">
        <f t="shared" si="31"/>
        <v>4</v>
      </c>
    </row>
    <row r="473" spans="1:15" x14ac:dyDescent="0.25">
      <c r="A473" t="s">
        <v>985</v>
      </c>
      <c r="B473" s="2">
        <v>45644</v>
      </c>
      <c r="C473" t="s">
        <v>60</v>
      </c>
      <c r="D473" t="s">
        <v>61</v>
      </c>
      <c r="E473">
        <v>0</v>
      </c>
      <c r="F473">
        <v>4734.3599999999997</v>
      </c>
      <c r="G473" t="s">
        <v>11</v>
      </c>
      <c r="H473" t="s">
        <v>40</v>
      </c>
      <c r="I473" t="s">
        <v>986</v>
      </c>
      <c r="J473" t="s">
        <v>42</v>
      </c>
      <c r="K473" s="4">
        <f>VLOOKUP(J473,Exchange_Rates!A:B,2,FALSE)</f>
        <v>0.66</v>
      </c>
      <c r="L473" s="4">
        <f t="shared" si="28"/>
        <v>0</v>
      </c>
      <c r="M473" s="4">
        <f t="shared" si="29"/>
        <v>3124.6776</v>
      </c>
      <c r="N473" s="4">
        <f t="shared" si="30"/>
        <v>2024</v>
      </c>
      <c r="O473" s="4">
        <f t="shared" si="31"/>
        <v>4</v>
      </c>
    </row>
    <row r="474" spans="1:15" x14ac:dyDescent="0.25">
      <c r="A474" t="s">
        <v>987</v>
      </c>
      <c r="B474" s="2">
        <v>45191</v>
      </c>
      <c r="C474" t="s">
        <v>60</v>
      </c>
      <c r="D474" t="s">
        <v>61</v>
      </c>
      <c r="E474">
        <v>0</v>
      </c>
      <c r="F474">
        <v>1668.4</v>
      </c>
      <c r="G474" t="s">
        <v>8</v>
      </c>
      <c r="H474" t="s">
        <v>62</v>
      </c>
      <c r="I474" t="s">
        <v>988</v>
      </c>
      <c r="J474" t="s">
        <v>45</v>
      </c>
      <c r="K474" s="4">
        <f>VLOOKUP(J474,Exchange_Rates!A:B,2,FALSE)</f>
        <v>1</v>
      </c>
      <c r="L474" s="4">
        <f t="shared" si="28"/>
        <v>0</v>
      </c>
      <c r="M474" s="4">
        <f t="shared" si="29"/>
        <v>1668.4</v>
      </c>
      <c r="N474" s="4">
        <f t="shared" si="30"/>
        <v>2023</v>
      </c>
      <c r="O474" s="4">
        <f t="shared" si="31"/>
        <v>3</v>
      </c>
    </row>
    <row r="475" spans="1:15" x14ac:dyDescent="0.25">
      <c r="A475" t="s">
        <v>989</v>
      </c>
      <c r="B475" s="2">
        <v>45276</v>
      </c>
      <c r="C475" t="s">
        <v>60</v>
      </c>
      <c r="D475" t="s">
        <v>61</v>
      </c>
      <c r="E475">
        <v>0</v>
      </c>
      <c r="F475">
        <v>4991.26</v>
      </c>
      <c r="G475" t="s">
        <v>12</v>
      </c>
      <c r="H475" t="s">
        <v>51</v>
      </c>
      <c r="I475" t="s">
        <v>990</v>
      </c>
      <c r="J475" t="s">
        <v>45</v>
      </c>
      <c r="K475" s="4">
        <f>VLOOKUP(J475,Exchange_Rates!A:B,2,FALSE)</f>
        <v>1</v>
      </c>
      <c r="L475" s="4">
        <f t="shared" si="28"/>
        <v>0</v>
      </c>
      <c r="M475" s="4">
        <f t="shared" si="29"/>
        <v>4991.26</v>
      </c>
      <c r="N475" s="4">
        <f t="shared" si="30"/>
        <v>2023</v>
      </c>
      <c r="O475" s="4">
        <f t="shared" si="31"/>
        <v>4</v>
      </c>
    </row>
    <row r="476" spans="1:15" x14ac:dyDescent="0.25">
      <c r="A476" t="s">
        <v>991</v>
      </c>
      <c r="B476" s="2">
        <v>45662</v>
      </c>
      <c r="C476" t="s">
        <v>38</v>
      </c>
      <c r="D476" t="s">
        <v>39</v>
      </c>
      <c r="E476">
        <v>445.53</v>
      </c>
      <c r="F476">
        <v>0</v>
      </c>
      <c r="G476" t="s">
        <v>10</v>
      </c>
      <c r="H476" t="s">
        <v>62</v>
      </c>
      <c r="I476" t="s">
        <v>992</v>
      </c>
      <c r="J476" t="s">
        <v>28</v>
      </c>
      <c r="K476" s="4">
        <f>VLOOKUP(J476,Exchange_Rates!A:B,2,FALSE)</f>
        <v>1.27</v>
      </c>
      <c r="L476" s="4">
        <f t="shared" si="28"/>
        <v>565.82309999999995</v>
      </c>
      <c r="M476" s="4">
        <f t="shared" si="29"/>
        <v>0</v>
      </c>
      <c r="N476" s="4">
        <f t="shared" si="30"/>
        <v>2025</v>
      </c>
      <c r="O476" s="4">
        <f t="shared" si="31"/>
        <v>1</v>
      </c>
    </row>
    <row r="477" spans="1:15" x14ac:dyDescent="0.25">
      <c r="A477" t="s">
        <v>993</v>
      </c>
      <c r="B477" s="2">
        <v>45494</v>
      </c>
      <c r="C477" t="s">
        <v>38</v>
      </c>
      <c r="D477" t="s">
        <v>39</v>
      </c>
      <c r="E477">
        <v>1464.99</v>
      </c>
      <c r="F477">
        <v>0</v>
      </c>
      <c r="G477" t="s">
        <v>12</v>
      </c>
      <c r="H477" t="s">
        <v>62</v>
      </c>
      <c r="I477" t="s">
        <v>994</v>
      </c>
      <c r="J477" t="s">
        <v>36</v>
      </c>
      <c r="K477" s="4">
        <f>VLOOKUP(J477,Exchange_Rates!A:B,2,FALSE)</f>
        <v>1.08</v>
      </c>
      <c r="L477" s="4">
        <f t="shared" si="28"/>
        <v>1582.1892</v>
      </c>
      <c r="M477" s="4">
        <f t="shared" si="29"/>
        <v>0</v>
      </c>
      <c r="N477" s="4">
        <f t="shared" si="30"/>
        <v>2024</v>
      </c>
      <c r="O477" s="4">
        <f t="shared" si="31"/>
        <v>3</v>
      </c>
    </row>
    <row r="478" spans="1:15" x14ac:dyDescent="0.25">
      <c r="A478" t="s">
        <v>995</v>
      </c>
      <c r="B478" s="2">
        <v>45266</v>
      </c>
      <c r="C478" t="s">
        <v>60</v>
      </c>
      <c r="D478" t="s">
        <v>61</v>
      </c>
      <c r="E478">
        <v>0</v>
      </c>
      <c r="F478">
        <v>1422.45</v>
      </c>
      <c r="G478" t="s">
        <v>9</v>
      </c>
      <c r="H478" t="s">
        <v>26</v>
      </c>
      <c r="I478" t="s">
        <v>996</v>
      </c>
      <c r="J478" t="s">
        <v>36</v>
      </c>
      <c r="K478" s="4">
        <f>VLOOKUP(J478,Exchange_Rates!A:B,2,FALSE)</f>
        <v>1.08</v>
      </c>
      <c r="L478" s="4">
        <f t="shared" si="28"/>
        <v>0</v>
      </c>
      <c r="M478" s="4">
        <f t="shared" si="29"/>
        <v>1536.2460000000001</v>
      </c>
      <c r="N478" s="4">
        <f t="shared" si="30"/>
        <v>2023</v>
      </c>
      <c r="O478" s="4">
        <f t="shared" si="31"/>
        <v>4</v>
      </c>
    </row>
    <row r="479" spans="1:15" x14ac:dyDescent="0.25">
      <c r="A479" t="s">
        <v>997</v>
      </c>
      <c r="B479" s="2">
        <v>45583</v>
      </c>
      <c r="C479" t="s">
        <v>60</v>
      </c>
      <c r="D479" t="s">
        <v>61</v>
      </c>
      <c r="E479">
        <v>0</v>
      </c>
      <c r="F479">
        <v>2350.1999999999998</v>
      </c>
      <c r="G479" t="s">
        <v>9</v>
      </c>
      <c r="H479" t="s">
        <v>26</v>
      </c>
      <c r="I479" t="s">
        <v>998</v>
      </c>
      <c r="J479" t="s">
        <v>42</v>
      </c>
      <c r="K479" s="4">
        <f>VLOOKUP(J479,Exchange_Rates!A:B,2,FALSE)</f>
        <v>0.66</v>
      </c>
      <c r="L479" s="4">
        <f t="shared" si="28"/>
        <v>0</v>
      </c>
      <c r="M479" s="4">
        <f t="shared" si="29"/>
        <v>1551.1320000000001</v>
      </c>
      <c r="N479" s="4">
        <f t="shared" si="30"/>
        <v>2024</v>
      </c>
      <c r="O479" s="4">
        <f t="shared" si="31"/>
        <v>4</v>
      </c>
    </row>
    <row r="480" spans="1:15" x14ac:dyDescent="0.25">
      <c r="A480" t="s">
        <v>999</v>
      </c>
      <c r="B480" s="2">
        <v>45191</v>
      </c>
      <c r="C480" t="s">
        <v>38</v>
      </c>
      <c r="D480" t="s">
        <v>39</v>
      </c>
      <c r="E480">
        <v>1559.89</v>
      </c>
      <c r="F480">
        <v>0</v>
      </c>
      <c r="G480" t="s">
        <v>9</v>
      </c>
      <c r="H480" t="s">
        <v>40</v>
      </c>
      <c r="I480" t="s">
        <v>1000</v>
      </c>
      <c r="J480" t="s">
        <v>42</v>
      </c>
      <c r="K480" s="4">
        <f>VLOOKUP(J480,Exchange_Rates!A:B,2,FALSE)</f>
        <v>0.66</v>
      </c>
      <c r="L480" s="4">
        <f t="shared" si="28"/>
        <v>1029.5274000000002</v>
      </c>
      <c r="M480" s="4">
        <f t="shared" si="29"/>
        <v>0</v>
      </c>
      <c r="N480" s="4">
        <f t="shared" si="30"/>
        <v>2023</v>
      </c>
      <c r="O480" s="4">
        <f t="shared" si="31"/>
        <v>3</v>
      </c>
    </row>
    <row r="481" spans="1:15" x14ac:dyDescent="0.25">
      <c r="A481" t="s">
        <v>1001</v>
      </c>
      <c r="B481" s="2">
        <v>45586</v>
      </c>
      <c r="C481" t="s">
        <v>49</v>
      </c>
      <c r="D481" t="s">
        <v>50</v>
      </c>
      <c r="E481">
        <v>1570.96</v>
      </c>
      <c r="F481">
        <v>0</v>
      </c>
      <c r="G481" t="s">
        <v>11</v>
      </c>
      <c r="H481" t="s">
        <v>26</v>
      </c>
      <c r="I481" t="s">
        <v>1002</v>
      </c>
      <c r="J481" t="s">
        <v>45</v>
      </c>
      <c r="K481" s="4">
        <f>VLOOKUP(J481,Exchange_Rates!A:B,2,FALSE)</f>
        <v>1</v>
      </c>
      <c r="L481" s="4">
        <f t="shared" si="28"/>
        <v>1570.96</v>
      </c>
      <c r="M481" s="4">
        <f t="shared" si="29"/>
        <v>0</v>
      </c>
      <c r="N481" s="4">
        <f t="shared" si="30"/>
        <v>2024</v>
      </c>
      <c r="O481" s="4">
        <f t="shared" si="31"/>
        <v>4</v>
      </c>
    </row>
    <row r="482" spans="1:15" x14ac:dyDescent="0.25">
      <c r="A482" t="s">
        <v>1003</v>
      </c>
      <c r="B482" s="2">
        <v>45202</v>
      </c>
      <c r="C482" t="s">
        <v>24</v>
      </c>
      <c r="D482" t="s">
        <v>25</v>
      </c>
      <c r="E482">
        <v>0</v>
      </c>
      <c r="F482">
        <v>3947.32</v>
      </c>
      <c r="G482" t="s">
        <v>11</v>
      </c>
      <c r="H482" t="s">
        <v>40</v>
      </c>
      <c r="I482" t="s">
        <v>1004</v>
      </c>
      <c r="J482" t="s">
        <v>28</v>
      </c>
      <c r="K482" s="4">
        <f>VLOOKUP(J482,Exchange_Rates!A:B,2,FALSE)</f>
        <v>1.27</v>
      </c>
      <c r="L482" s="4">
        <f t="shared" si="28"/>
        <v>0</v>
      </c>
      <c r="M482" s="4">
        <f t="shared" si="29"/>
        <v>5013.0964000000004</v>
      </c>
      <c r="N482" s="4">
        <f t="shared" si="30"/>
        <v>2023</v>
      </c>
      <c r="O482" s="4">
        <f t="shared" si="31"/>
        <v>4</v>
      </c>
    </row>
    <row r="483" spans="1:15" x14ac:dyDescent="0.25">
      <c r="A483" t="s">
        <v>1005</v>
      </c>
      <c r="B483" s="2">
        <v>45599</v>
      </c>
      <c r="C483" t="s">
        <v>38</v>
      </c>
      <c r="D483" t="s">
        <v>39</v>
      </c>
      <c r="E483">
        <v>1467.92</v>
      </c>
      <c r="F483">
        <v>0</v>
      </c>
      <c r="G483" t="s">
        <v>11</v>
      </c>
      <c r="H483" t="s">
        <v>34</v>
      </c>
      <c r="I483" t="s">
        <v>1006</v>
      </c>
      <c r="J483" t="s">
        <v>45</v>
      </c>
      <c r="K483" s="4">
        <f>VLOOKUP(J483,Exchange_Rates!A:B,2,FALSE)</f>
        <v>1</v>
      </c>
      <c r="L483" s="4">
        <f t="shared" si="28"/>
        <v>1467.92</v>
      </c>
      <c r="M483" s="4">
        <f t="shared" si="29"/>
        <v>0</v>
      </c>
      <c r="N483" s="4">
        <f t="shared" si="30"/>
        <v>2024</v>
      </c>
      <c r="O483" s="4">
        <f t="shared" si="31"/>
        <v>4</v>
      </c>
    </row>
    <row r="484" spans="1:15" x14ac:dyDescent="0.25">
      <c r="A484" t="s">
        <v>1007</v>
      </c>
      <c r="B484" s="2">
        <v>45100</v>
      </c>
      <c r="C484" t="s">
        <v>30</v>
      </c>
      <c r="D484" t="s">
        <v>31</v>
      </c>
      <c r="E484">
        <v>1843.54</v>
      </c>
      <c r="F484">
        <v>0</v>
      </c>
      <c r="G484" t="s">
        <v>8</v>
      </c>
      <c r="H484" t="s">
        <v>26</v>
      </c>
      <c r="I484" t="s">
        <v>1008</v>
      </c>
      <c r="J484" t="s">
        <v>28</v>
      </c>
      <c r="K484" s="4">
        <f>VLOOKUP(J484,Exchange_Rates!A:B,2,FALSE)</f>
        <v>1.27</v>
      </c>
      <c r="L484" s="4">
        <f t="shared" si="28"/>
        <v>2341.2957999999999</v>
      </c>
      <c r="M484" s="4">
        <f t="shared" si="29"/>
        <v>0</v>
      </c>
      <c r="N484" s="4">
        <f t="shared" si="30"/>
        <v>2023</v>
      </c>
      <c r="O484" s="4">
        <f t="shared" si="31"/>
        <v>2</v>
      </c>
    </row>
    <row r="485" spans="1:15" x14ac:dyDescent="0.25">
      <c r="A485" t="s">
        <v>1009</v>
      </c>
      <c r="B485" s="2">
        <v>45762</v>
      </c>
      <c r="C485" t="s">
        <v>49</v>
      </c>
      <c r="D485" t="s">
        <v>50</v>
      </c>
      <c r="E485">
        <v>134.56</v>
      </c>
      <c r="F485">
        <v>0</v>
      </c>
      <c r="G485" t="s">
        <v>11</v>
      </c>
      <c r="H485" t="s">
        <v>62</v>
      </c>
      <c r="I485" t="s">
        <v>1010</v>
      </c>
      <c r="J485" t="s">
        <v>36</v>
      </c>
      <c r="K485" s="4">
        <f>VLOOKUP(J485,Exchange_Rates!A:B,2,FALSE)</f>
        <v>1.08</v>
      </c>
      <c r="L485" s="4">
        <f t="shared" si="28"/>
        <v>145.32480000000001</v>
      </c>
      <c r="M485" s="4">
        <f t="shared" si="29"/>
        <v>0</v>
      </c>
      <c r="N485" s="4">
        <f t="shared" si="30"/>
        <v>2025</v>
      </c>
      <c r="O485" s="4">
        <f t="shared" si="31"/>
        <v>2</v>
      </c>
    </row>
    <row r="486" spans="1:15" x14ac:dyDescent="0.25">
      <c r="A486" t="s">
        <v>1011</v>
      </c>
      <c r="B486" s="2">
        <v>45675</v>
      </c>
      <c r="C486" t="s">
        <v>24</v>
      </c>
      <c r="D486" t="s">
        <v>25</v>
      </c>
      <c r="E486">
        <v>0</v>
      </c>
      <c r="F486">
        <v>1712.94</v>
      </c>
      <c r="G486" t="s">
        <v>8</v>
      </c>
      <c r="H486" t="s">
        <v>26</v>
      </c>
      <c r="I486" t="s">
        <v>1012</v>
      </c>
      <c r="J486" t="s">
        <v>36</v>
      </c>
      <c r="K486" s="4">
        <f>VLOOKUP(J486,Exchange_Rates!A:B,2,FALSE)</f>
        <v>1.08</v>
      </c>
      <c r="L486" s="4">
        <f t="shared" si="28"/>
        <v>0</v>
      </c>
      <c r="M486" s="4">
        <f t="shared" si="29"/>
        <v>1849.9752000000001</v>
      </c>
      <c r="N486" s="4">
        <f t="shared" si="30"/>
        <v>2025</v>
      </c>
      <c r="O486" s="4">
        <f t="shared" si="31"/>
        <v>1</v>
      </c>
    </row>
    <row r="487" spans="1:15" x14ac:dyDescent="0.25">
      <c r="A487" t="s">
        <v>1013</v>
      </c>
      <c r="B487" s="2">
        <v>45139</v>
      </c>
      <c r="C487" t="s">
        <v>49</v>
      </c>
      <c r="D487" t="s">
        <v>50</v>
      </c>
      <c r="E487">
        <v>551.23</v>
      </c>
      <c r="F487">
        <v>0</v>
      </c>
      <c r="G487" t="s">
        <v>13</v>
      </c>
      <c r="H487" t="s">
        <v>51</v>
      </c>
      <c r="I487" t="s">
        <v>1014</v>
      </c>
      <c r="J487" t="s">
        <v>28</v>
      </c>
      <c r="K487" s="4">
        <f>VLOOKUP(J487,Exchange_Rates!A:B,2,FALSE)</f>
        <v>1.27</v>
      </c>
      <c r="L487" s="4">
        <f t="shared" si="28"/>
        <v>700.06209999999999</v>
      </c>
      <c r="M487" s="4">
        <f t="shared" si="29"/>
        <v>0</v>
      </c>
      <c r="N487" s="4">
        <f t="shared" si="30"/>
        <v>2023</v>
      </c>
      <c r="O487" s="4">
        <f t="shared" si="31"/>
        <v>3</v>
      </c>
    </row>
    <row r="488" spans="1:15" x14ac:dyDescent="0.25">
      <c r="A488" t="s">
        <v>1015</v>
      </c>
      <c r="B488" s="2">
        <v>45518</v>
      </c>
      <c r="C488" t="s">
        <v>24</v>
      </c>
      <c r="D488" t="s">
        <v>25</v>
      </c>
      <c r="E488">
        <v>0</v>
      </c>
      <c r="F488">
        <v>588.37</v>
      </c>
      <c r="G488" t="s">
        <v>11</v>
      </c>
      <c r="H488" t="s">
        <v>40</v>
      </c>
      <c r="I488" t="s">
        <v>1016</v>
      </c>
      <c r="J488" t="s">
        <v>28</v>
      </c>
      <c r="K488" s="4">
        <f>VLOOKUP(J488,Exchange_Rates!A:B,2,FALSE)</f>
        <v>1.27</v>
      </c>
      <c r="L488" s="4">
        <f t="shared" si="28"/>
        <v>0</v>
      </c>
      <c r="M488" s="4">
        <f t="shared" si="29"/>
        <v>747.22990000000004</v>
      </c>
      <c r="N488" s="4">
        <f t="shared" si="30"/>
        <v>2024</v>
      </c>
      <c r="O488" s="4">
        <f t="shared" si="31"/>
        <v>3</v>
      </c>
    </row>
    <row r="489" spans="1:15" x14ac:dyDescent="0.25">
      <c r="A489" t="s">
        <v>1017</v>
      </c>
      <c r="B489" s="2">
        <v>45510</v>
      </c>
      <c r="C489" t="s">
        <v>38</v>
      </c>
      <c r="D489" t="s">
        <v>39</v>
      </c>
      <c r="E489">
        <v>134.5</v>
      </c>
      <c r="F489">
        <v>0</v>
      </c>
      <c r="G489" t="s">
        <v>8</v>
      </c>
      <c r="H489" t="s">
        <v>26</v>
      </c>
      <c r="I489" t="s">
        <v>1018</v>
      </c>
      <c r="J489" t="s">
        <v>64</v>
      </c>
      <c r="K489" s="4">
        <f>VLOOKUP(J489,Exchange_Rates!A:B,2,FALSE)</f>
        <v>0.73</v>
      </c>
      <c r="L489" s="4">
        <f t="shared" si="28"/>
        <v>98.185000000000002</v>
      </c>
      <c r="M489" s="4">
        <f t="shared" si="29"/>
        <v>0</v>
      </c>
      <c r="N489" s="4">
        <f t="shared" si="30"/>
        <v>2024</v>
      </c>
      <c r="O489" s="4">
        <f t="shared" si="31"/>
        <v>3</v>
      </c>
    </row>
    <row r="490" spans="1:15" x14ac:dyDescent="0.25">
      <c r="A490" t="s">
        <v>1019</v>
      </c>
      <c r="B490" s="2">
        <v>45610</v>
      </c>
      <c r="C490" t="s">
        <v>30</v>
      </c>
      <c r="D490" t="s">
        <v>31</v>
      </c>
      <c r="E490">
        <v>630.03</v>
      </c>
      <c r="F490">
        <v>0</v>
      </c>
      <c r="G490" t="s">
        <v>8</v>
      </c>
      <c r="H490" t="s">
        <v>51</v>
      </c>
      <c r="I490" t="s">
        <v>1020</v>
      </c>
      <c r="J490" t="s">
        <v>64</v>
      </c>
      <c r="K490" s="4">
        <f>VLOOKUP(J490,Exchange_Rates!A:B,2,FALSE)</f>
        <v>0.73</v>
      </c>
      <c r="L490" s="4">
        <f t="shared" si="28"/>
        <v>459.92189999999999</v>
      </c>
      <c r="M490" s="4">
        <f t="shared" si="29"/>
        <v>0</v>
      </c>
      <c r="N490" s="4">
        <f t="shared" si="30"/>
        <v>2024</v>
      </c>
      <c r="O490" s="4">
        <f t="shared" si="31"/>
        <v>4</v>
      </c>
    </row>
    <row r="491" spans="1:15" x14ac:dyDescent="0.25">
      <c r="A491" t="s">
        <v>1021</v>
      </c>
      <c r="B491" s="2">
        <v>45132</v>
      </c>
      <c r="C491" t="s">
        <v>38</v>
      </c>
      <c r="D491" t="s">
        <v>39</v>
      </c>
      <c r="E491">
        <v>1840.05</v>
      </c>
      <c r="F491">
        <v>0</v>
      </c>
      <c r="G491" t="s">
        <v>11</v>
      </c>
      <c r="H491" t="s">
        <v>26</v>
      </c>
      <c r="I491" t="s">
        <v>1022</v>
      </c>
      <c r="J491" t="s">
        <v>42</v>
      </c>
      <c r="K491" s="4">
        <f>VLOOKUP(J491,Exchange_Rates!A:B,2,FALSE)</f>
        <v>0.66</v>
      </c>
      <c r="L491" s="4">
        <f t="shared" si="28"/>
        <v>1214.433</v>
      </c>
      <c r="M491" s="4">
        <f t="shared" si="29"/>
        <v>0</v>
      </c>
      <c r="N491" s="4">
        <f t="shared" si="30"/>
        <v>2023</v>
      </c>
      <c r="O491" s="4">
        <f t="shared" si="31"/>
        <v>3</v>
      </c>
    </row>
    <row r="492" spans="1:15" x14ac:dyDescent="0.25">
      <c r="A492" t="s">
        <v>1023</v>
      </c>
      <c r="B492" s="2">
        <v>45036</v>
      </c>
      <c r="C492" t="s">
        <v>30</v>
      </c>
      <c r="D492" t="s">
        <v>31</v>
      </c>
      <c r="E492">
        <v>1943.87</v>
      </c>
      <c r="F492">
        <v>0</v>
      </c>
      <c r="G492" t="s">
        <v>12</v>
      </c>
      <c r="H492" t="s">
        <v>62</v>
      </c>
      <c r="I492" t="s">
        <v>1024</v>
      </c>
      <c r="J492" t="s">
        <v>42</v>
      </c>
      <c r="K492" s="4">
        <f>VLOOKUP(J492,Exchange_Rates!A:B,2,FALSE)</f>
        <v>0.66</v>
      </c>
      <c r="L492" s="4">
        <f t="shared" si="28"/>
        <v>1282.9541999999999</v>
      </c>
      <c r="M492" s="4">
        <f t="shared" si="29"/>
        <v>0</v>
      </c>
      <c r="N492" s="4">
        <f t="shared" si="30"/>
        <v>2023</v>
      </c>
      <c r="O492" s="4">
        <f t="shared" si="31"/>
        <v>2</v>
      </c>
    </row>
    <row r="493" spans="1:15" x14ac:dyDescent="0.25">
      <c r="A493" t="s">
        <v>1025</v>
      </c>
      <c r="B493" s="2">
        <v>45559</v>
      </c>
      <c r="C493" t="s">
        <v>24</v>
      </c>
      <c r="D493" t="s">
        <v>25</v>
      </c>
      <c r="E493">
        <v>0</v>
      </c>
      <c r="F493">
        <v>2322.15</v>
      </c>
      <c r="G493" t="s">
        <v>11</v>
      </c>
      <c r="H493" t="s">
        <v>40</v>
      </c>
      <c r="I493" t="s">
        <v>1026</v>
      </c>
      <c r="J493" t="s">
        <v>45</v>
      </c>
      <c r="K493" s="4">
        <f>VLOOKUP(J493,Exchange_Rates!A:B,2,FALSE)</f>
        <v>1</v>
      </c>
      <c r="L493" s="4">
        <f t="shared" si="28"/>
        <v>0</v>
      </c>
      <c r="M493" s="4">
        <f t="shared" si="29"/>
        <v>2322.15</v>
      </c>
      <c r="N493" s="4">
        <f t="shared" si="30"/>
        <v>2024</v>
      </c>
      <c r="O493" s="4">
        <f t="shared" si="31"/>
        <v>3</v>
      </c>
    </row>
    <row r="494" spans="1:15" x14ac:dyDescent="0.25">
      <c r="A494" t="s">
        <v>1027</v>
      </c>
      <c r="B494" s="2">
        <v>45741</v>
      </c>
      <c r="C494" t="s">
        <v>24</v>
      </c>
      <c r="D494" t="s">
        <v>25</v>
      </c>
      <c r="E494">
        <v>0</v>
      </c>
      <c r="F494">
        <v>1615.42</v>
      </c>
      <c r="G494" t="s">
        <v>12</v>
      </c>
      <c r="H494" t="s">
        <v>34</v>
      </c>
      <c r="I494" t="s">
        <v>1028</v>
      </c>
      <c r="J494" t="s">
        <v>64</v>
      </c>
      <c r="K494" s="4">
        <f>VLOOKUP(J494,Exchange_Rates!A:B,2,FALSE)</f>
        <v>0.73</v>
      </c>
      <c r="L494" s="4">
        <f t="shared" si="28"/>
        <v>0</v>
      </c>
      <c r="M494" s="4">
        <f t="shared" si="29"/>
        <v>1179.2565999999999</v>
      </c>
      <c r="N494" s="4">
        <f t="shared" si="30"/>
        <v>2025</v>
      </c>
      <c r="O494" s="4">
        <f t="shared" si="31"/>
        <v>1</v>
      </c>
    </row>
    <row r="495" spans="1:15" x14ac:dyDescent="0.25">
      <c r="A495" t="s">
        <v>1029</v>
      </c>
      <c r="B495" s="2">
        <v>45415</v>
      </c>
      <c r="C495" t="s">
        <v>60</v>
      </c>
      <c r="D495" t="s">
        <v>61</v>
      </c>
      <c r="E495">
        <v>0</v>
      </c>
      <c r="F495">
        <v>3274.24</v>
      </c>
      <c r="G495" t="s">
        <v>9</v>
      </c>
      <c r="H495" t="s">
        <v>62</v>
      </c>
      <c r="I495" t="s">
        <v>1030</v>
      </c>
      <c r="J495" t="s">
        <v>64</v>
      </c>
      <c r="K495" s="4">
        <f>VLOOKUP(J495,Exchange_Rates!A:B,2,FALSE)</f>
        <v>0.73</v>
      </c>
      <c r="L495" s="4">
        <f t="shared" si="28"/>
        <v>0</v>
      </c>
      <c r="M495" s="4">
        <f t="shared" si="29"/>
        <v>2390.1951999999997</v>
      </c>
      <c r="N495" s="4">
        <f t="shared" si="30"/>
        <v>2024</v>
      </c>
      <c r="O495" s="4">
        <f t="shared" si="31"/>
        <v>2</v>
      </c>
    </row>
    <row r="496" spans="1:15" x14ac:dyDescent="0.25">
      <c r="A496" t="s">
        <v>1031</v>
      </c>
      <c r="B496" s="2">
        <v>45240</v>
      </c>
      <c r="C496" t="s">
        <v>49</v>
      </c>
      <c r="D496" t="s">
        <v>50</v>
      </c>
      <c r="E496">
        <v>293.63</v>
      </c>
      <c r="F496">
        <v>0</v>
      </c>
      <c r="G496" t="s">
        <v>12</v>
      </c>
      <c r="H496" t="s">
        <v>34</v>
      </c>
      <c r="I496" t="s">
        <v>1032</v>
      </c>
      <c r="J496" t="s">
        <v>64</v>
      </c>
      <c r="K496" s="4">
        <f>VLOOKUP(J496,Exchange_Rates!A:B,2,FALSE)</f>
        <v>0.73</v>
      </c>
      <c r="L496" s="4">
        <f t="shared" si="28"/>
        <v>214.34989999999999</v>
      </c>
      <c r="M496" s="4">
        <f t="shared" si="29"/>
        <v>0</v>
      </c>
      <c r="N496" s="4">
        <f t="shared" si="30"/>
        <v>2023</v>
      </c>
      <c r="O496" s="4">
        <f t="shared" si="31"/>
        <v>4</v>
      </c>
    </row>
    <row r="497" spans="1:15" x14ac:dyDescent="0.25">
      <c r="A497" t="s">
        <v>1033</v>
      </c>
      <c r="B497" s="2">
        <v>44972</v>
      </c>
      <c r="C497" t="s">
        <v>24</v>
      </c>
      <c r="D497" t="s">
        <v>25</v>
      </c>
      <c r="E497">
        <v>0</v>
      </c>
      <c r="F497">
        <v>2924.19</v>
      </c>
      <c r="G497" t="s">
        <v>8</v>
      </c>
      <c r="H497" t="s">
        <v>51</v>
      </c>
      <c r="I497" t="s">
        <v>1034</v>
      </c>
      <c r="J497" t="s">
        <v>45</v>
      </c>
      <c r="K497" s="4">
        <f>VLOOKUP(J497,Exchange_Rates!A:B,2,FALSE)</f>
        <v>1</v>
      </c>
      <c r="L497" s="4">
        <f t="shared" si="28"/>
        <v>0</v>
      </c>
      <c r="M497" s="4">
        <f t="shared" si="29"/>
        <v>2924.19</v>
      </c>
      <c r="N497" s="4">
        <f t="shared" si="30"/>
        <v>2023</v>
      </c>
      <c r="O497" s="4">
        <f t="shared" si="31"/>
        <v>1</v>
      </c>
    </row>
    <row r="498" spans="1:15" x14ac:dyDescent="0.25">
      <c r="A498" t="s">
        <v>1035</v>
      </c>
      <c r="B498" s="2">
        <v>45602</v>
      </c>
      <c r="C498" t="s">
        <v>30</v>
      </c>
      <c r="D498" t="s">
        <v>31</v>
      </c>
      <c r="E498">
        <v>630.34</v>
      </c>
      <c r="F498">
        <v>0</v>
      </c>
      <c r="G498" t="s">
        <v>11</v>
      </c>
      <c r="H498" t="s">
        <v>26</v>
      </c>
      <c r="I498" t="s">
        <v>1036</v>
      </c>
      <c r="J498" t="s">
        <v>45</v>
      </c>
      <c r="K498" s="4">
        <f>VLOOKUP(J498,Exchange_Rates!A:B,2,FALSE)</f>
        <v>1</v>
      </c>
      <c r="L498" s="4">
        <f t="shared" si="28"/>
        <v>630.34</v>
      </c>
      <c r="M498" s="4">
        <f t="shared" si="29"/>
        <v>0</v>
      </c>
      <c r="N498" s="4">
        <f t="shared" si="30"/>
        <v>2024</v>
      </c>
      <c r="O498" s="4">
        <f t="shared" si="31"/>
        <v>4</v>
      </c>
    </row>
    <row r="499" spans="1:15" x14ac:dyDescent="0.25">
      <c r="A499" t="s">
        <v>1037</v>
      </c>
      <c r="B499" s="2">
        <v>45336</v>
      </c>
      <c r="C499" t="s">
        <v>24</v>
      </c>
      <c r="D499" t="s">
        <v>25</v>
      </c>
      <c r="E499">
        <v>0</v>
      </c>
      <c r="F499">
        <v>2794.59</v>
      </c>
      <c r="G499" t="s">
        <v>9</v>
      </c>
      <c r="H499" t="s">
        <v>51</v>
      </c>
      <c r="I499" t="s">
        <v>1038</v>
      </c>
      <c r="J499" t="s">
        <v>36</v>
      </c>
      <c r="K499" s="4">
        <f>VLOOKUP(J499,Exchange_Rates!A:B,2,FALSE)</f>
        <v>1.08</v>
      </c>
      <c r="L499" s="4">
        <f t="shared" si="28"/>
        <v>0</v>
      </c>
      <c r="M499" s="4">
        <f t="shared" si="29"/>
        <v>3018.1572000000006</v>
      </c>
      <c r="N499" s="4">
        <f t="shared" si="30"/>
        <v>2024</v>
      </c>
      <c r="O499" s="4">
        <f t="shared" si="31"/>
        <v>1</v>
      </c>
    </row>
    <row r="500" spans="1:15" x14ac:dyDescent="0.25">
      <c r="A500" t="s">
        <v>1039</v>
      </c>
      <c r="B500" s="2">
        <v>45182</v>
      </c>
      <c r="C500" t="s">
        <v>30</v>
      </c>
      <c r="D500" t="s">
        <v>31</v>
      </c>
      <c r="E500">
        <v>276.86</v>
      </c>
      <c r="F500">
        <v>0</v>
      </c>
      <c r="G500" t="s">
        <v>12</v>
      </c>
      <c r="H500" t="s">
        <v>40</v>
      </c>
      <c r="I500" t="s">
        <v>1040</v>
      </c>
      <c r="J500" t="s">
        <v>45</v>
      </c>
      <c r="K500" s="4">
        <f>VLOOKUP(J500,Exchange_Rates!A:B,2,FALSE)</f>
        <v>1</v>
      </c>
      <c r="L500" s="4">
        <f t="shared" si="28"/>
        <v>276.86</v>
      </c>
      <c r="M500" s="4">
        <f t="shared" si="29"/>
        <v>0</v>
      </c>
      <c r="N500" s="4">
        <f t="shared" si="30"/>
        <v>2023</v>
      </c>
      <c r="O500" s="4">
        <f t="shared" si="31"/>
        <v>3</v>
      </c>
    </row>
    <row r="501" spans="1:15" x14ac:dyDescent="0.25">
      <c r="A501" t="s">
        <v>1041</v>
      </c>
      <c r="B501" s="2">
        <v>45113</v>
      </c>
      <c r="C501" t="s">
        <v>30</v>
      </c>
      <c r="D501" t="s">
        <v>31</v>
      </c>
      <c r="E501">
        <v>1358.2</v>
      </c>
      <c r="F501">
        <v>0</v>
      </c>
      <c r="G501" t="s">
        <v>11</v>
      </c>
      <c r="H501" t="s">
        <v>51</v>
      </c>
      <c r="I501" t="s">
        <v>1042</v>
      </c>
      <c r="J501" t="s">
        <v>28</v>
      </c>
      <c r="K501" s="4">
        <f>VLOOKUP(J501,Exchange_Rates!A:B,2,FALSE)</f>
        <v>1.27</v>
      </c>
      <c r="L501" s="4">
        <f t="shared" si="28"/>
        <v>1724.914</v>
      </c>
      <c r="M501" s="4">
        <f t="shared" si="29"/>
        <v>0</v>
      </c>
      <c r="N501" s="4">
        <f t="shared" si="30"/>
        <v>2023</v>
      </c>
      <c r="O501" s="4">
        <f t="shared" si="31"/>
        <v>3</v>
      </c>
    </row>
    <row r="502" spans="1:15" x14ac:dyDescent="0.25">
      <c r="A502" t="s">
        <v>1043</v>
      </c>
      <c r="B502" s="2">
        <v>45408</v>
      </c>
      <c r="C502" t="s">
        <v>49</v>
      </c>
      <c r="D502" t="s">
        <v>50</v>
      </c>
      <c r="E502">
        <v>701.01</v>
      </c>
      <c r="F502">
        <v>0</v>
      </c>
      <c r="G502" t="s">
        <v>12</v>
      </c>
      <c r="H502" t="s">
        <v>62</v>
      </c>
      <c r="I502" t="s">
        <v>1044</v>
      </c>
      <c r="J502" t="s">
        <v>28</v>
      </c>
      <c r="K502" s="4">
        <f>VLOOKUP(J502,Exchange_Rates!A:B,2,FALSE)</f>
        <v>1.27</v>
      </c>
      <c r="L502" s="4">
        <f t="shared" si="28"/>
        <v>890.28269999999998</v>
      </c>
      <c r="M502" s="4">
        <f t="shared" si="29"/>
        <v>0</v>
      </c>
      <c r="N502" s="4">
        <f t="shared" si="30"/>
        <v>2024</v>
      </c>
      <c r="O502" s="4">
        <f t="shared" si="31"/>
        <v>2</v>
      </c>
    </row>
    <row r="503" spans="1:15" x14ac:dyDescent="0.25">
      <c r="A503" t="s">
        <v>1045</v>
      </c>
      <c r="B503" s="2">
        <v>45576</v>
      </c>
      <c r="C503" t="s">
        <v>24</v>
      </c>
      <c r="D503" t="s">
        <v>25</v>
      </c>
      <c r="E503">
        <v>0</v>
      </c>
      <c r="F503">
        <v>3951.26</v>
      </c>
      <c r="G503" t="s">
        <v>8</v>
      </c>
      <c r="H503" t="s">
        <v>26</v>
      </c>
      <c r="I503" t="s">
        <v>1046</v>
      </c>
      <c r="J503" t="s">
        <v>42</v>
      </c>
      <c r="K503" s="4">
        <f>VLOOKUP(J503,Exchange_Rates!A:B,2,FALSE)</f>
        <v>0.66</v>
      </c>
      <c r="L503" s="4">
        <f t="shared" si="28"/>
        <v>0</v>
      </c>
      <c r="M503" s="4">
        <f t="shared" si="29"/>
        <v>2607.8316000000004</v>
      </c>
      <c r="N503" s="4">
        <f t="shared" si="30"/>
        <v>2024</v>
      </c>
      <c r="O503" s="4">
        <f t="shared" si="31"/>
        <v>4</v>
      </c>
    </row>
    <row r="504" spans="1:15" x14ac:dyDescent="0.25">
      <c r="A504" t="s">
        <v>1047</v>
      </c>
      <c r="B504" s="2">
        <v>45105</v>
      </c>
      <c r="C504" t="s">
        <v>24</v>
      </c>
      <c r="D504" t="s">
        <v>25</v>
      </c>
      <c r="E504">
        <v>0</v>
      </c>
      <c r="F504">
        <v>1521.81</v>
      </c>
      <c r="G504" t="s">
        <v>12</v>
      </c>
      <c r="H504" t="s">
        <v>51</v>
      </c>
      <c r="I504" t="s">
        <v>1048</v>
      </c>
      <c r="J504" t="s">
        <v>36</v>
      </c>
      <c r="K504" s="4">
        <f>VLOOKUP(J504,Exchange_Rates!A:B,2,FALSE)</f>
        <v>1.08</v>
      </c>
      <c r="L504" s="4">
        <f t="shared" si="28"/>
        <v>0</v>
      </c>
      <c r="M504" s="4">
        <f t="shared" si="29"/>
        <v>1643.5548000000001</v>
      </c>
      <c r="N504" s="4">
        <f t="shared" si="30"/>
        <v>2023</v>
      </c>
      <c r="O504" s="4">
        <f t="shared" si="31"/>
        <v>2</v>
      </c>
    </row>
    <row r="505" spans="1:15" x14ac:dyDescent="0.25">
      <c r="A505" t="s">
        <v>1049</v>
      </c>
      <c r="B505" s="2">
        <v>45160</v>
      </c>
      <c r="C505" t="s">
        <v>49</v>
      </c>
      <c r="D505" t="s">
        <v>50</v>
      </c>
      <c r="E505">
        <v>402.01</v>
      </c>
      <c r="F505">
        <v>0</v>
      </c>
      <c r="G505" t="s">
        <v>12</v>
      </c>
      <c r="H505" t="s">
        <v>26</v>
      </c>
      <c r="I505" t="s">
        <v>1050</v>
      </c>
      <c r="J505" t="s">
        <v>36</v>
      </c>
      <c r="K505" s="4">
        <f>VLOOKUP(J505,Exchange_Rates!A:B,2,FALSE)</f>
        <v>1.08</v>
      </c>
      <c r="L505" s="4">
        <f t="shared" si="28"/>
        <v>434.17080000000004</v>
      </c>
      <c r="M505" s="4">
        <f t="shared" si="29"/>
        <v>0</v>
      </c>
      <c r="N505" s="4">
        <f t="shared" si="30"/>
        <v>2023</v>
      </c>
      <c r="O505" s="4">
        <f t="shared" si="31"/>
        <v>3</v>
      </c>
    </row>
    <row r="506" spans="1:15" x14ac:dyDescent="0.25">
      <c r="A506" t="s">
        <v>1051</v>
      </c>
      <c r="B506" s="2">
        <v>45334</v>
      </c>
      <c r="C506" t="s">
        <v>30</v>
      </c>
      <c r="D506" t="s">
        <v>31</v>
      </c>
      <c r="E506">
        <v>610.08000000000004</v>
      </c>
      <c r="F506">
        <v>0</v>
      </c>
      <c r="G506" t="s">
        <v>11</v>
      </c>
      <c r="H506" t="s">
        <v>62</v>
      </c>
      <c r="I506" t="s">
        <v>1052</v>
      </c>
      <c r="J506" t="s">
        <v>64</v>
      </c>
      <c r="K506" s="4">
        <f>VLOOKUP(J506,Exchange_Rates!A:B,2,FALSE)</f>
        <v>0.73</v>
      </c>
      <c r="L506" s="4">
        <f t="shared" si="28"/>
        <v>445.35840000000002</v>
      </c>
      <c r="M506" s="4">
        <f t="shared" si="29"/>
        <v>0</v>
      </c>
      <c r="N506" s="4">
        <f t="shared" si="30"/>
        <v>2024</v>
      </c>
      <c r="O506" s="4">
        <f t="shared" si="31"/>
        <v>1</v>
      </c>
    </row>
    <row r="507" spans="1:15" x14ac:dyDescent="0.25">
      <c r="A507" t="s">
        <v>1053</v>
      </c>
      <c r="B507" s="2">
        <v>45295</v>
      </c>
      <c r="C507" t="s">
        <v>24</v>
      </c>
      <c r="D507" t="s">
        <v>25</v>
      </c>
      <c r="E507">
        <v>0</v>
      </c>
      <c r="F507">
        <v>4713.8999999999996</v>
      </c>
      <c r="G507" t="s">
        <v>9</v>
      </c>
      <c r="H507" t="s">
        <v>62</v>
      </c>
      <c r="I507" t="s">
        <v>1054</v>
      </c>
      <c r="J507" t="s">
        <v>36</v>
      </c>
      <c r="K507" s="4">
        <f>VLOOKUP(J507,Exchange_Rates!A:B,2,FALSE)</f>
        <v>1.08</v>
      </c>
      <c r="L507" s="4">
        <f t="shared" si="28"/>
        <v>0</v>
      </c>
      <c r="M507" s="4">
        <f t="shared" si="29"/>
        <v>5091.0119999999997</v>
      </c>
      <c r="N507" s="4">
        <f t="shared" si="30"/>
        <v>2024</v>
      </c>
      <c r="O507" s="4">
        <f t="shared" si="31"/>
        <v>1</v>
      </c>
    </row>
    <row r="508" spans="1:15" x14ac:dyDescent="0.25">
      <c r="A508" t="s">
        <v>1055</v>
      </c>
      <c r="B508" s="2">
        <v>44987</v>
      </c>
      <c r="C508" t="s">
        <v>38</v>
      </c>
      <c r="D508" t="s">
        <v>39</v>
      </c>
      <c r="E508">
        <v>1547.67</v>
      </c>
      <c r="F508">
        <v>0</v>
      </c>
      <c r="G508" t="s">
        <v>11</v>
      </c>
      <c r="H508" t="s">
        <v>26</v>
      </c>
      <c r="I508" t="s">
        <v>1056</v>
      </c>
      <c r="J508" t="s">
        <v>36</v>
      </c>
      <c r="K508" s="4">
        <f>VLOOKUP(J508,Exchange_Rates!A:B,2,FALSE)</f>
        <v>1.08</v>
      </c>
      <c r="L508" s="4">
        <f t="shared" si="28"/>
        <v>1671.4836000000003</v>
      </c>
      <c r="M508" s="4">
        <f t="shared" si="29"/>
        <v>0</v>
      </c>
      <c r="N508" s="4">
        <f t="shared" si="30"/>
        <v>2023</v>
      </c>
      <c r="O508" s="4">
        <f t="shared" si="31"/>
        <v>1</v>
      </c>
    </row>
    <row r="509" spans="1:15" x14ac:dyDescent="0.25">
      <c r="A509" t="s">
        <v>1057</v>
      </c>
      <c r="B509" s="2">
        <v>44965</v>
      </c>
      <c r="C509" t="s">
        <v>60</v>
      </c>
      <c r="D509" t="s">
        <v>61</v>
      </c>
      <c r="E509">
        <v>0</v>
      </c>
      <c r="F509">
        <v>3002.52</v>
      </c>
      <c r="G509" t="s">
        <v>9</v>
      </c>
      <c r="H509" t="s">
        <v>62</v>
      </c>
      <c r="I509" t="s">
        <v>1058</v>
      </c>
      <c r="J509" t="s">
        <v>64</v>
      </c>
      <c r="K509" s="4">
        <f>VLOOKUP(J509,Exchange_Rates!A:B,2,FALSE)</f>
        <v>0.73</v>
      </c>
      <c r="L509" s="4">
        <f t="shared" si="28"/>
        <v>0</v>
      </c>
      <c r="M509" s="4">
        <f t="shared" si="29"/>
        <v>2191.8395999999998</v>
      </c>
      <c r="N509" s="4">
        <f t="shared" si="30"/>
        <v>2023</v>
      </c>
      <c r="O509" s="4">
        <f t="shared" si="31"/>
        <v>1</v>
      </c>
    </row>
    <row r="510" spans="1:15" x14ac:dyDescent="0.25">
      <c r="A510" t="s">
        <v>1059</v>
      </c>
      <c r="B510" s="2">
        <v>45182</v>
      </c>
      <c r="C510" t="s">
        <v>38</v>
      </c>
      <c r="D510" t="s">
        <v>39</v>
      </c>
      <c r="E510">
        <v>1295.97</v>
      </c>
      <c r="F510">
        <v>0</v>
      </c>
      <c r="G510" t="s">
        <v>9</v>
      </c>
      <c r="H510" t="s">
        <v>34</v>
      </c>
      <c r="I510" t="s">
        <v>1060</v>
      </c>
      <c r="J510" t="s">
        <v>28</v>
      </c>
      <c r="K510" s="4">
        <f>VLOOKUP(J510,Exchange_Rates!A:B,2,FALSE)</f>
        <v>1.27</v>
      </c>
      <c r="L510" s="4">
        <f t="shared" si="28"/>
        <v>1645.8819000000001</v>
      </c>
      <c r="M510" s="4">
        <f t="shared" si="29"/>
        <v>0</v>
      </c>
      <c r="N510" s="4">
        <f t="shared" si="30"/>
        <v>2023</v>
      </c>
      <c r="O510" s="4">
        <f t="shared" si="31"/>
        <v>3</v>
      </c>
    </row>
    <row r="511" spans="1:15" x14ac:dyDescent="0.25">
      <c r="A511" t="s">
        <v>1061</v>
      </c>
      <c r="B511" s="2">
        <v>45647</v>
      </c>
      <c r="C511" t="s">
        <v>49</v>
      </c>
      <c r="D511" t="s">
        <v>50</v>
      </c>
      <c r="E511">
        <v>1648.77</v>
      </c>
      <c r="F511">
        <v>0</v>
      </c>
      <c r="G511" t="s">
        <v>13</v>
      </c>
      <c r="H511" t="s">
        <v>62</v>
      </c>
      <c r="I511" t="s">
        <v>1062</v>
      </c>
      <c r="J511" t="s">
        <v>64</v>
      </c>
      <c r="K511" s="4">
        <f>VLOOKUP(J511,Exchange_Rates!A:B,2,FALSE)</f>
        <v>0.73</v>
      </c>
      <c r="L511" s="4">
        <f t="shared" si="28"/>
        <v>1203.6021000000001</v>
      </c>
      <c r="M511" s="4">
        <f t="shared" si="29"/>
        <v>0</v>
      </c>
      <c r="N511" s="4">
        <f t="shared" si="30"/>
        <v>2024</v>
      </c>
      <c r="O511" s="4">
        <f t="shared" si="31"/>
        <v>4</v>
      </c>
    </row>
    <row r="512" spans="1:15" x14ac:dyDescent="0.25">
      <c r="A512" t="s">
        <v>1063</v>
      </c>
      <c r="B512" s="2">
        <v>44933</v>
      </c>
      <c r="C512" t="s">
        <v>60</v>
      </c>
      <c r="D512" t="s">
        <v>61</v>
      </c>
      <c r="E512">
        <v>0</v>
      </c>
      <c r="F512">
        <v>1351.35</v>
      </c>
      <c r="G512" t="s">
        <v>9</v>
      </c>
      <c r="H512" t="s">
        <v>26</v>
      </c>
      <c r="I512" t="s">
        <v>1064</v>
      </c>
      <c r="J512" t="s">
        <v>36</v>
      </c>
      <c r="K512" s="4">
        <f>VLOOKUP(J512,Exchange_Rates!A:B,2,FALSE)</f>
        <v>1.08</v>
      </c>
      <c r="L512" s="4">
        <f t="shared" si="28"/>
        <v>0</v>
      </c>
      <c r="M512" s="4">
        <f t="shared" si="29"/>
        <v>1459.4580000000001</v>
      </c>
      <c r="N512" s="4">
        <f t="shared" si="30"/>
        <v>2023</v>
      </c>
      <c r="O512" s="4">
        <f t="shared" si="31"/>
        <v>1</v>
      </c>
    </row>
    <row r="513" spans="1:15" x14ac:dyDescent="0.25">
      <c r="A513" t="s">
        <v>1065</v>
      </c>
      <c r="B513" s="2">
        <v>45666</v>
      </c>
      <c r="C513" t="s">
        <v>60</v>
      </c>
      <c r="D513" t="s">
        <v>61</v>
      </c>
      <c r="E513">
        <v>0</v>
      </c>
      <c r="F513">
        <v>1986.96</v>
      </c>
      <c r="G513" t="s">
        <v>13</v>
      </c>
      <c r="H513" t="s">
        <v>62</v>
      </c>
      <c r="I513" t="s">
        <v>1066</v>
      </c>
      <c r="J513" t="s">
        <v>36</v>
      </c>
      <c r="K513" s="4">
        <f>VLOOKUP(J513,Exchange_Rates!A:B,2,FALSE)</f>
        <v>1.08</v>
      </c>
      <c r="L513" s="4">
        <f t="shared" si="28"/>
        <v>0</v>
      </c>
      <c r="M513" s="4">
        <f t="shared" si="29"/>
        <v>2145.9168</v>
      </c>
      <c r="N513" s="4">
        <f t="shared" si="30"/>
        <v>2025</v>
      </c>
      <c r="O513" s="4">
        <f t="shared" si="31"/>
        <v>1</v>
      </c>
    </row>
    <row r="514" spans="1:15" x14ac:dyDescent="0.25">
      <c r="A514" t="s">
        <v>1067</v>
      </c>
      <c r="B514" s="2">
        <v>45165</v>
      </c>
      <c r="C514" t="s">
        <v>49</v>
      </c>
      <c r="D514" t="s">
        <v>50</v>
      </c>
      <c r="E514">
        <v>1723.41</v>
      </c>
      <c r="F514">
        <v>0</v>
      </c>
      <c r="G514" t="s">
        <v>11</v>
      </c>
      <c r="H514" t="s">
        <v>62</v>
      </c>
      <c r="I514" t="s">
        <v>1068</v>
      </c>
      <c r="J514" t="s">
        <v>36</v>
      </c>
      <c r="K514" s="4">
        <f>VLOOKUP(J514,Exchange_Rates!A:B,2,FALSE)</f>
        <v>1.08</v>
      </c>
      <c r="L514" s="4">
        <f t="shared" si="28"/>
        <v>1861.2828000000002</v>
      </c>
      <c r="M514" s="4">
        <f t="shared" si="29"/>
        <v>0</v>
      </c>
      <c r="N514" s="4">
        <f t="shared" si="30"/>
        <v>2023</v>
      </c>
      <c r="O514" s="4">
        <f t="shared" si="31"/>
        <v>3</v>
      </c>
    </row>
    <row r="515" spans="1:15" x14ac:dyDescent="0.25">
      <c r="A515" t="s">
        <v>1069</v>
      </c>
      <c r="B515" s="2">
        <v>45007</v>
      </c>
      <c r="C515" t="s">
        <v>60</v>
      </c>
      <c r="D515" t="s">
        <v>61</v>
      </c>
      <c r="E515">
        <v>0</v>
      </c>
      <c r="F515">
        <v>386.09</v>
      </c>
      <c r="G515" t="s">
        <v>12</v>
      </c>
      <c r="H515" t="s">
        <v>40</v>
      </c>
      <c r="I515" t="s">
        <v>1070</v>
      </c>
      <c r="J515" t="s">
        <v>42</v>
      </c>
      <c r="K515" s="4">
        <f>VLOOKUP(J515,Exchange_Rates!A:B,2,FALSE)</f>
        <v>0.66</v>
      </c>
      <c r="L515" s="4">
        <f t="shared" ref="L515:L578" si="32">E515*K515</f>
        <v>0</v>
      </c>
      <c r="M515" s="4">
        <f t="shared" ref="M515:M578" si="33">F515*K515</f>
        <v>254.8194</v>
      </c>
      <c r="N515" s="4">
        <f t="shared" ref="N515:N578" si="34">YEAR(B515)</f>
        <v>2023</v>
      </c>
      <c r="O515" s="4">
        <f t="shared" ref="O515:O578" si="35">ROUNDUP(MONTH(B515)/3,0)</f>
        <v>1</v>
      </c>
    </row>
    <row r="516" spans="1:15" x14ac:dyDescent="0.25">
      <c r="A516" t="s">
        <v>1071</v>
      </c>
      <c r="B516" s="2">
        <v>45547</v>
      </c>
      <c r="C516" t="s">
        <v>24</v>
      </c>
      <c r="D516" t="s">
        <v>25</v>
      </c>
      <c r="E516">
        <v>0</v>
      </c>
      <c r="F516">
        <v>2180.11</v>
      </c>
      <c r="G516" t="s">
        <v>9</v>
      </c>
      <c r="H516" t="s">
        <v>40</v>
      </c>
      <c r="I516" t="s">
        <v>1072</v>
      </c>
      <c r="J516" t="s">
        <v>36</v>
      </c>
      <c r="K516" s="4">
        <f>VLOOKUP(J516,Exchange_Rates!A:B,2,FALSE)</f>
        <v>1.08</v>
      </c>
      <c r="L516" s="4">
        <f t="shared" si="32"/>
        <v>0</v>
      </c>
      <c r="M516" s="4">
        <f t="shared" si="33"/>
        <v>2354.5188000000003</v>
      </c>
      <c r="N516" s="4">
        <f t="shared" si="34"/>
        <v>2024</v>
      </c>
      <c r="O516" s="4">
        <f t="shared" si="35"/>
        <v>3</v>
      </c>
    </row>
    <row r="517" spans="1:15" x14ac:dyDescent="0.25">
      <c r="A517" t="s">
        <v>1073</v>
      </c>
      <c r="B517" s="2">
        <v>45554</v>
      </c>
      <c r="C517" t="s">
        <v>38</v>
      </c>
      <c r="D517" t="s">
        <v>39</v>
      </c>
      <c r="E517">
        <v>1283.72</v>
      </c>
      <c r="F517">
        <v>0</v>
      </c>
      <c r="G517" t="s">
        <v>11</v>
      </c>
      <c r="H517" t="s">
        <v>51</v>
      </c>
      <c r="I517" t="s">
        <v>1074</v>
      </c>
      <c r="J517" t="s">
        <v>42</v>
      </c>
      <c r="K517" s="4">
        <f>VLOOKUP(J517,Exchange_Rates!A:B,2,FALSE)</f>
        <v>0.66</v>
      </c>
      <c r="L517" s="4">
        <f t="shared" si="32"/>
        <v>847.25520000000006</v>
      </c>
      <c r="M517" s="4">
        <f t="shared" si="33"/>
        <v>0</v>
      </c>
      <c r="N517" s="4">
        <f t="shared" si="34"/>
        <v>2024</v>
      </c>
      <c r="O517" s="4">
        <f t="shared" si="35"/>
        <v>3</v>
      </c>
    </row>
    <row r="518" spans="1:15" x14ac:dyDescent="0.25">
      <c r="A518" t="s">
        <v>1075</v>
      </c>
      <c r="B518" s="2">
        <v>45785</v>
      </c>
      <c r="C518" t="s">
        <v>38</v>
      </c>
      <c r="D518" t="s">
        <v>39</v>
      </c>
      <c r="E518">
        <v>1809.13</v>
      </c>
      <c r="F518">
        <v>0</v>
      </c>
      <c r="G518" t="s">
        <v>12</v>
      </c>
      <c r="H518" t="s">
        <v>62</v>
      </c>
      <c r="I518" t="s">
        <v>1076</v>
      </c>
      <c r="J518" t="s">
        <v>64</v>
      </c>
      <c r="K518" s="4">
        <f>VLOOKUP(J518,Exchange_Rates!A:B,2,FALSE)</f>
        <v>0.73</v>
      </c>
      <c r="L518" s="4">
        <f t="shared" si="32"/>
        <v>1320.6649</v>
      </c>
      <c r="M518" s="4">
        <f t="shared" si="33"/>
        <v>0</v>
      </c>
      <c r="N518" s="4">
        <f t="shared" si="34"/>
        <v>2025</v>
      </c>
      <c r="O518" s="4">
        <f t="shared" si="35"/>
        <v>2</v>
      </c>
    </row>
    <row r="519" spans="1:15" x14ac:dyDescent="0.25">
      <c r="A519" t="s">
        <v>1077</v>
      </c>
      <c r="B519" s="2">
        <v>45739</v>
      </c>
      <c r="C519" t="s">
        <v>30</v>
      </c>
      <c r="D519" t="s">
        <v>31</v>
      </c>
      <c r="E519">
        <v>1785.9</v>
      </c>
      <c r="F519">
        <v>0</v>
      </c>
      <c r="G519" t="s">
        <v>8</v>
      </c>
      <c r="H519" t="s">
        <v>26</v>
      </c>
      <c r="I519" t="s">
        <v>1078</v>
      </c>
      <c r="J519" t="s">
        <v>42</v>
      </c>
      <c r="K519" s="4">
        <f>VLOOKUP(J519,Exchange_Rates!A:B,2,FALSE)</f>
        <v>0.66</v>
      </c>
      <c r="L519" s="4">
        <f t="shared" si="32"/>
        <v>1178.6940000000002</v>
      </c>
      <c r="M519" s="4">
        <f t="shared" si="33"/>
        <v>0</v>
      </c>
      <c r="N519" s="4">
        <f t="shared" si="34"/>
        <v>2025</v>
      </c>
      <c r="O519" s="4">
        <f t="shared" si="35"/>
        <v>1</v>
      </c>
    </row>
    <row r="520" spans="1:15" x14ac:dyDescent="0.25">
      <c r="A520" t="s">
        <v>1079</v>
      </c>
      <c r="B520" s="2">
        <v>45279</v>
      </c>
      <c r="C520" t="s">
        <v>60</v>
      </c>
      <c r="D520" t="s">
        <v>61</v>
      </c>
      <c r="E520">
        <v>0</v>
      </c>
      <c r="F520">
        <v>4808.83</v>
      </c>
      <c r="G520" t="s">
        <v>13</v>
      </c>
      <c r="H520" t="s">
        <v>62</v>
      </c>
      <c r="I520" t="s">
        <v>1080</v>
      </c>
      <c r="J520" t="s">
        <v>45</v>
      </c>
      <c r="K520" s="4">
        <f>VLOOKUP(J520,Exchange_Rates!A:B,2,FALSE)</f>
        <v>1</v>
      </c>
      <c r="L520" s="4">
        <f t="shared" si="32"/>
        <v>0</v>
      </c>
      <c r="M520" s="4">
        <f t="shared" si="33"/>
        <v>4808.83</v>
      </c>
      <c r="N520" s="4">
        <f t="shared" si="34"/>
        <v>2023</v>
      </c>
      <c r="O520" s="4">
        <f t="shared" si="35"/>
        <v>4</v>
      </c>
    </row>
    <row r="521" spans="1:15" x14ac:dyDescent="0.25">
      <c r="A521" t="s">
        <v>1081</v>
      </c>
      <c r="B521" s="2">
        <v>45571</v>
      </c>
      <c r="C521" t="s">
        <v>30</v>
      </c>
      <c r="D521" t="s">
        <v>31</v>
      </c>
      <c r="E521">
        <v>922.15</v>
      </c>
      <c r="F521">
        <v>0</v>
      </c>
      <c r="G521" t="s">
        <v>12</v>
      </c>
      <c r="H521" t="s">
        <v>51</v>
      </c>
      <c r="I521" t="s">
        <v>1082</v>
      </c>
      <c r="J521" t="s">
        <v>45</v>
      </c>
      <c r="K521" s="4">
        <f>VLOOKUP(J521,Exchange_Rates!A:B,2,FALSE)</f>
        <v>1</v>
      </c>
      <c r="L521" s="4">
        <f t="shared" si="32"/>
        <v>922.15</v>
      </c>
      <c r="M521" s="4">
        <f t="shared" si="33"/>
        <v>0</v>
      </c>
      <c r="N521" s="4">
        <f t="shared" si="34"/>
        <v>2024</v>
      </c>
      <c r="O521" s="4">
        <f t="shared" si="35"/>
        <v>4</v>
      </c>
    </row>
    <row r="522" spans="1:15" x14ac:dyDescent="0.25">
      <c r="A522" t="s">
        <v>1083</v>
      </c>
      <c r="B522" s="2">
        <v>45632</v>
      </c>
      <c r="C522" t="s">
        <v>24</v>
      </c>
      <c r="D522" t="s">
        <v>25</v>
      </c>
      <c r="E522">
        <v>0</v>
      </c>
      <c r="F522">
        <v>2754.43</v>
      </c>
      <c r="G522" t="s">
        <v>11</v>
      </c>
      <c r="H522" t="s">
        <v>62</v>
      </c>
      <c r="I522" t="s">
        <v>1084</v>
      </c>
      <c r="J522" t="s">
        <v>45</v>
      </c>
      <c r="K522" s="4">
        <f>VLOOKUP(J522,Exchange_Rates!A:B,2,FALSE)</f>
        <v>1</v>
      </c>
      <c r="L522" s="4">
        <f t="shared" si="32"/>
        <v>0</v>
      </c>
      <c r="M522" s="4">
        <f t="shared" si="33"/>
        <v>2754.43</v>
      </c>
      <c r="N522" s="4">
        <f t="shared" si="34"/>
        <v>2024</v>
      </c>
      <c r="O522" s="4">
        <f t="shared" si="35"/>
        <v>4</v>
      </c>
    </row>
    <row r="523" spans="1:15" x14ac:dyDescent="0.25">
      <c r="A523" t="s">
        <v>1085</v>
      </c>
      <c r="B523" s="2">
        <v>45790</v>
      </c>
      <c r="C523" t="s">
        <v>24</v>
      </c>
      <c r="D523" t="s">
        <v>25</v>
      </c>
      <c r="E523">
        <v>0</v>
      </c>
      <c r="F523">
        <v>2370.2800000000002</v>
      </c>
      <c r="G523" t="s">
        <v>9</v>
      </c>
      <c r="H523" t="s">
        <v>51</v>
      </c>
      <c r="I523" t="s">
        <v>1086</v>
      </c>
      <c r="J523" t="s">
        <v>42</v>
      </c>
      <c r="K523" s="4">
        <f>VLOOKUP(J523,Exchange_Rates!A:B,2,FALSE)</f>
        <v>0.66</v>
      </c>
      <c r="L523" s="4">
        <f t="shared" si="32"/>
        <v>0</v>
      </c>
      <c r="M523" s="4">
        <f t="shared" si="33"/>
        <v>1564.3848000000003</v>
      </c>
      <c r="N523" s="4">
        <f t="shared" si="34"/>
        <v>2025</v>
      </c>
      <c r="O523" s="4">
        <f t="shared" si="35"/>
        <v>2</v>
      </c>
    </row>
    <row r="524" spans="1:15" x14ac:dyDescent="0.25">
      <c r="A524" t="s">
        <v>1087</v>
      </c>
      <c r="B524" s="2">
        <v>45188</v>
      </c>
      <c r="C524" t="s">
        <v>30</v>
      </c>
      <c r="D524" t="s">
        <v>31</v>
      </c>
      <c r="E524">
        <v>649.98</v>
      </c>
      <c r="F524">
        <v>0</v>
      </c>
      <c r="G524" t="s">
        <v>10</v>
      </c>
      <c r="H524" t="s">
        <v>51</v>
      </c>
      <c r="I524" t="s">
        <v>1088</v>
      </c>
      <c r="J524" t="s">
        <v>36</v>
      </c>
      <c r="K524" s="4">
        <f>VLOOKUP(J524,Exchange_Rates!A:B,2,FALSE)</f>
        <v>1.08</v>
      </c>
      <c r="L524" s="4">
        <f t="shared" si="32"/>
        <v>701.97840000000008</v>
      </c>
      <c r="M524" s="4">
        <f t="shared" si="33"/>
        <v>0</v>
      </c>
      <c r="N524" s="4">
        <f t="shared" si="34"/>
        <v>2023</v>
      </c>
      <c r="O524" s="4">
        <f t="shared" si="35"/>
        <v>3</v>
      </c>
    </row>
    <row r="525" spans="1:15" x14ac:dyDescent="0.25">
      <c r="A525" t="s">
        <v>1089</v>
      </c>
      <c r="B525" s="2">
        <v>45441</v>
      </c>
      <c r="C525" t="s">
        <v>60</v>
      </c>
      <c r="D525" t="s">
        <v>61</v>
      </c>
      <c r="E525">
        <v>0</v>
      </c>
      <c r="F525">
        <v>402.69</v>
      </c>
      <c r="G525" t="s">
        <v>12</v>
      </c>
      <c r="H525" t="s">
        <v>51</v>
      </c>
      <c r="I525" t="s">
        <v>1090</v>
      </c>
      <c r="J525" t="s">
        <v>36</v>
      </c>
      <c r="K525" s="4">
        <f>VLOOKUP(J525,Exchange_Rates!A:B,2,FALSE)</f>
        <v>1.08</v>
      </c>
      <c r="L525" s="4">
        <f t="shared" si="32"/>
        <v>0</v>
      </c>
      <c r="M525" s="4">
        <f t="shared" si="33"/>
        <v>434.90520000000004</v>
      </c>
      <c r="N525" s="4">
        <f t="shared" si="34"/>
        <v>2024</v>
      </c>
      <c r="O525" s="4">
        <f t="shared" si="35"/>
        <v>2</v>
      </c>
    </row>
    <row r="526" spans="1:15" x14ac:dyDescent="0.25">
      <c r="A526" t="s">
        <v>1091</v>
      </c>
      <c r="B526" s="2">
        <v>45250</v>
      </c>
      <c r="C526" t="s">
        <v>38</v>
      </c>
      <c r="D526" t="s">
        <v>39</v>
      </c>
      <c r="E526">
        <v>154.30000000000001</v>
      </c>
      <c r="F526">
        <v>0</v>
      </c>
      <c r="G526" t="s">
        <v>12</v>
      </c>
      <c r="H526" t="s">
        <v>26</v>
      </c>
      <c r="I526" t="s">
        <v>1092</v>
      </c>
      <c r="J526" t="s">
        <v>28</v>
      </c>
      <c r="K526" s="4">
        <f>VLOOKUP(J526,Exchange_Rates!A:B,2,FALSE)</f>
        <v>1.27</v>
      </c>
      <c r="L526" s="4">
        <f t="shared" si="32"/>
        <v>195.96100000000001</v>
      </c>
      <c r="M526" s="4">
        <f t="shared" si="33"/>
        <v>0</v>
      </c>
      <c r="N526" s="4">
        <f t="shared" si="34"/>
        <v>2023</v>
      </c>
      <c r="O526" s="4">
        <f t="shared" si="35"/>
        <v>4</v>
      </c>
    </row>
    <row r="527" spans="1:15" x14ac:dyDescent="0.25">
      <c r="A527" t="s">
        <v>1093</v>
      </c>
      <c r="B527" s="2">
        <v>45366</v>
      </c>
      <c r="C527" t="s">
        <v>24</v>
      </c>
      <c r="D527" t="s">
        <v>25</v>
      </c>
      <c r="E527">
        <v>0</v>
      </c>
      <c r="F527">
        <v>3155.19</v>
      </c>
      <c r="G527" t="s">
        <v>8</v>
      </c>
      <c r="H527" t="s">
        <v>26</v>
      </c>
      <c r="I527" t="s">
        <v>1094</v>
      </c>
      <c r="J527" t="s">
        <v>36</v>
      </c>
      <c r="K527" s="4">
        <f>VLOOKUP(J527,Exchange_Rates!A:B,2,FALSE)</f>
        <v>1.08</v>
      </c>
      <c r="L527" s="4">
        <f t="shared" si="32"/>
        <v>0</v>
      </c>
      <c r="M527" s="4">
        <f t="shared" si="33"/>
        <v>3407.6052000000004</v>
      </c>
      <c r="N527" s="4">
        <f t="shared" si="34"/>
        <v>2024</v>
      </c>
      <c r="O527" s="4">
        <f t="shared" si="35"/>
        <v>1</v>
      </c>
    </row>
    <row r="528" spans="1:15" x14ac:dyDescent="0.25">
      <c r="A528" t="s">
        <v>1095</v>
      </c>
      <c r="B528" s="2">
        <v>44942</v>
      </c>
      <c r="C528" t="s">
        <v>38</v>
      </c>
      <c r="D528" t="s">
        <v>39</v>
      </c>
      <c r="E528">
        <v>1455.97</v>
      </c>
      <c r="F528">
        <v>0</v>
      </c>
      <c r="G528" t="s">
        <v>12</v>
      </c>
      <c r="H528" t="s">
        <v>40</v>
      </c>
      <c r="I528" t="s">
        <v>1096</v>
      </c>
      <c r="J528" t="s">
        <v>45</v>
      </c>
      <c r="K528" s="4">
        <f>VLOOKUP(J528,Exchange_Rates!A:B,2,FALSE)</f>
        <v>1</v>
      </c>
      <c r="L528" s="4">
        <f t="shared" si="32"/>
        <v>1455.97</v>
      </c>
      <c r="M528" s="4">
        <f t="shared" si="33"/>
        <v>0</v>
      </c>
      <c r="N528" s="4">
        <f t="shared" si="34"/>
        <v>2023</v>
      </c>
      <c r="O528" s="4">
        <f t="shared" si="35"/>
        <v>1</v>
      </c>
    </row>
    <row r="529" spans="1:15" x14ac:dyDescent="0.25">
      <c r="A529" t="s">
        <v>1097</v>
      </c>
      <c r="B529" s="2">
        <v>45287</v>
      </c>
      <c r="C529" t="s">
        <v>30</v>
      </c>
      <c r="D529" t="s">
        <v>31</v>
      </c>
      <c r="E529">
        <v>133.86000000000001</v>
      </c>
      <c r="F529">
        <v>0</v>
      </c>
      <c r="G529" t="s">
        <v>13</v>
      </c>
      <c r="H529" t="s">
        <v>51</v>
      </c>
      <c r="I529" t="s">
        <v>1098</v>
      </c>
      <c r="J529" t="s">
        <v>36</v>
      </c>
      <c r="K529" s="4">
        <f>VLOOKUP(J529,Exchange_Rates!A:B,2,FALSE)</f>
        <v>1.08</v>
      </c>
      <c r="L529" s="4">
        <f t="shared" si="32"/>
        <v>144.56880000000001</v>
      </c>
      <c r="M529" s="4">
        <f t="shared" si="33"/>
        <v>0</v>
      </c>
      <c r="N529" s="4">
        <f t="shared" si="34"/>
        <v>2023</v>
      </c>
      <c r="O529" s="4">
        <f t="shared" si="35"/>
        <v>4</v>
      </c>
    </row>
    <row r="530" spans="1:15" x14ac:dyDescent="0.25">
      <c r="A530" t="s">
        <v>1099</v>
      </c>
      <c r="B530" s="2">
        <v>45435</v>
      </c>
      <c r="C530" t="s">
        <v>30</v>
      </c>
      <c r="D530" t="s">
        <v>31</v>
      </c>
      <c r="E530">
        <v>928.81</v>
      </c>
      <c r="F530">
        <v>0</v>
      </c>
      <c r="G530" t="s">
        <v>13</v>
      </c>
      <c r="H530" t="s">
        <v>34</v>
      </c>
      <c r="I530" t="s">
        <v>1100</v>
      </c>
      <c r="J530" t="s">
        <v>42</v>
      </c>
      <c r="K530" s="4">
        <f>VLOOKUP(J530,Exchange_Rates!A:B,2,FALSE)</f>
        <v>0.66</v>
      </c>
      <c r="L530" s="4">
        <f t="shared" si="32"/>
        <v>613.01459999999997</v>
      </c>
      <c r="M530" s="4">
        <f t="shared" si="33"/>
        <v>0</v>
      </c>
      <c r="N530" s="4">
        <f t="shared" si="34"/>
        <v>2024</v>
      </c>
      <c r="O530" s="4">
        <f t="shared" si="35"/>
        <v>2</v>
      </c>
    </row>
    <row r="531" spans="1:15" x14ac:dyDescent="0.25">
      <c r="A531" t="s">
        <v>1101</v>
      </c>
      <c r="B531" s="2">
        <v>45027</v>
      </c>
      <c r="C531" t="s">
        <v>60</v>
      </c>
      <c r="D531" t="s">
        <v>61</v>
      </c>
      <c r="E531">
        <v>0</v>
      </c>
      <c r="F531">
        <v>4936.62</v>
      </c>
      <c r="G531" t="s">
        <v>10</v>
      </c>
      <c r="H531" t="s">
        <v>40</v>
      </c>
      <c r="I531" t="s">
        <v>1102</v>
      </c>
      <c r="J531" t="s">
        <v>28</v>
      </c>
      <c r="K531" s="4">
        <f>VLOOKUP(J531,Exchange_Rates!A:B,2,FALSE)</f>
        <v>1.27</v>
      </c>
      <c r="L531" s="4">
        <f t="shared" si="32"/>
        <v>0</v>
      </c>
      <c r="M531" s="4">
        <f t="shared" si="33"/>
        <v>6269.5073999999995</v>
      </c>
      <c r="N531" s="4">
        <f t="shared" si="34"/>
        <v>2023</v>
      </c>
      <c r="O531" s="4">
        <f t="shared" si="35"/>
        <v>2</v>
      </c>
    </row>
    <row r="532" spans="1:15" x14ac:dyDescent="0.25">
      <c r="A532" t="s">
        <v>1103</v>
      </c>
      <c r="B532" s="2">
        <v>45435</v>
      </c>
      <c r="C532" t="s">
        <v>38</v>
      </c>
      <c r="D532" t="s">
        <v>39</v>
      </c>
      <c r="E532">
        <v>1152.7</v>
      </c>
      <c r="F532">
        <v>0</v>
      </c>
      <c r="G532" t="s">
        <v>11</v>
      </c>
      <c r="H532" t="s">
        <v>34</v>
      </c>
      <c r="I532" t="s">
        <v>1104</v>
      </c>
      <c r="J532" t="s">
        <v>36</v>
      </c>
      <c r="K532" s="4">
        <f>VLOOKUP(J532,Exchange_Rates!A:B,2,FALSE)</f>
        <v>1.08</v>
      </c>
      <c r="L532" s="4">
        <f t="shared" si="32"/>
        <v>1244.9160000000002</v>
      </c>
      <c r="M532" s="4">
        <f t="shared" si="33"/>
        <v>0</v>
      </c>
      <c r="N532" s="4">
        <f t="shared" si="34"/>
        <v>2024</v>
      </c>
      <c r="O532" s="4">
        <f t="shared" si="35"/>
        <v>2</v>
      </c>
    </row>
    <row r="533" spans="1:15" x14ac:dyDescent="0.25">
      <c r="A533" t="s">
        <v>1105</v>
      </c>
      <c r="B533" s="2">
        <v>45644</v>
      </c>
      <c r="C533" t="s">
        <v>49</v>
      </c>
      <c r="D533" t="s">
        <v>50</v>
      </c>
      <c r="E533">
        <v>1793.92</v>
      </c>
      <c r="F533">
        <v>0</v>
      </c>
      <c r="G533" t="s">
        <v>8</v>
      </c>
      <c r="H533" t="s">
        <v>62</v>
      </c>
      <c r="I533" t="s">
        <v>1106</v>
      </c>
      <c r="J533" t="s">
        <v>42</v>
      </c>
      <c r="K533" s="4">
        <f>VLOOKUP(J533,Exchange_Rates!A:B,2,FALSE)</f>
        <v>0.66</v>
      </c>
      <c r="L533" s="4">
        <f t="shared" si="32"/>
        <v>1183.9872</v>
      </c>
      <c r="M533" s="4">
        <f t="shared" si="33"/>
        <v>0</v>
      </c>
      <c r="N533" s="4">
        <f t="shared" si="34"/>
        <v>2024</v>
      </c>
      <c r="O533" s="4">
        <f t="shared" si="35"/>
        <v>4</v>
      </c>
    </row>
    <row r="534" spans="1:15" x14ac:dyDescent="0.25">
      <c r="A534" t="s">
        <v>1107</v>
      </c>
      <c r="B534" s="2">
        <v>45468</v>
      </c>
      <c r="C534" t="s">
        <v>30</v>
      </c>
      <c r="D534" t="s">
        <v>31</v>
      </c>
      <c r="E534">
        <v>1022.78</v>
      </c>
      <c r="F534">
        <v>0</v>
      </c>
      <c r="G534" t="s">
        <v>11</v>
      </c>
      <c r="H534" t="s">
        <v>26</v>
      </c>
      <c r="I534" t="s">
        <v>1108</v>
      </c>
      <c r="J534" t="s">
        <v>45</v>
      </c>
      <c r="K534" s="4">
        <f>VLOOKUP(J534,Exchange_Rates!A:B,2,FALSE)</f>
        <v>1</v>
      </c>
      <c r="L534" s="4">
        <f t="shared" si="32"/>
        <v>1022.78</v>
      </c>
      <c r="M534" s="4">
        <f t="shared" si="33"/>
        <v>0</v>
      </c>
      <c r="N534" s="4">
        <f t="shared" si="34"/>
        <v>2024</v>
      </c>
      <c r="O534" s="4">
        <f t="shared" si="35"/>
        <v>2</v>
      </c>
    </row>
    <row r="535" spans="1:15" x14ac:dyDescent="0.25">
      <c r="A535" t="s">
        <v>1109</v>
      </c>
      <c r="B535" s="2">
        <v>45662</v>
      </c>
      <c r="C535" t="s">
        <v>24</v>
      </c>
      <c r="D535" t="s">
        <v>25</v>
      </c>
      <c r="E535">
        <v>0</v>
      </c>
      <c r="F535">
        <v>1831.2</v>
      </c>
      <c r="G535" t="s">
        <v>12</v>
      </c>
      <c r="H535" t="s">
        <v>62</v>
      </c>
      <c r="I535" t="s">
        <v>1110</v>
      </c>
      <c r="J535" t="s">
        <v>36</v>
      </c>
      <c r="K535" s="4">
        <f>VLOOKUP(J535,Exchange_Rates!A:B,2,FALSE)</f>
        <v>1.08</v>
      </c>
      <c r="L535" s="4">
        <f t="shared" si="32"/>
        <v>0</v>
      </c>
      <c r="M535" s="4">
        <f t="shared" si="33"/>
        <v>1977.6960000000001</v>
      </c>
      <c r="N535" s="4">
        <f t="shared" si="34"/>
        <v>2025</v>
      </c>
      <c r="O535" s="4">
        <f t="shared" si="35"/>
        <v>1</v>
      </c>
    </row>
    <row r="536" spans="1:15" x14ac:dyDescent="0.25">
      <c r="A536" t="s">
        <v>1111</v>
      </c>
      <c r="B536" s="2">
        <v>45786</v>
      </c>
      <c r="C536" t="s">
        <v>24</v>
      </c>
      <c r="D536" t="s">
        <v>25</v>
      </c>
      <c r="E536">
        <v>0</v>
      </c>
      <c r="F536">
        <v>1273.25</v>
      </c>
      <c r="G536" t="s">
        <v>12</v>
      </c>
      <c r="H536" t="s">
        <v>51</v>
      </c>
      <c r="I536" t="s">
        <v>1112</v>
      </c>
      <c r="J536" t="s">
        <v>36</v>
      </c>
      <c r="K536" s="4">
        <f>VLOOKUP(J536,Exchange_Rates!A:B,2,FALSE)</f>
        <v>1.08</v>
      </c>
      <c r="L536" s="4">
        <f t="shared" si="32"/>
        <v>0</v>
      </c>
      <c r="M536" s="4">
        <f t="shared" si="33"/>
        <v>1375.1100000000001</v>
      </c>
      <c r="N536" s="4">
        <f t="shared" si="34"/>
        <v>2025</v>
      </c>
      <c r="O536" s="4">
        <f t="shared" si="35"/>
        <v>2</v>
      </c>
    </row>
    <row r="537" spans="1:15" x14ac:dyDescent="0.25">
      <c r="A537" t="s">
        <v>1113</v>
      </c>
      <c r="B537" s="2">
        <v>45214</v>
      </c>
      <c r="C537" t="s">
        <v>60</v>
      </c>
      <c r="D537" t="s">
        <v>61</v>
      </c>
      <c r="E537">
        <v>0</v>
      </c>
      <c r="F537">
        <v>3620.97</v>
      </c>
      <c r="G537" t="s">
        <v>8</v>
      </c>
      <c r="H537" t="s">
        <v>62</v>
      </c>
      <c r="I537" t="s">
        <v>1114</v>
      </c>
      <c r="J537" t="s">
        <v>28</v>
      </c>
      <c r="K537" s="4">
        <f>VLOOKUP(J537,Exchange_Rates!A:B,2,FALSE)</f>
        <v>1.27</v>
      </c>
      <c r="L537" s="4">
        <f t="shared" si="32"/>
        <v>0</v>
      </c>
      <c r="M537" s="4">
        <f t="shared" si="33"/>
        <v>4598.6318999999994</v>
      </c>
      <c r="N537" s="4">
        <f t="shared" si="34"/>
        <v>2023</v>
      </c>
      <c r="O537" s="4">
        <f t="shared" si="35"/>
        <v>4</v>
      </c>
    </row>
    <row r="538" spans="1:15" x14ac:dyDescent="0.25">
      <c r="A538" t="s">
        <v>1115</v>
      </c>
      <c r="B538" s="2">
        <v>45451</v>
      </c>
      <c r="C538" t="s">
        <v>24</v>
      </c>
      <c r="D538" t="s">
        <v>25</v>
      </c>
      <c r="E538">
        <v>0</v>
      </c>
      <c r="F538">
        <v>2592.4299999999998</v>
      </c>
      <c r="G538" t="s">
        <v>12</v>
      </c>
      <c r="H538" t="s">
        <v>26</v>
      </c>
      <c r="I538" t="s">
        <v>1116</v>
      </c>
      <c r="J538" t="s">
        <v>36</v>
      </c>
      <c r="K538" s="4">
        <f>VLOOKUP(J538,Exchange_Rates!A:B,2,FALSE)</f>
        <v>1.08</v>
      </c>
      <c r="L538" s="4">
        <f t="shared" si="32"/>
        <v>0</v>
      </c>
      <c r="M538" s="4">
        <f t="shared" si="33"/>
        <v>2799.8244</v>
      </c>
      <c r="N538" s="4">
        <f t="shared" si="34"/>
        <v>2024</v>
      </c>
      <c r="O538" s="4">
        <f t="shared" si="35"/>
        <v>2</v>
      </c>
    </row>
    <row r="539" spans="1:15" x14ac:dyDescent="0.25">
      <c r="A539" t="s">
        <v>1117</v>
      </c>
      <c r="B539" s="2">
        <v>45730</v>
      </c>
      <c r="C539" t="s">
        <v>30</v>
      </c>
      <c r="D539" t="s">
        <v>31</v>
      </c>
      <c r="E539">
        <v>1683.82</v>
      </c>
      <c r="F539">
        <v>0</v>
      </c>
      <c r="G539" t="s">
        <v>12</v>
      </c>
      <c r="H539" t="s">
        <v>40</v>
      </c>
      <c r="I539" t="s">
        <v>1118</v>
      </c>
      <c r="J539" t="s">
        <v>42</v>
      </c>
      <c r="K539" s="4">
        <f>VLOOKUP(J539,Exchange_Rates!A:B,2,FALSE)</f>
        <v>0.66</v>
      </c>
      <c r="L539" s="4">
        <f t="shared" si="32"/>
        <v>1111.3212000000001</v>
      </c>
      <c r="M539" s="4">
        <f t="shared" si="33"/>
        <v>0</v>
      </c>
      <c r="N539" s="4">
        <f t="shared" si="34"/>
        <v>2025</v>
      </c>
      <c r="O539" s="4">
        <f t="shared" si="35"/>
        <v>1</v>
      </c>
    </row>
    <row r="540" spans="1:15" x14ac:dyDescent="0.25">
      <c r="A540" t="s">
        <v>1119</v>
      </c>
      <c r="B540" s="2">
        <v>45190</v>
      </c>
      <c r="C540" t="s">
        <v>49</v>
      </c>
      <c r="D540" t="s">
        <v>50</v>
      </c>
      <c r="E540">
        <v>1735.98</v>
      </c>
      <c r="F540">
        <v>0</v>
      </c>
      <c r="G540" t="s">
        <v>11</v>
      </c>
      <c r="H540" t="s">
        <v>26</v>
      </c>
      <c r="I540" t="s">
        <v>1120</v>
      </c>
      <c r="J540" t="s">
        <v>42</v>
      </c>
      <c r="K540" s="4">
        <f>VLOOKUP(J540,Exchange_Rates!A:B,2,FALSE)</f>
        <v>0.66</v>
      </c>
      <c r="L540" s="4">
        <f t="shared" si="32"/>
        <v>1145.7468000000001</v>
      </c>
      <c r="M540" s="4">
        <f t="shared" si="33"/>
        <v>0</v>
      </c>
      <c r="N540" s="4">
        <f t="shared" si="34"/>
        <v>2023</v>
      </c>
      <c r="O540" s="4">
        <f t="shared" si="35"/>
        <v>3</v>
      </c>
    </row>
    <row r="541" spans="1:15" x14ac:dyDescent="0.25">
      <c r="A541" t="s">
        <v>1121</v>
      </c>
      <c r="B541" s="2">
        <v>45797</v>
      </c>
      <c r="C541" t="s">
        <v>24</v>
      </c>
      <c r="D541" t="s">
        <v>25</v>
      </c>
      <c r="E541">
        <v>0</v>
      </c>
      <c r="F541">
        <v>3791.55</v>
      </c>
      <c r="G541" t="s">
        <v>8</v>
      </c>
      <c r="H541" t="s">
        <v>40</v>
      </c>
      <c r="I541" t="s">
        <v>1122</v>
      </c>
      <c r="J541" t="s">
        <v>36</v>
      </c>
      <c r="K541" s="4">
        <f>VLOOKUP(J541,Exchange_Rates!A:B,2,FALSE)</f>
        <v>1.08</v>
      </c>
      <c r="L541" s="4">
        <f t="shared" si="32"/>
        <v>0</v>
      </c>
      <c r="M541" s="4">
        <f t="shared" si="33"/>
        <v>4094.8740000000003</v>
      </c>
      <c r="N541" s="4">
        <f t="shared" si="34"/>
        <v>2025</v>
      </c>
      <c r="O541" s="4">
        <f t="shared" si="35"/>
        <v>2</v>
      </c>
    </row>
    <row r="542" spans="1:15" x14ac:dyDescent="0.25">
      <c r="A542" t="s">
        <v>1123</v>
      </c>
      <c r="B542" s="2">
        <v>45687</v>
      </c>
      <c r="C542" t="s">
        <v>60</v>
      </c>
      <c r="D542" t="s">
        <v>61</v>
      </c>
      <c r="E542">
        <v>0</v>
      </c>
      <c r="F542">
        <v>2119.27</v>
      </c>
      <c r="G542" t="s">
        <v>11</v>
      </c>
      <c r="H542" t="s">
        <v>26</v>
      </c>
      <c r="I542" t="s">
        <v>1124</v>
      </c>
      <c r="J542" t="s">
        <v>45</v>
      </c>
      <c r="K542" s="4">
        <f>VLOOKUP(J542,Exchange_Rates!A:B,2,FALSE)</f>
        <v>1</v>
      </c>
      <c r="L542" s="4">
        <f t="shared" si="32"/>
        <v>0</v>
      </c>
      <c r="M542" s="4">
        <f t="shared" si="33"/>
        <v>2119.27</v>
      </c>
      <c r="N542" s="4">
        <f t="shared" si="34"/>
        <v>2025</v>
      </c>
      <c r="O542" s="4">
        <f t="shared" si="35"/>
        <v>1</v>
      </c>
    </row>
    <row r="543" spans="1:15" x14ac:dyDescent="0.25">
      <c r="A543" t="s">
        <v>1125</v>
      </c>
      <c r="B543" s="2">
        <v>45586</v>
      </c>
      <c r="C543" t="s">
        <v>60</v>
      </c>
      <c r="D543" t="s">
        <v>61</v>
      </c>
      <c r="E543">
        <v>0</v>
      </c>
      <c r="F543">
        <v>3802.31</v>
      </c>
      <c r="G543" t="s">
        <v>12</v>
      </c>
      <c r="H543" t="s">
        <v>40</v>
      </c>
      <c r="I543" t="s">
        <v>1126</v>
      </c>
      <c r="J543" t="s">
        <v>64</v>
      </c>
      <c r="K543" s="4">
        <f>VLOOKUP(J543,Exchange_Rates!A:B,2,FALSE)</f>
        <v>0.73</v>
      </c>
      <c r="L543" s="4">
        <f t="shared" si="32"/>
        <v>0</v>
      </c>
      <c r="M543" s="4">
        <f t="shared" si="33"/>
        <v>2775.6862999999998</v>
      </c>
      <c r="N543" s="4">
        <f t="shared" si="34"/>
        <v>2024</v>
      </c>
      <c r="O543" s="4">
        <f t="shared" si="35"/>
        <v>4</v>
      </c>
    </row>
    <row r="544" spans="1:15" x14ac:dyDescent="0.25">
      <c r="A544" t="s">
        <v>1127</v>
      </c>
      <c r="B544" s="2">
        <v>45670</v>
      </c>
      <c r="C544" t="s">
        <v>60</v>
      </c>
      <c r="D544" t="s">
        <v>61</v>
      </c>
      <c r="E544">
        <v>0</v>
      </c>
      <c r="F544">
        <v>1414.25</v>
      </c>
      <c r="G544" t="s">
        <v>11</v>
      </c>
      <c r="H544" t="s">
        <v>51</v>
      </c>
      <c r="I544" t="s">
        <v>1128</v>
      </c>
      <c r="J544" t="s">
        <v>45</v>
      </c>
      <c r="K544" s="4">
        <f>VLOOKUP(J544,Exchange_Rates!A:B,2,FALSE)</f>
        <v>1</v>
      </c>
      <c r="L544" s="4">
        <f t="shared" si="32"/>
        <v>0</v>
      </c>
      <c r="M544" s="4">
        <f t="shared" si="33"/>
        <v>1414.25</v>
      </c>
      <c r="N544" s="4">
        <f t="shared" si="34"/>
        <v>2025</v>
      </c>
      <c r="O544" s="4">
        <f t="shared" si="35"/>
        <v>1</v>
      </c>
    </row>
    <row r="545" spans="1:15" x14ac:dyDescent="0.25">
      <c r="A545" t="s">
        <v>1129</v>
      </c>
      <c r="B545" s="2">
        <v>45630</v>
      </c>
      <c r="C545" t="s">
        <v>24</v>
      </c>
      <c r="D545" t="s">
        <v>25</v>
      </c>
      <c r="E545">
        <v>0</v>
      </c>
      <c r="F545">
        <v>1404.17</v>
      </c>
      <c r="G545" t="s">
        <v>10</v>
      </c>
      <c r="H545" t="s">
        <v>26</v>
      </c>
      <c r="I545" t="s">
        <v>1130</v>
      </c>
      <c r="J545" t="s">
        <v>42</v>
      </c>
      <c r="K545" s="4">
        <f>VLOOKUP(J545,Exchange_Rates!A:B,2,FALSE)</f>
        <v>0.66</v>
      </c>
      <c r="L545" s="4">
        <f t="shared" si="32"/>
        <v>0</v>
      </c>
      <c r="M545" s="4">
        <f t="shared" si="33"/>
        <v>926.75220000000013</v>
      </c>
      <c r="N545" s="4">
        <f t="shared" si="34"/>
        <v>2024</v>
      </c>
      <c r="O545" s="4">
        <f t="shared" si="35"/>
        <v>4</v>
      </c>
    </row>
    <row r="546" spans="1:15" x14ac:dyDescent="0.25">
      <c r="A546" t="s">
        <v>1131</v>
      </c>
      <c r="B546" s="2">
        <v>45048</v>
      </c>
      <c r="C546" t="s">
        <v>60</v>
      </c>
      <c r="D546" t="s">
        <v>61</v>
      </c>
      <c r="E546">
        <v>0</v>
      </c>
      <c r="F546">
        <v>3160.15</v>
      </c>
      <c r="G546" t="s">
        <v>8</v>
      </c>
      <c r="H546" t="s">
        <v>40</v>
      </c>
      <c r="I546" t="s">
        <v>1132</v>
      </c>
      <c r="J546" t="s">
        <v>64</v>
      </c>
      <c r="K546" s="4">
        <f>VLOOKUP(J546,Exchange_Rates!A:B,2,FALSE)</f>
        <v>0.73</v>
      </c>
      <c r="L546" s="4">
        <f t="shared" si="32"/>
        <v>0</v>
      </c>
      <c r="M546" s="4">
        <f t="shared" si="33"/>
        <v>2306.9095000000002</v>
      </c>
      <c r="N546" s="4">
        <f t="shared" si="34"/>
        <v>2023</v>
      </c>
      <c r="O546" s="4">
        <f t="shared" si="35"/>
        <v>2</v>
      </c>
    </row>
    <row r="547" spans="1:15" x14ac:dyDescent="0.25">
      <c r="A547" t="s">
        <v>1133</v>
      </c>
      <c r="B547" s="2">
        <v>45077</v>
      </c>
      <c r="C547" t="s">
        <v>38</v>
      </c>
      <c r="D547" t="s">
        <v>39</v>
      </c>
      <c r="E547">
        <v>344.52</v>
      </c>
      <c r="F547">
        <v>0</v>
      </c>
      <c r="G547" t="s">
        <v>8</v>
      </c>
      <c r="H547" t="s">
        <v>40</v>
      </c>
      <c r="I547" t="s">
        <v>1134</v>
      </c>
      <c r="J547" t="s">
        <v>42</v>
      </c>
      <c r="K547" s="4">
        <f>VLOOKUP(J547,Exchange_Rates!A:B,2,FALSE)</f>
        <v>0.66</v>
      </c>
      <c r="L547" s="4">
        <f t="shared" si="32"/>
        <v>227.38319999999999</v>
      </c>
      <c r="M547" s="4">
        <f t="shared" si="33"/>
        <v>0</v>
      </c>
      <c r="N547" s="4">
        <f t="shared" si="34"/>
        <v>2023</v>
      </c>
      <c r="O547" s="4">
        <f t="shared" si="35"/>
        <v>2</v>
      </c>
    </row>
    <row r="548" spans="1:15" x14ac:dyDescent="0.25">
      <c r="A548" t="s">
        <v>1135</v>
      </c>
      <c r="B548" s="2">
        <v>45552</v>
      </c>
      <c r="C548" t="s">
        <v>38</v>
      </c>
      <c r="D548" t="s">
        <v>39</v>
      </c>
      <c r="E548">
        <v>846.89</v>
      </c>
      <c r="F548">
        <v>0</v>
      </c>
      <c r="G548" t="s">
        <v>12</v>
      </c>
      <c r="H548" t="s">
        <v>51</v>
      </c>
      <c r="I548" t="s">
        <v>1136</v>
      </c>
      <c r="J548" t="s">
        <v>28</v>
      </c>
      <c r="K548" s="4">
        <f>VLOOKUP(J548,Exchange_Rates!A:B,2,FALSE)</f>
        <v>1.27</v>
      </c>
      <c r="L548" s="4">
        <f t="shared" si="32"/>
        <v>1075.5503000000001</v>
      </c>
      <c r="M548" s="4">
        <f t="shared" si="33"/>
        <v>0</v>
      </c>
      <c r="N548" s="4">
        <f t="shared" si="34"/>
        <v>2024</v>
      </c>
      <c r="O548" s="4">
        <f t="shared" si="35"/>
        <v>3</v>
      </c>
    </row>
    <row r="549" spans="1:15" x14ac:dyDescent="0.25">
      <c r="A549" t="s">
        <v>1137</v>
      </c>
      <c r="B549" s="2">
        <v>45806</v>
      </c>
      <c r="C549" t="s">
        <v>49</v>
      </c>
      <c r="D549" t="s">
        <v>50</v>
      </c>
      <c r="E549">
        <v>1316.39</v>
      </c>
      <c r="F549">
        <v>0</v>
      </c>
      <c r="G549" t="s">
        <v>8</v>
      </c>
      <c r="H549" t="s">
        <v>62</v>
      </c>
      <c r="I549" t="s">
        <v>1138</v>
      </c>
      <c r="J549" t="s">
        <v>64</v>
      </c>
      <c r="K549" s="4">
        <f>VLOOKUP(J549,Exchange_Rates!A:B,2,FALSE)</f>
        <v>0.73</v>
      </c>
      <c r="L549" s="4">
        <f t="shared" si="32"/>
        <v>960.96469999999999</v>
      </c>
      <c r="M549" s="4">
        <f t="shared" si="33"/>
        <v>0</v>
      </c>
      <c r="N549" s="4">
        <f t="shared" si="34"/>
        <v>2025</v>
      </c>
      <c r="O549" s="4">
        <f t="shared" si="35"/>
        <v>2</v>
      </c>
    </row>
    <row r="550" spans="1:15" x14ac:dyDescent="0.25">
      <c r="A550" t="s">
        <v>1139</v>
      </c>
      <c r="B550" s="2">
        <v>45600</v>
      </c>
      <c r="C550" t="s">
        <v>49</v>
      </c>
      <c r="D550" t="s">
        <v>50</v>
      </c>
      <c r="E550">
        <v>1731.71</v>
      </c>
      <c r="F550">
        <v>0</v>
      </c>
      <c r="G550" t="s">
        <v>11</v>
      </c>
      <c r="H550" t="s">
        <v>40</v>
      </c>
      <c r="I550" t="s">
        <v>1140</v>
      </c>
      <c r="J550" t="s">
        <v>28</v>
      </c>
      <c r="K550" s="4">
        <f>VLOOKUP(J550,Exchange_Rates!A:B,2,FALSE)</f>
        <v>1.27</v>
      </c>
      <c r="L550" s="4">
        <f t="shared" si="32"/>
        <v>2199.2717000000002</v>
      </c>
      <c r="M550" s="4">
        <f t="shared" si="33"/>
        <v>0</v>
      </c>
      <c r="N550" s="4">
        <f t="shared" si="34"/>
        <v>2024</v>
      </c>
      <c r="O550" s="4">
        <f t="shared" si="35"/>
        <v>4</v>
      </c>
    </row>
    <row r="551" spans="1:15" x14ac:dyDescent="0.25">
      <c r="A551" t="s">
        <v>1141</v>
      </c>
      <c r="B551" s="2">
        <v>45433</v>
      </c>
      <c r="C551" t="s">
        <v>30</v>
      </c>
      <c r="D551" t="s">
        <v>31</v>
      </c>
      <c r="E551">
        <v>1683.19</v>
      </c>
      <c r="F551">
        <v>0</v>
      </c>
      <c r="G551" t="s">
        <v>8</v>
      </c>
      <c r="H551" t="s">
        <v>40</v>
      </c>
      <c r="I551" t="s">
        <v>1142</v>
      </c>
      <c r="J551" t="s">
        <v>45</v>
      </c>
      <c r="K551" s="4">
        <f>VLOOKUP(J551,Exchange_Rates!A:B,2,FALSE)</f>
        <v>1</v>
      </c>
      <c r="L551" s="4">
        <f t="shared" si="32"/>
        <v>1683.19</v>
      </c>
      <c r="M551" s="4">
        <f t="shared" si="33"/>
        <v>0</v>
      </c>
      <c r="N551" s="4">
        <f t="shared" si="34"/>
        <v>2024</v>
      </c>
      <c r="O551" s="4">
        <f t="shared" si="35"/>
        <v>2</v>
      </c>
    </row>
    <row r="552" spans="1:15" x14ac:dyDescent="0.25">
      <c r="A552" t="s">
        <v>1143</v>
      </c>
      <c r="B552" s="2">
        <v>45536</v>
      </c>
      <c r="C552" t="s">
        <v>38</v>
      </c>
      <c r="D552" t="s">
        <v>39</v>
      </c>
      <c r="E552">
        <v>225.82</v>
      </c>
      <c r="F552">
        <v>0</v>
      </c>
      <c r="G552" t="s">
        <v>12</v>
      </c>
      <c r="H552" t="s">
        <v>40</v>
      </c>
      <c r="I552" t="s">
        <v>1144</v>
      </c>
      <c r="J552" t="s">
        <v>28</v>
      </c>
      <c r="K552" s="4">
        <f>VLOOKUP(J552,Exchange_Rates!A:B,2,FALSE)</f>
        <v>1.27</v>
      </c>
      <c r="L552" s="4">
        <f t="shared" si="32"/>
        <v>286.79140000000001</v>
      </c>
      <c r="M552" s="4">
        <f t="shared" si="33"/>
        <v>0</v>
      </c>
      <c r="N552" s="4">
        <f t="shared" si="34"/>
        <v>2024</v>
      </c>
      <c r="O552" s="4">
        <f t="shared" si="35"/>
        <v>3</v>
      </c>
    </row>
    <row r="553" spans="1:15" x14ac:dyDescent="0.25">
      <c r="A553" t="s">
        <v>1145</v>
      </c>
      <c r="B553" s="2">
        <v>45050</v>
      </c>
      <c r="C553" t="s">
        <v>24</v>
      </c>
      <c r="D553" t="s">
        <v>25</v>
      </c>
      <c r="E553">
        <v>0</v>
      </c>
      <c r="F553">
        <v>3218.47</v>
      </c>
      <c r="G553" t="s">
        <v>10</v>
      </c>
      <c r="H553" t="s">
        <v>40</v>
      </c>
      <c r="I553" t="s">
        <v>1146</v>
      </c>
      <c r="J553" t="s">
        <v>42</v>
      </c>
      <c r="K553" s="4">
        <f>VLOOKUP(J553,Exchange_Rates!A:B,2,FALSE)</f>
        <v>0.66</v>
      </c>
      <c r="L553" s="4">
        <f t="shared" si="32"/>
        <v>0</v>
      </c>
      <c r="M553" s="4">
        <f t="shared" si="33"/>
        <v>2124.1902</v>
      </c>
      <c r="N553" s="4">
        <f t="shared" si="34"/>
        <v>2023</v>
      </c>
      <c r="O553" s="4">
        <f t="shared" si="35"/>
        <v>2</v>
      </c>
    </row>
    <row r="554" spans="1:15" x14ac:dyDescent="0.25">
      <c r="A554" t="s">
        <v>1147</v>
      </c>
      <c r="B554" s="2">
        <v>45182</v>
      </c>
      <c r="C554" t="s">
        <v>60</v>
      </c>
      <c r="D554" t="s">
        <v>61</v>
      </c>
      <c r="E554">
        <v>0</v>
      </c>
      <c r="F554">
        <v>489.03</v>
      </c>
      <c r="G554" t="s">
        <v>10</v>
      </c>
      <c r="H554" t="s">
        <v>26</v>
      </c>
      <c r="I554" t="s">
        <v>1148</v>
      </c>
      <c r="J554" t="s">
        <v>64</v>
      </c>
      <c r="K554" s="4">
        <f>VLOOKUP(J554,Exchange_Rates!A:B,2,FALSE)</f>
        <v>0.73</v>
      </c>
      <c r="L554" s="4">
        <f t="shared" si="32"/>
        <v>0</v>
      </c>
      <c r="M554" s="4">
        <f t="shared" si="33"/>
        <v>356.99189999999999</v>
      </c>
      <c r="N554" s="4">
        <f t="shared" si="34"/>
        <v>2023</v>
      </c>
      <c r="O554" s="4">
        <f t="shared" si="35"/>
        <v>3</v>
      </c>
    </row>
    <row r="555" spans="1:15" x14ac:dyDescent="0.25">
      <c r="A555" t="s">
        <v>1149</v>
      </c>
      <c r="B555" s="2">
        <v>45820</v>
      </c>
      <c r="C555" t="s">
        <v>49</v>
      </c>
      <c r="D555" t="s">
        <v>50</v>
      </c>
      <c r="E555">
        <v>558.76</v>
      </c>
      <c r="F555">
        <v>0</v>
      </c>
      <c r="G555" t="s">
        <v>10</v>
      </c>
      <c r="H555" t="s">
        <v>51</v>
      </c>
      <c r="I555" t="s">
        <v>1150</v>
      </c>
      <c r="J555" t="s">
        <v>45</v>
      </c>
      <c r="K555" s="4">
        <f>VLOOKUP(J555,Exchange_Rates!A:B,2,FALSE)</f>
        <v>1</v>
      </c>
      <c r="L555" s="4">
        <f t="shared" si="32"/>
        <v>558.76</v>
      </c>
      <c r="M555" s="4">
        <f t="shared" si="33"/>
        <v>0</v>
      </c>
      <c r="N555" s="4">
        <f t="shared" si="34"/>
        <v>2025</v>
      </c>
      <c r="O555" s="4">
        <f t="shared" si="35"/>
        <v>2</v>
      </c>
    </row>
    <row r="556" spans="1:15" x14ac:dyDescent="0.25">
      <c r="A556" t="s">
        <v>1151</v>
      </c>
      <c r="B556" s="2">
        <v>44949</v>
      </c>
      <c r="C556" t="s">
        <v>24</v>
      </c>
      <c r="D556" t="s">
        <v>25</v>
      </c>
      <c r="E556">
        <v>0</v>
      </c>
      <c r="F556">
        <v>3368.07</v>
      </c>
      <c r="G556" t="s">
        <v>12</v>
      </c>
      <c r="H556" t="s">
        <v>34</v>
      </c>
      <c r="I556" t="s">
        <v>1152</v>
      </c>
      <c r="J556" t="s">
        <v>28</v>
      </c>
      <c r="K556" s="4">
        <f>VLOOKUP(J556,Exchange_Rates!A:B,2,FALSE)</f>
        <v>1.27</v>
      </c>
      <c r="L556" s="4">
        <f t="shared" si="32"/>
        <v>0</v>
      </c>
      <c r="M556" s="4">
        <f t="shared" si="33"/>
        <v>4277.4489000000003</v>
      </c>
      <c r="N556" s="4">
        <f t="shared" si="34"/>
        <v>2023</v>
      </c>
      <c r="O556" s="4">
        <f t="shared" si="35"/>
        <v>1</v>
      </c>
    </row>
    <row r="557" spans="1:15" x14ac:dyDescent="0.25">
      <c r="A557" t="s">
        <v>1153</v>
      </c>
      <c r="B557" s="2">
        <v>45709</v>
      </c>
      <c r="C557" t="s">
        <v>30</v>
      </c>
      <c r="D557" t="s">
        <v>31</v>
      </c>
      <c r="E557">
        <v>1354.74</v>
      </c>
      <c r="F557">
        <v>0</v>
      </c>
      <c r="G557" t="s">
        <v>9</v>
      </c>
      <c r="H557" t="s">
        <v>26</v>
      </c>
      <c r="I557" t="s">
        <v>1154</v>
      </c>
      <c r="J557" t="s">
        <v>64</v>
      </c>
      <c r="K557" s="4">
        <f>VLOOKUP(J557,Exchange_Rates!A:B,2,FALSE)</f>
        <v>0.73</v>
      </c>
      <c r="L557" s="4">
        <f t="shared" si="32"/>
        <v>988.96019999999999</v>
      </c>
      <c r="M557" s="4">
        <f t="shared" si="33"/>
        <v>0</v>
      </c>
      <c r="N557" s="4">
        <f t="shared" si="34"/>
        <v>2025</v>
      </c>
      <c r="O557" s="4">
        <f t="shared" si="35"/>
        <v>1</v>
      </c>
    </row>
    <row r="558" spans="1:15" x14ac:dyDescent="0.25">
      <c r="A558" t="s">
        <v>1155</v>
      </c>
      <c r="B558" s="2">
        <v>45577</v>
      </c>
      <c r="C558" t="s">
        <v>49</v>
      </c>
      <c r="D558" t="s">
        <v>50</v>
      </c>
      <c r="E558">
        <v>421.39</v>
      </c>
      <c r="F558">
        <v>0</v>
      </c>
      <c r="G558" t="s">
        <v>8</v>
      </c>
      <c r="H558" t="s">
        <v>40</v>
      </c>
      <c r="I558" t="s">
        <v>1156</v>
      </c>
      <c r="J558" t="s">
        <v>45</v>
      </c>
      <c r="K558" s="4">
        <f>VLOOKUP(J558,Exchange_Rates!A:B,2,FALSE)</f>
        <v>1</v>
      </c>
      <c r="L558" s="4">
        <f t="shared" si="32"/>
        <v>421.39</v>
      </c>
      <c r="M558" s="4">
        <f t="shared" si="33"/>
        <v>0</v>
      </c>
      <c r="N558" s="4">
        <f t="shared" si="34"/>
        <v>2024</v>
      </c>
      <c r="O558" s="4">
        <f t="shared" si="35"/>
        <v>4</v>
      </c>
    </row>
    <row r="559" spans="1:15" x14ac:dyDescent="0.25">
      <c r="A559" t="s">
        <v>1157</v>
      </c>
      <c r="B559" s="2">
        <v>45327</v>
      </c>
      <c r="C559" t="s">
        <v>49</v>
      </c>
      <c r="D559" t="s">
        <v>50</v>
      </c>
      <c r="E559">
        <v>618.39</v>
      </c>
      <c r="F559">
        <v>0</v>
      </c>
      <c r="G559" t="s">
        <v>9</v>
      </c>
      <c r="H559" t="s">
        <v>40</v>
      </c>
      <c r="I559" t="s">
        <v>1158</v>
      </c>
      <c r="J559" t="s">
        <v>28</v>
      </c>
      <c r="K559" s="4">
        <f>VLOOKUP(J559,Exchange_Rates!A:B,2,FALSE)</f>
        <v>1.27</v>
      </c>
      <c r="L559" s="4">
        <f t="shared" si="32"/>
        <v>785.35529999999994</v>
      </c>
      <c r="M559" s="4">
        <f t="shared" si="33"/>
        <v>0</v>
      </c>
      <c r="N559" s="4">
        <f t="shared" si="34"/>
        <v>2024</v>
      </c>
      <c r="O559" s="4">
        <f t="shared" si="35"/>
        <v>1</v>
      </c>
    </row>
    <row r="560" spans="1:15" x14ac:dyDescent="0.25">
      <c r="A560" t="s">
        <v>1159</v>
      </c>
      <c r="B560" s="2">
        <v>45776</v>
      </c>
      <c r="C560" t="s">
        <v>38</v>
      </c>
      <c r="D560" t="s">
        <v>39</v>
      </c>
      <c r="E560">
        <v>1649.25</v>
      </c>
      <c r="F560">
        <v>0</v>
      </c>
      <c r="G560" t="s">
        <v>12</v>
      </c>
      <c r="H560" t="s">
        <v>34</v>
      </c>
      <c r="I560" t="s">
        <v>1160</v>
      </c>
      <c r="J560" t="s">
        <v>42</v>
      </c>
      <c r="K560" s="4">
        <f>VLOOKUP(J560,Exchange_Rates!A:B,2,FALSE)</f>
        <v>0.66</v>
      </c>
      <c r="L560" s="4">
        <f t="shared" si="32"/>
        <v>1088.5050000000001</v>
      </c>
      <c r="M560" s="4">
        <f t="shared" si="33"/>
        <v>0</v>
      </c>
      <c r="N560" s="4">
        <f t="shared" si="34"/>
        <v>2025</v>
      </c>
      <c r="O560" s="4">
        <f t="shared" si="35"/>
        <v>2</v>
      </c>
    </row>
    <row r="561" spans="1:15" x14ac:dyDescent="0.25">
      <c r="A561" t="s">
        <v>1161</v>
      </c>
      <c r="B561" s="2">
        <v>45710</v>
      </c>
      <c r="C561" t="s">
        <v>24</v>
      </c>
      <c r="D561" t="s">
        <v>25</v>
      </c>
      <c r="E561">
        <v>0</v>
      </c>
      <c r="F561">
        <v>3741.45</v>
      </c>
      <c r="G561" t="s">
        <v>12</v>
      </c>
      <c r="H561" t="s">
        <v>51</v>
      </c>
      <c r="I561" t="s">
        <v>1162</v>
      </c>
      <c r="J561" t="s">
        <v>28</v>
      </c>
      <c r="K561" s="4">
        <f>VLOOKUP(J561,Exchange_Rates!A:B,2,FALSE)</f>
        <v>1.27</v>
      </c>
      <c r="L561" s="4">
        <f t="shared" si="32"/>
        <v>0</v>
      </c>
      <c r="M561" s="4">
        <f t="shared" si="33"/>
        <v>4751.6414999999997</v>
      </c>
      <c r="N561" s="4">
        <f t="shared" si="34"/>
        <v>2025</v>
      </c>
      <c r="O561" s="4">
        <f t="shared" si="35"/>
        <v>1</v>
      </c>
    </row>
    <row r="562" spans="1:15" x14ac:dyDescent="0.25">
      <c r="A562" t="s">
        <v>1163</v>
      </c>
      <c r="B562" s="2">
        <v>44982</v>
      </c>
      <c r="C562" t="s">
        <v>24</v>
      </c>
      <c r="D562" t="s">
        <v>25</v>
      </c>
      <c r="E562">
        <v>0</v>
      </c>
      <c r="F562">
        <v>3563.43</v>
      </c>
      <c r="G562" t="s">
        <v>9</v>
      </c>
      <c r="H562" t="s">
        <v>62</v>
      </c>
      <c r="I562" t="s">
        <v>1164</v>
      </c>
      <c r="J562" t="s">
        <v>45</v>
      </c>
      <c r="K562" s="4">
        <f>VLOOKUP(J562,Exchange_Rates!A:B,2,FALSE)</f>
        <v>1</v>
      </c>
      <c r="L562" s="4">
        <f t="shared" si="32"/>
        <v>0</v>
      </c>
      <c r="M562" s="4">
        <f t="shared" si="33"/>
        <v>3563.43</v>
      </c>
      <c r="N562" s="4">
        <f t="shared" si="34"/>
        <v>2023</v>
      </c>
      <c r="O562" s="4">
        <f t="shared" si="35"/>
        <v>1</v>
      </c>
    </row>
    <row r="563" spans="1:15" x14ac:dyDescent="0.25">
      <c r="A563" t="s">
        <v>1165</v>
      </c>
      <c r="B563" s="2">
        <v>45620</v>
      </c>
      <c r="C563" t="s">
        <v>38</v>
      </c>
      <c r="D563" t="s">
        <v>39</v>
      </c>
      <c r="E563">
        <v>1010.12</v>
      </c>
      <c r="F563">
        <v>0</v>
      </c>
      <c r="G563" t="s">
        <v>9</v>
      </c>
      <c r="H563" t="s">
        <v>40</v>
      </c>
      <c r="I563" t="s">
        <v>1166</v>
      </c>
      <c r="J563" t="s">
        <v>45</v>
      </c>
      <c r="K563" s="4">
        <f>VLOOKUP(J563,Exchange_Rates!A:B,2,FALSE)</f>
        <v>1</v>
      </c>
      <c r="L563" s="4">
        <f t="shared" si="32"/>
        <v>1010.12</v>
      </c>
      <c r="M563" s="4">
        <f t="shared" si="33"/>
        <v>0</v>
      </c>
      <c r="N563" s="4">
        <f t="shared" si="34"/>
        <v>2024</v>
      </c>
      <c r="O563" s="4">
        <f t="shared" si="35"/>
        <v>4</v>
      </c>
    </row>
    <row r="564" spans="1:15" x14ac:dyDescent="0.25">
      <c r="A564" t="s">
        <v>1167</v>
      </c>
      <c r="B564" s="2">
        <v>45783</v>
      </c>
      <c r="C564" t="s">
        <v>24</v>
      </c>
      <c r="D564" t="s">
        <v>25</v>
      </c>
      <c r="E564">
        <v>0</v>
      </c>
      <c r="F564">
        <v>4926.55</v>
      </c>
      <c r="G564" t="s">
        <v>10</v>
      </c>
      <c r="H564" t="s">
        <v>51</v>
      </c>
      <c r="I564" t="s">
        <v>1168</v>
      </c>
      <c r="J564" t="s">
        <v>45</v>
      </c>
      <c r="K564" s="4">
        <f>VLOOKUP(J564,Exchange_Rates!A:B,2,FALSE)</f>
        <v>1</v>
      </c>
      <c r="L564" s="4">
        <f t="shared" si="32"/>
        <v>0</v>
      </c>
      <c r="M564" s="4">
        <f t="shared" si="33"/>
        <v>4926.55</v>
      </c>
      <c r="N564" s="4">
        <f t="shared" si="34"/>
        <v>2025</v>
      </c>
      <c r="O564" s="4">
        <f t="shared" si="35"/>
        <v>2</v>
      </c>
    </row>
    <row r="565" spans="1:15" x14ac:dyDescent="0.25">
      <c r="A565" t="s">
        <v>1169</v>
      </c>
      <c r="B565" s="2">
        <v>45396</v>
      </c>
      <c r="C565" t="s">
        <v>24</v>
      </c>
      <c r="D565" t="s">
        <v>25</v>
      </c>
      <c r="E565">
        <v>0</v>
      </c>
      <c r="F565">
        <v>3762.76</v>
      </c>
      <c r="G565" t="s">
        <v>13</v>
      </c>
      <c r="H565" t="s">
        <v>62</v>
      </c>
      <c r="I565" t="s">
        <v>1170</v>
      </c>
      <c r="J565" t="s">
        <v>45</v>
      </c>
      <c r="K565" s="4">
        <f>VLOOKUP(J565,Exchange_Rates!A:B,2,FALSE)</f>
        <v>1</v>
      </c>
      <c r="L565" s="4">
        <f t="shared" si="32"/>
        <v>0</v>
      </c>
      <c r="M565" s="4">
        <f t="shared" si="33"/>
        <v>3762.76</v>
      </c>
      <c r="N565" s="4">
        <f t="shared" si="34"/>
        <v>2024</v>
      </c>
      <c r="O565" s="4">
        <f t="shared" si="35"/>
        <v>2</v>
      </c>
    </row>
    <row r="566" spans="1:15" x14ac:dyDescent="0.25">
      <c r="A566" t="s">
        <v>1171</v>
      </c>
      <c r="B566" s="2">
        <v>45165</v>
      </c>
      <c r="C566" t="s">
        <v>49</v>
      </c>
      <c r="D566" t="s">
        <v>50</v>
      </c>
      <c r="E566">
        <v>372.65</v>
      </c>
      <c r="F566">
        <v>0</v>
      </c>
      <c r="G566" t="s">
        <v>9</v>
      </c>
      <c r="H566" t="s">
        <v>62</v>
      </c>
      <c r="I566" t="s">
        <v>1172</v>
      </c>
      <c r="J566" t="s">
        <v>42</v>
      </c>
      <c r="K566" s="4">
        <f>VLOOKUP(J566,Exchange_Rates!A:B,2,FALSE)</f>
        <v>0.66</v>
      </c>
      <c r="L566" s="4">
        <f t="shared" si="32"/>
        <v>245.94899999999998</v>
      </c>
      <c r="M566" s="4">
        <f t="shared" si="33"/>
        <v>0</v>
      </c>
      <c r="N566" s="4">
        <f t="shared" si="34"/>
        <v>2023</v>
      </c>
      <c r="O566" s="4">
        <f t="shared" si="35"/>
        <v>3</v>
      </c>
    </row>
    <row r="567" spans="1:15" x14ac:dyDescent="0.25">
      <c r="A567" t="s">
        <v>1173</v>
      </c>
      <c r="B567" s="2">
        <v>45573</v>
      </c>
      <c r="C567" t="s">
        <v>49</v>
      </c>
      <c r="D567" t="s">
        <v>50</v>
      </c>
      <c r="E567">
        <v>1040.76</v>
      </c>
      <c r="F567">
        <v>0</v>
      </c>
      <c r="G567" t="s">
        <v>8</v>
      </c>
      <c r="H567" t="s">
        <v>40</v>
      </c>
      <c r="I567" t="s">
        <v>1174</v>
      </c>
      <c r="J567" t="s">
        <v>28</v>
      </c>
      <c r="K567" s="4">
        <f>VLOOKUP(J567,Exchange_Rates!A:B,2,FALSE)</f>
        <v>1.27</v>
      </c>
      <c r="L567" s="4">
        <f t="shared" si="32"/>
        <v>1321.7652</v>
      </c>
      <c r="M567" s="4">
        <f t="shared" si="33"/>
        <v>0</v>
      </c>
      <c r="N567" s="4">
        <f t="shared" si="34"/>
        <v>2024</v>
      </c>
      <c r="O567" s="4">
        <f t="shared" si="35"/>
        <v>4</v>
      </c>
    </row>
    <row r="568" spans="1:15" x14ac:dyDescent="0.25">
      <c r="A568" t="s">
        <v>1175</v>
      </c>
      <c r="B568" s="2">
        <v>45625</v>
      </c>
      <c r="C568" t="s">
        <v>49</v>
      </c>
      <c r="D568" t="s">
        <v>50</v>
      </c>
      <c r="E568">
        <v>1458.37</v>
      </c>
      <c r="F568">
        <v>0</v>
      </c>
      <c r="G568" t="s">
        <v>10</v>
      </c>
      <c r="H568" t="s">
        <v>26</v>
      </c>
      <c r="I568" t="s">
        <v>1176</v>
      </c>
      <c r="J568" t="s">
        <v>42</v>
      </c>
      <c r="K568" s="4">
        <f>VLOOKUP(J568,Exchange_Rates!A:B,2,FALSE)</f>
        <v>0.66</v>
      </c>
      <c r="L568" s="4">
        <f t="shared" si="32"/>
        <v>962.52419999999995</v>
      </c>
      <c r="M568" s="4">
        <f t="shared" si="33"/>
        <v>0</v>
      </c>
      <c r="N568" s="4">
        <f t="shared" si="34"/>
        <v>2024</v>
      </c>
      <c r="O568" s="4">
        <f t="shared" si="35"/>
        <v>4</v>
      </c>
    </row>
    <row r="569" spans="1:15" x14ac:dyDescent="0.25">
      <c r="A569" t="s">
        <v>1177</v>
      </c>
      <c r="B569" s="2">
        <v>45456</v>
      </c>
      <c r="C569" t="s">
        <v>60</v>
      </c>
      <c r="D569" t="s">
        <v>61</v>
      </c>
      <c r="E569">
        <v>0</v>
      </c>
      <c r="F569">
        <v>529.02</v>
      </c>
      <c r="G569" t="s">
        <v>8</v>
      </c>
      <c r="H569" t="s">
        <v>51</v>
      </c>
      <c r="I569" t="s">
        <v>1178</v>
      </c>
      <c r="J569" t="s">
        <v>28</v>
      </c>
      <c r="K569" s="4">
        <f>VLOOKUP(J569,Exchange_Rates!A:B,2,FALSE)</f>
        <v>1.27</v>
      </c>
      <c r="L569" s="4">
        <f t="shared" si="32"/>
        <v>0</v>
      </c>
      <c r="M569" s="4">
        <f t="shared" si="33"/>
        <v>671.85540000000003</v>
      </c>
      <c r="N569" s="4">
        <f t="shared" si="34"/>
        <v>2024</v>
      </c>
      <c r="O569" s="4">
        <f t="shared" si="35"/>
        <v>2</v>
      </c>
    </row>
    <row r="570" spans="1:15" x14ac:dyDescent="0.25">
      <c r="A570" t="s">
        <v>1179</v>
      </c>
      <c r="B570" s="2">
        <v>45628</v>
      </c>
      <c r="C570" t="s">
        <v>60</v>
      </c>
      <c r="D570" t="s">
        <v>61</v>
      </c>
      <c r="E570">
        <v>0</v>
      </c>
      <c r="F570">
        <v>4167.67</v>
      </c>
      <c r="G570" t="s">
        <v>8</v>
      </c>
      <c r="H570" t="s">
        <v>34</v>
      </c>
      <c r="I570" t="s">
        <v>1180</v>
      </c>
      <c r="J570" t="s">
        <v>45</v>
      </c>
      <c r="K570" s="4">
        <f>VLOOKUP(J570,Exchange_Rates!A:B,2,FALSE)</f>
        <v>1</v>
      </c>
      <c r="L570" s="4">
        <f t="shared" si="32"/>
        <v>0</v>
      </c>
      <c r="M570" s="4">
        <f t="shared" si="33"/>
        <v>4167.67</v>
      </c>
      <c r="N570" s="4">
        <f t="shared" si="34"/>
        <v>2024</v>
      </c>
      <c r="O570" s="4">
        <f t="shared" si="35"/>
        <v>4</v>
      </c>
    </row>
    <row r="571" spans="1:15" x14ac:dyDescent="0.25">
      <c r="A571" t="s">
        <v>1181</v>
      </c>
      <c r="B571" s="2">
        <v>45048</v>
      </c>
      <c r="C571" t="s">
        <v>49</v>
      </c>
      <c r="D571" t="s">
        <v>50</v>
      </c>
      <c r="E571">
        <v>1788.83</v>
      </c>
      <c r="F571">
        <v>0</v>
      </c>
      <c r="G571" t="s">
        <v>10</v>
      </c>
      <c r="H571" t="s">
        <v>26</v>
      </c>
      <c r="I571" t="s">
        <v>1182</v>
      </c>
      <c r="J571" t="s">
        <v>36</v>
      </c>
      <c r="K571" s="4">
        <f>VLOOKUP(J571,Exchange_Rates!A:B,2,FALSE)</f>
        <v>1.08</v>
      </c>
      <c r="L571" s="4">
        <f t="shared" si="32"/>
        <v>1931.9364</v>
      </c>
      <c r="M571" s="4">
        <f t="shared" si="33"/>
        <v>0</v>
      </c>
      <c r="N571" s="4">
        <f t="shared" si="34"/>
        <v>2023</v>
      </c>
      <c r="O571" s="4">
        <f t="shared" si="35"/>
        <v>2</v>
      </c>
    </row>
    <row r="572" spans="1:15" x14ac:dyDescent="0.25">
      <c r="A572" t="s">
        <v>1183</v>
      </c>
      <c r="B572" s="2">
        <v>45631</v>
      </c>
      <c r="C572" t="s">
        <v>49</v>
      </c>
      <c r="D572" t="s">
        <v>50</v>
      </c>
      <c r="E572">
        <v>929.85</v>
      </c>
      <c r="F572">
        <v>0</v>
      </c>
      <c r="G572" t="s">
        <v>10</v>
      </c>
      <c r="H572" t="s">
        <v>40</v>
      </c>
      <c r="I572" t="s">
        <v>1184</v>
      </c>
      <c r="J572" t="s">
        <v>45</v>
      </c>
      <c r="K572" s="4">
        <f>VLOOKUP(J572,Exchange_Rates!A:B,2,FALSE)</f>
        <v>1</v>
      </c>
      <c r="L572" s="4">
        <f t="shared" si="32"/>
        <v>929.85</v>
      </c>
      <c r="M572" s="4">
        <f t="shared" si="33"/>
        <v>0</v>
      </c>
      <c r="N572" s="4">
        <f t="shared" si="34"/>
        <v>2024</v>
      </c>
      <c r="O572" s="4">
        <f t="shared" si="35"/>
        <v>4</v>
      </c>
    </row>
    <row r="573" spans="1:15" x14ac:dyDescent="0.25">
      <c r="A573" t="s">
        <v>1185</v>
      </c>
      <c r="B573" s="2">
        <v>45355</v>
      </c>
      <c r="C573" t="s">
        <v>24</v>
      </c>
      <c r="D573" t="s">
        <v>25</v>
      </c>
      <c r="E573">
        <v>0</v>
      </c>
      <c r="F573">
        <v>3706.89</v>
      </c>
      <c r="G573" t="s">
        <v>10</v>
      </c>
      <c r="H573" t="s">
        <v>40</v>
      </c>
      <c r="I573" t="s">
        <v>1186</v>
      </c>
      <c r="J573" t="s">
        <v>64</v>
      </c>
      <c r="K573" s="4">
        <f>VLOOKUP(J573,Exchange_Rates!A:B,2,FALSE)</f>
        <v>0.73</v>
      </c>
      <c r="L573" s="4">
        <f t="shared" si="32"/>
        <v>0</v>
      </c>
      <c r="M573" s="4">
        <f t="shared" si="33"/>
        <v>2706.0297</v>
      </c>
      <c r="N573" s="4">
        <f t="shared" si="34"/>
        <v>2024</v>
      </c>
      <c r="O573" s="4">
        <f t="shared" si="35"/>
        <v>1</v>
      </c>
    </row>
    <row r="574" spans="1:15" x14ac:dyDescent="0.25">
      <c r="A574" t="s">
        <v>1187</v>
      </c>
      <c r="B574" s="2">
        <v>45720</v>
      </c>
      <c r="C574" t="s">
        <v>24</v>
      </c>
      <c r="D574" t="s">
        <v>25</v>
      </c>
      <c r="E574">
        <v>0</v>
      </c>
      <c r="F574">
        <v>4692.96</v>
      </c>
      <c r="G574" t="s">
        <v>10</v>
      </c>
      <c r="H574" t="s">
        <v>62</v>
      </c>
      <c r="I574" t="s">
        <v>1188</v>
      </c>
      <c r="J574" t="s">
        <v>64</v>
      </c>
      <c r="K574" s="4">
        <f>VLOOKUP(J574,Exchange_Rates!A:B,2,FALSE)</f>
        <v>0.73</v>
      </c>
      <c r="L574" s="4">
        <f t="shared" si="32"/>
        <v>0</v>
      </c>
      <c r="M574" s="4">
        <f t="shared" si="33"/>
        <v>3425.8607999999999</v>
      </c>
      <c r="N574" s="4">
        <f t="shared" si="34"/>
        <v>2025</v>
      </c>
      <c r="O574" s="4">
        <f t="shared" si="35"/>
        <v>1</v>
      </c>
    </row>
    <row r="575" spans="1:15" x14ac:dyDescent="0.25">
      <c r="A575" t="s">
        <v>1189</v>
      </c>
      <c r="B575" s="2">
        <v>45524</v>
      </c>
      <c r="C575" t="s">
        <v>38</v>
      </c>
      <c r="D575" t="s">
        <v>39</v>
      </c>
      <c r="E575">
        <v>179.56</v>
      </c>
      <c r="F575">
        <v>0</v>
      </c>
      <c r="G575" t="s">
        <v>8</v>
      </c>
      <c r="H575" t="s">
        <v>26</v>
      </c>
      <c r="I575" t="s">
        <v>1190</v>
      </c>
      <c r="J575" t="s">
        <v>28</v>
      </c>
      <c r="K575" s="4">
        <f>VLOOKUP(J575,Exchange_Rates!A:B,2,FALSE)</f>
        <v>1.27</v>
      </c>
      <c r="L575" s="4">
        <f t="shared" si="32"/>
        <v>228.0412</v>
      </c>
      <c r="M575" s="4">
        <f t="shared" si="33"/>
        <v>0</v>
      </c>
      <c r="N575" s="4">
        <f t="shared" si="34"/>
        <v>2024</v>
      </c>
      <c r="O575" s="4">
        <f t="shared" si="35"/>
        <v>3</v>
      </c>
    </row>
    <row r="576" spans="1:15" x14ac:dyDescent="0.25">
      <c r="A576" t="s">
        <v>1191</v>
      </c>
      <c r="B576" s="2">
        <v>45594</v>
      </c>
      <c r="C576" t="s">
        <v>49</v>
      </c>
      <c r="D576" t="s">
        <v>50</v>
      </c>
      <c r="E576">
        <v>649.71</v>
      </c>
      <c r="F576">
        <v>0</v>
      </c>
      <c r="G576" t="s">
        <v>11</v>
      </c>
      <c r="H576" t="s">
        <v>40</v>
      </c>
      <c r="I576" t="s">
        <v>1192</v>
      </c>
      <c r="J576" t="s">
        <v>28</v>
      </c>
      <c r="K576" s="4">
        <f>VLOOKUP(J576,Exchange_Rates!A:B,2,FALSE)</f>
        <v>1.27</v>
      </c>
      <c r="L576" s="4">
        <f t="shared" si="32"/>
        <v>825.13170000000002</v>
      </c>
      <c r="M576" s="4">
        <f t="shared" si="33"/>
        <v>0</v>
      </c>
      <c r="N576" s="4">
        <f t="shared" si="34"/>
        <v>2024</v>
      </c>
      <c r="O576" s="4">
        <f t="shared" si="35"/>
        <v>4</v>
      </c>
    </row>
    <row r="577" spans="1:15" x14ac:dyDescent="0.25">
      <c r="A577" t="s">
        <v>1193</v>
      </c>
      <c r="B577" s="2">
        <v>45272</v>
      </c>
      <c r="C577" t="s">
        <v>60</v>
      </c>
      <c r="D577" t="s">
        <v>61</v>
      </c>
      <c r="E577">
        <v>0</v>
      </c>
      <c r="F577">
        <v>3347.45</v>
      </c>
      <c r="G577" t="s">
        <v>11</v>
      </c>
      <c r="H577" t="s">
        <v>26</v>
      </c>
      <c r="I577" t="s">
        <v>1194</v>
      </c>
      <c r="J577" t="s">
        <v>45</v>
      </c>
      <c r="K577" s="4">
        <f>VLOOKUP(J577,Exchange_Rates!A:B,2,FALSE)</f>
        <v>1</v>
      </c>
      <c r="L577" s="4">
        <f t="shared" si="32"/>
        <v>0</v>
      </c>
      <c r="M577" s="4">
        <f t="shared" si="33"/>
        <v>3347.45</v>
      </c>
      <c r="N577" s="4">
        <f t="shared" si="34"/>
        <v>2023</v>
      </c>
      <c r="O577" s="4">
        <f t="shared" si="35"/>
        <v>4</v>
      </c>
    </row>
    <row r="578" spans="1:15" x14ac:dyDescent="0.25">
      <c r="A578" t="s">
        <v>1195</v>
      </c>
      <c r="B578" s="2">
        <v>45814</v>
      </c>
      <c r="C578" t="s">
        <v>60</v>
      </c>
      <c r="D578" t="s">
        <v>61</v>
      </c>
      <c r="E578">
        <v>0</v>
      </c>
      <c r="F578">
        <v>2584</v>
      </c>
      <c r="G578" t="s">
        <v>9</v>
      </c>
      <c r="H578" t="s">
        <v>51</v>
      </c>
      <c r="I578" t="s">
        <v>1196</v>
      </c>
      <c r="J578" t="s">
        <v>36</v>
      </c>
      <c r="K578" s="4">
        <f>VLOOKUP(J578,Exchange_Rates!A:B,2,FALSE)</f>
        <v>1.08</v>
      </c>
      <c r="L578" s="4">
        <f t="shared" si="32"/>
        <v>0</v>
      </c>
      <c r="M578" s="4">
        <f t="shared" si="33"/>
        <v>2790.7200000000003</v>
      </c>
      <c r="N578" s="4">
        <f t="shared" si="34"/>
        <v>2025</v>
      </c>
      <c r="O578" s="4">
        <f t="shared" si="35"/>
        <v>2</v>
      </c>
    </row>
    <row r="579" spans="1:15" x14ac:dyDescent="0.25">
      <c r="A579" t="s">
        <v>1197</v>
      </c>
      <c r="B579" s="2">
        <v>45161</v>
      </c>
      <c r="C579" t="s">
        <v>24</v>
      </c>
      <c r="D579" t="s">
        <v>25</v>
      </c>
      <c r="E579">
        <v>0</v>
      </c>
      <c r="F579">
        <v>4254.54</v>
      </c>
      <c r="G579" t="s">
        <v>12</v>
      </c>
      <c r="H579" t="s">
        <v>34</v>
      </c>
      <c r="I579" t="s">
        <v>1198</v>
      </c>
      <c r="J579" t="s">
        <v>64</v>
      </c>
      <c r="K579" s="4">
        <f>VLOOKUP(J579,Exchange_Rates!A:B,2,FALSE)</f>
        <v>0.73</v>
      </c>
      <c r="L579" s="4">
        <f t="shared" ref="L579:L642" si="36">E579*K579</f>
        <v>0</v>
      </c>
      <c r="M579" s="4">
        <f t="shared" ref="M579:M642" si="37">F579*K579</f>
        <v>3105.8141999999998</v>
      </c>
      <c r="N579" s="4">
        <f t="shared" ref="N579:N642" si="38">YEAR(B579)</f>
        <v>2023</v>
      </c>
      <c r="O579" s="4">
        <f t="shared" ref="O579:O642" si="39">ROUNDUP(MONTH(B579)/3,0)</f>
        <v>3</v>
      </c>
    </row>
    <row r="580" spans="1:15" x14ac:dyDescent="0.25">
      <c r="A580" t="s">
        <v>1199</v>
      </c>
      <c r="B580" s="2">
        <v>45628</v>
      </c>
      <c r="C580" t="s">
        <v>24</v>
      </c>
      <c r="D580" t="s">
        <v>25</v>
      </c>
      <c r="E580">
        <v>0</v>
      </c>
      <c r="F580">
        <v>1301.08</v>
      </c>
      <c r="G580" t="s">
        <v>10</v>
      </c>
      <c r="H580" t="s">
        <v>51</v>
      </c>
      <c r="I580" t="s">
        <v>1200</v>
      </c>
      <c r="J580" t="s">
        <v>28</v>
      </c>
      <c r="K580" s="4">
        <f>VLOOKUP(J580,Exchange_Rates!A:B,2,FALSE)</f>
        <v>1.27</v>
      </c>
      <c r="L580" s="4">
        <f t="shared" si="36"/>
        <v>0</v>
      </c>
      <c r="M580" s="4">
        <f t="shared" si="37"/>
        <v>1652.3715999999999</v>
      </c>
      <c r="N580" s="4">
        <f t="shared" si="38"/>
        <v>2024</v>
      </c>
      <c r="O580" s="4">
        <f t="shared" si="39"/>
        <v>4</v>
      </c>
    </row>
    <row r="581" spans="1:15" x14ac:dyDescent="0.25">
      <c r="A581" t="s">
        <v>1201</v>
      </c>
      <c r="B581" s="2">
        <v>45070</v>
      </c>
      <c r="C581" t="s">
        <v>60</v>
      </c>
      <c r="D581" t="s">
        <v>61</v>
      </c>
      <c r="E581">
        <v>0</v>
      </c>
      <c r="F581">
        <v>1565.18</v>
      </c>
      <c r="G581" t="s">
        <v>9</v>
      </c>
      <c r="H581" t="s">
        <v>40</v>
      </c>
      <c r="I581" t="s">
        <v>1202</v>
      </c>
      <c r="J581" t="s">
        <v>45</v>
      </c>
      <c r="K581" s="4">
        <f>VLOOKUP(J581,Exchange_Rates!A:B,2,FALSE)</f>
        <v>1</v>
      </c>
      <c r="L581" s="4">
        <f t="shared" si="36"/>
        <v>0</v>
      </c>
      <c r="M581" s="4">
        <f t="shared" si="37"/>
        <v>1565.18</v>
      </c>
      <c r="N581" s="4">
        <f t="shared" si="38"/>
        <v>2023</v>
      </c>
      <c r="O581" s="4">
        <f t="shared" si="39"/>
        <v>2</v>
      </c>
    </row>
    <row r="582" spans="1:15" x14ac:dyDescent="0.25">
      <c r="A582" t="s">
        <v>1203</v>
      </c>
      <c r="B582" s="2">
        <v>45829</v>
      </c>
      <c r="C582" t="s">
        <v>30</v>
      </c>
      <c r="D582" t="s">
        <v>31</v>
      </c>
      <c r="E582">
        <v>69.31</v>
      </c>
      <c r="F582">
        <v>0</v>
      </c>
      <c r="G582" t="s">
        <v>11</v>
      </c>
      <c r="H582" t="s">
        <v>62</v>
      </c>
      <c r="I582" t="s">
        <v>1204</v>
      </c>
      <c r="J582" t="s">
        <v>45</v>
      </c>
      <c r="K582" s="4">
        <f>VLOOKUP(J582,Exchange_Rates!A:B,2,FALSE)</f>
        <v>1</v>
      </c>
      <c r="L582" s="4">
        <f t="shared" si="36"/>
        <v>69.31</v>
      </c>
      <c r="M582" s="4">
        <f t="shared" si="37"/>
        <v>0</v>
      </c>
      <c r="N582" s="4">
        <f t="shared" si="38"/>
        <v>2025</v>
      </c>
      <c r="O582" s="4">
        <f t="shared" si="39"/>
        <v>2</v>
      </c>
    </row>
    <row r="583" spans="1:15" x14ac:dyDescent="0.25">
      <c r="A583" t="s">
        <v>1205</v>
      </c>
      <c r="B583" s="2">
        <v>45587</v>
      </c>
      <c r="C583" t="s">
        <v>30</v>
      </c>
      <c r="D583" t="s">
        <v>31</v>
      </c>
      <c r="E583">
        <v>1752.75</v>
      </c>
      <c r="F583">
        <v>0</v>
      </c>
      <c r="G583" t="s">
        <v>9</v>
      </c>
      <c r="H583" t="s">
        <v>26</v>
      </c>
      <c r="I583" t="s">
        <v>1206</v>
      </c>
      <c r="J583" t="s">
        <v>64</v>
      </c>
      <c r="K583" s="4">
        <f>VLOOKUP(J583,Exchange_Rates!A:B,2,FALSE)</f>
        <v>0.73</v>
      </c>
      <c r="L583" s="4">
        <f t="shared" si="36"/>
        <v>1279.5074999999999</v>
      </c>
      <c r="M583" s="4">
        <f t="shared" si="37"/>
        <v>0</v>
      </c>
      <c r="N583" s="4">
        <f t="shared" si="38"/>
        <v>2024</v>
      </c>
      <c r="O583" s="4">
        <f t="shared" si="39"/>
        <v>4</v>
      </c>
    </row>
    <row r="584" spans="1:15" x14ac:dyDescent="0.25">
      <c r="A584" t="s">
        <v>1207</v>
      </c>
      <c r="B584" s="2">
        <v>45208</v>
      </c>
      <c r="C584" t="s">
        <v>60</v>
      </c>
      <c r="D584" t="s">
        <v>61</v>
      </c>
      <c r="E584">
        <v>0</v>
      </c>
      <c r="F584">
        <v>759.16</v>
      </c>
      <c r="G584" t="s">
        <v>13</v>
      </c>
      <c r="H584" t="s">
        <v>40</v>
      </c>
      <c r="I584" t="s">
        <v>1208</v>
      </c>
      <c r="J584" t="s">
        <v>64</v>
      </c>
      <c r="K584" s="4">
        <f>VLOOKUP(J584,Exchange_Rates!A:B,2,FALSE)</f>
        <v>0.73</v>
      </c>
      <c r="L584" s="4">
        <f t="shared" si="36"/>
        <v>0</v>
      </c>
      <c r="M584" s="4">
        <f t="shared" si="37"/>
        <v>554.18679999999995</v>
      </c>
      <c r="N584" s="4">
        <f t="shared" si="38"/>
        <v>2023</v>
      </c>
      <c r="O584" s="4">
        <f t="shared" si="39"/>
        <v>4</v>
      </c>
    </row>
    <row r="585" spans="1:15" x14ac:dyDescent="0.25">
      <c r="A585" t="s">
        <v>1209</v>
      </c>
      <c r="B585" s="2">
        <v>45262</v>
      </c>
      <c r="C585" t="s">
        <v>38</v>
      </c>
      <c r="D585" t="s">
        <v>39</v>
      </c>
      <c r="E585">
        <v>350.75</v>
      </c>
      <c r="F585">
        <v>0</v>
      </c>
      <c r="G585" t="s">
        <v>8</v>
      </c>
      <c r="H585" t="s">
        <v>40</v>
      </c>
      <c r="I585" t="s">
        <v>1210</v>
      </c>
      <c r="J585" t="s">
        <v>64</v>
      </c>
      <c r="K585" s="4">
        <f>VLOOKUP(J585,Exchange_Rates!A:B,2,FALSE)</f>
        <v>0.73</v>
      </c>
      <c r="L585" s="4">
        <f t="shared" si="36"/>
        <v>256.04750000000001</v>
      </c>
      <c r="M585" s="4">
        <f t="shared" si="37"/>
        <v>0</v>
      </c>
      <c r="N585" s="4">
        <f t="shared" si="38"/>
        <v>2023</v>
      </c>
      <c r="O585" s="4">
        <f t="shared" si="39"/>
        <v>4</v>
      </c>
    </row>
    <row r="586" spans="1:15" x14ac:dyDescent="0.25">
      <c r="A586" t="s">
        <v>1211</v>
      </c>
      <c r="B586" s="2">
        <v>45351</v>
      </c>
      <c r="C586" t="s">
        <v>38</v>
      </c>
      <c r="D586" t="s">
        <v>39</v>
      </c>
      <c r="E586">
        <v>1991.12</v>
      </c>
      <c r="F586">
        <v>0</v>
      </c>
      <c r="G586" t="s">
        <v>10</v>
      </c>
      <c r="H586" t="s">
        <v>62</v>
      </c>
      <c r="I586" t="s">
        <v>1212</v>
      </c>
      <c r="J586" t="s">
        <v>42</v>
      </c>
      <c r="K586" s="4">
        <f>VLOOKUP(J586,Exchange_Rates!A:B,2,FALSE)</f>
        <v>0.66</v>
      </c>
      <c r="L586" s="4">
        <f t="shared" si="36"/>
        <v>1314.1392000000001</v>
      </c>
      <c r="M586" s="4">
        <f t="shared" si="37"/>
        <v>0</v>
      </c>
      <c r="N586" s="4">
        <f t="shared" si="38"/>
        <v>2024</v>
      </c>
      <c r="O586" s="4">
        <f t="shared" si="39"/>
        <v>1</v>
      </c>
    </row>
    <row r="587" spans="1:15" x14ac:dyDescent="0.25">
      <c r="A587" t="s">
        <v>1213</v>
      </c>
      <c r="B587" s="2">
        <v>45055</v>
      </c>
      <c r="C587" t="s">
        <v>30</v>
      </c>
      <c r="D587" t="s">
        <v>31</v>
      </c>
      <c r="E587">
        <v>661.12</v>
      </c>
      <c r="F587">
        <v>0</v>
      </c>
      <c r="G587" t="s">
        <v>9</v>
      </c>
      <c r="H587" t="s">
        <v>62</v>
      </c>
      <c r="I587" t="s">
        <v>1214</v>
      </c>
      <c r="J587" t="s">
        <v>64</v>
      </c>
      <c r="K587" s="4">
        <f>VLOOKUP(J587,Exchange_Rates!A:B,2,FALSE)</f>
        <v>0.73</v>
      </c>
      <c r="L587" s="4">
        <f t="shared" si="36"/>
        <v>482.61759999999998</v>
      </c>
      <c r="M587" s="4">
        <f t="shared" si="37"/>
        <v>0</v>
      </c>
      <c r="N587" s="4">
        <f t="shared" si="38"/>
        <v>2023</v>
      </c>
      <c r="O587" s="4">
        <f t="shared" si="39"/>
        <v>2</v>
      </c>
    </row>
    <row r="588" spans="1:15" x14ac:dyDescent="0.25">
      <c r="A588" t="s">
        <v>1215</v>
      </c>
      <c r="B588" s="2">
        <v>45205</v>
      </c>
      <c r="C588" t="s">
        <v>49</v>
      </c>
      <c r="D588" t="s">
        <v>50</v>
      </c>
      <c r="E588">
        <v>1109.8599999999999</v>
      </c>
      <c r="F588">
        <v>0</v>
      </c>
      <c r="G588" t="s">
        <v>13</v>
      </c>
      <c r="H588" t="s">
        <v>26</v>
      </c>
      <c r="I588" t="s">
        <v>1216</v>
      </c>
      <c r="J588" t="s">
        <v>36</v>
      </c>
      <c r="K588" s="4">
        <f>VLOOKUP(J588,Exchange_Rates!A:B,2,FALSE)</f>
        <v>1.08</v>
      </c>
      <c r="L588" s="4">
        <f t="shared" si="36"/>
        <v>1198.6487999999999</v>
      </c>
      <c r="M588" s="4">
        <f t="shared" si="37"/>
        <v>0</v>
      </c>
      <c r="N588" s="4">
        <f t="shared" si="38"/>
        <v>2023</v>
      </c>
      <c r="O588" s="4">
        <f t="shared" si="39"/>
        <v>4</v>
      </c>
    </row>
    <row r="589" spans="1:15" x14ac:dyDescent="0.25">
      <c r="A589" t="s">
        <v>1217</v>
      </c>
      <c r="B589" s="2">
        <v>45782</v>
      </c>
      <c r="C589" t="s">
        <v>60</v>
      </c>
      <c r="D589" t="s">
        <v>61</v>
      </c>
      <c r="E589">
        <v>0</v>
      </c>
      <c r="F589">
        <v>4533.8</v>
      </c>
      <c r="G589" t="s">
        <v>13</v>
      </c>
      <c r="H589" t="s">
        <v>51</v>
      </c>
      <c r="I589" t="s">
        <v>1218</v>
      </c>
      <c r="J589" t="s">
        <v>64</v>
      </c>
      <c r="K589" s="4">
        <f>VLOOKUP(J589,Exchange_Rates!A:B,2,FALSE)</f>
        <v>0.73</v>
      </c>
      <c r="L589" s="4">
        <f t="shared" si="36"/>
        <v>0</v>
      </c>
      <c r="M589" s="4">
        <f t="shared" si="37"/>
        <v>3309.674</v>
      </c>
      <c r="N589" s="4">
        <f t="shared" si="38"/>
        <v>2025</v>
      </c>
      <c r="O589" s="4">
        <f t="shared" si="39"/>
        <v>2</v>
      </c>
    </row>
    <row r="590" spans="1:15" x14ac:dyDescent="0.25">
      <c r="A590" t="s">
        <v>1219</v>
      </c>
      <c r="B590" s="2">
        <v>45757</v>
      </c>
      <c r="C590" t="s">
        <v>49</v>
      </c>
      <c r="D590" t="s">
        <v>50</v>
      </c>
      <c r="E590">
        <v>329.57</v>
      </c>
      <c r="F590">
        <v>0</v>
      </c>
      <c r="G590" t="s">
        <v>12</v>
      </c>
      <c r="H590" t="s">
        <v>62</v>
      </c>
      <c r="I590" t="s">
        <v>1220</v>
      </c>
      <c r="J590" t="s">
        <v>64</v>
      </c>
      <c r="K590" s="4">
        <f>VLOOKUP(J590,Exchange_Rates!A:B,2,FALSE)</f>
        <v>0.73</v>
      </c>
      <c r="L590" s="4">
        <f t="shared" si="36"/>
        <v>240.58609999999999</v>
      </c>
      <c r="M590" s="4">
        <f t="shared" si="37"/>
        <v>0</v>
      </c>
      <c r="N590" s="4">
        <f t="shared" si="38"/>
        <v>2025</v>
      </c>
      <c r="O590" s="4">
        <f t="shared" si="39"/>
        <v>2</v>
      </c>
    </row>
    <row r="591" spans="1:15" x14ac:dyDescent="0.25">
      <c r="A591" t="s">
        <v>1221</v>
      </c>
      <c r="B591" s="2">
        <v>44992</v>
      </c>
      <c r="C591" t="s">
        <v>24</v>
      </c>
      <c r="D591" t="s">
        <v>25</v>
      </c>
      <c r="E591">
        <v>0</v>
      </c>
      <c r="F591">
        <v>4725.13</v>
      </c>
      <c r="G591" t="s">
        <v>8</v>
      </c>
      <c r="H591" t="s">
        <v>26</v>
      </c>
      <c r="I591" t="s">
        <v>1222</v>
      </c>
      <c r="J591" t="s">
        <v>36</v>
      </c>
      <c r="K591" s="4">
        <f>VLOOKUP(J591,Exchange_Rates!A:B,2,FALSE)</f>
        <v>1.08</v>
      </c>
      <c r="L591" s="4">
        <f t="shared" si="36"/>
        <v>0</v>
      </c>
      <c r="M591" s="4">
        <f t="shared" si="37"/>
        <v>5103.1404000000002</v>
      </c>
      <c r="N591" s="4">
        <f t="shared" si="38"/>
        <v>2023</v>
      </c>
      <c r="O591" s="4">
        <f t="shared" si="39"/>
        <v>1</v>
      </c>
    </row>
    <row r="592" spans="1:15" x14ac:dyDescent="0.25">
      <c r="A592" t="s">
        <v>1223</v>
      </c>
      <c r="B592" s="2">
        <v>45121</v>
      </c>
      <c r="C592" t="s">
        <v>49</v>
      </c>
      <c r="D592" t="s">
        <v>50</v>
      </c>
      <c r="E592">
        <v>206.46</v>
      </c>
      <c r="F592">
        <v>0</v>
      </c>
      <c r="G592" t="s">
        <v>9</v>
      </c>
      <c r="H592" t="s">
        <v>51</v>
      </c>
      <c r="I592" t="s">
        <v>1224</v>
      </c>
      <c r="J592" t="s">
        <v>42</v>
      </c>
      <c r="K592" s="4">
        <f>VLOOKUP(J592,Exchange_Rates!A:B,2,FALSE)</f>
        <v>0.66</v>
      </c>
      <c r="L592" s="4">
        <f t="shared" si="36"/>
        <v>136.26360000000003</v>
      </c>
      <c r="M592" s="4">
        <f t="shared" si="37"/>
        <v>0</v>
      </c>
      <c r="N592" s="4">
        <f t="shared" si="38"/>
        <v>2023</v>
      </c>
      <c r="O592" s="4">
        <f t="shared" si="39"/>
        <v>3</v>
      </c>
    </row>
    <row r="593" spans="1:15" x14ac:dyDescent="0.25">
      <c r="A593" t="s">
        <v>1225</v>
      </c>
      <c r="B593" s="2">
        <v>45795</v>
      </c>
      <c r="C593" t="s">
        <v>38</v>
      </c>
      <c r="D593" t="s">
        <v>39</v>
      </c>
      <c r="E593">
        <v>402.92</v>
      </c>
      <c r="F593">
        <v>0</v>
      </c>
      <c r="G593" t="s">
        <v>13</v>
      </c>
      <c r="H593" t="s">
        <v>40</v>
      </c>
      <c r="I593" t="s">
        <v>1226</v>
      </c>
      <c r="J593" t="s">
        <v>28</v>
      </c>
      <c r="K593" s="4">
        <f>VLOOKUP(J593,Exchange_Rates!A:B,2,FALSE)</f>
        <v>1.27</v>
      </c>
      <c r="L593" s="4">
        <f t="shared" si="36"/>
        <v>511.70840000000004</v>
      </c>
      <c r="M593" s="4">
        <f t="shared" si="37"/>
        <v>0</v>
      </c>
      <c r="N593" s="4">
        <f t="shared" si="38"/>
        <v>2025</v>
      </c>
      <c r="O593" s="4">
        <f t="shared" si="39"/>
        <v>2</v>
      </c>
    </row>
    <row r="594" spans="1:15" x14ac:dyDescent="0.25">
      <c r="A594" t="s">
        <v>1227</v>
      </c>
      <c r="B594" s="2">
        <v>45670</v>
      </c>
      <c r="C594" t="s">
        <v>60</v>
      </c>
      <c r="D594" t="s">
        <v>61</v>
      </c>
      <c r="E594">
        <v>0</v>
      </c>
      <c r="F594">
        <v>4295.83</v>
      </c>
      <c r="G594" t="s">
        <v>10</v>
      </c>
      <c r="H594" t="s">
        <v>26</v>
      </c>
      <c r="I594" t="s">
        <v>1228</v>
      </c>
      <c r="J594" t="s">
        <v>28</v>
      </c>
      <c r="K594" s="4">
        <f>VLOOKUP(J594,Exchange_Rates!A:B,2,FALSE)</f>
        <v>1.27</v>
      </c>
      <c r="L594" s="4">
        <f t="shared" si="36"/>
        <v>0</v>
      </c>
      <c r="M594" s="4">
        <f t="shared" si="37"/>
        <v>5455.7040999999999</v>
      </c>
      <c r="N594" s="4">
        <f t="shared" si="38"/>
        <v>2025</v>
      </c>
      <c r="O594" s="4">
        <f t="shared" si="39"/>
        <v>1</v>
      </c>
    </row>
    <row r="595" spans="1:15" x14ac:dyDescent="0.25">
      <c r="A595" t="s">
        <v>1229</v>
      </c>
      <c r="B595" s="2">
        <v>45278</v>
      </c>
      <c r="C595" t="s">
        <v>60</v>
      </c>
      <c r="D595" t="s">
        <v>61</v>
      </c>
      <c r="E595">
        <v>0</v>
      </c>
      <c r="F595">
        <v>3237.32</v>
      </c>
      <c r="G595" t="s">
        <v>8</v>
      </c>
      <c r="H595" t="s">
        <v>40</v>
      </c>
      <c r="I595" t="s">
        <v>1230</v>
      </c>
      <c r="J595" t="s">
        <v>28</v>
      </c>
      <c r="K595" s="4">
        <f>VLOOKUP(J595,Exchange_Rates!A:B,2,FALSE)</f>
        <v>1.27</v>
      </c>
      <c r="L595" s="4">
        <f t="shared" si="36"/>
        <v>0</v>
      </c>
      <c r="M595" s="4">
        <f t="shared" si="37"/>
        <v>4111.3964000000005</v>
      </c>
      <c r="N595" s="4">
        <f t="shared" si="38"/>
        <v>2023</v>
      </c>
      <c r="O595" s="4">
        <f t="shared" si="39"/>
        <v>4</v>
      </c>
    </row>
    <row r="596" spans="1:15" x14ac:dyDescent="0.25">
      <c r="A596" t="s">
        <v>1231</v>
      </c>
      <c r="B596" s="2">
        <v>45256</v>
      </c>
      <c r="C596" t="s">
        <v>38</v>
      </c>
      <c r="D596" t="s">
        <v>39</v>
      </c>
      <c r="E596">
        <v>648.30999999999995</v>
      </c>
      <c r="F596">
        <v>0</v>
      </c>
      <c r="G596" t="s">
        <v>8</v>
      </c>
      <c r="H596" t="s">
        <v>34</v>
      </c>
      <c r="I596" t="s">
        <v>1232</v>
      </c>
      <c r="J596" t="s">
        <v>28</v>
      </c>
      <c r="K596" s="4">
        <f>VLOOKUP(J596,Exchange_Rates!A:B,2,FALSE)</f>
        <v>1.27</v>
      </c>
      <c r="L596" s="4">
        <f t="shared" si="36"/>
        <v>823.35369999999989</v>
      </c>
      <c r="M596" s="4">
        <f t="shared" si="37"/>
        <v>0</v>
      </c>
      <c r="N596" s="4">
        <f t="shared" si="38"/>
        <v>2023</v>
      </c>
      <c r="O596" s="4">
        <f t="shared" si="39"/>
        <v>4</v>
      </c>
    </row>
    <row r="597" spans="1:15" x14ac:dyDescent="0.25">
      <c r="A597" t="s">
        <v>1233</v>
      </c>
      <c r="B597" s="2">
        <v>45418</v>
      </c>
      <c r="C597" t="s">
        <v>30</v>
      </c>
      <c r="D597" t="s">
        <v>31</v>
      </c>
      <c r="E597">
        <v>710.64</v>
      </c>
      <c r="F597">
        <v>0</v>
      </c>
      <c r="G597" t="s">
        <v>11</v>
      </c>
      <c r="H597" t="s">
        <v>26</v>
      </c>
      <c r="I597" t="s">
        <v>1234</v>
      </c>
      <c r="J597" t="s">
        <v>36</v>
      </c>
      <c r="K597" s="4">
        <f>VLOOKUP(J597,Exchange_Rates!A:B,2,FALSE)</f>
        <v>1.08</v>
      </c>
      <c r="L597" s="4">
        <f t="shared" si="36"/>
        <v>767.49120000000005</v>
      </c>
      <c r="M597" s="4">
        <f t="shared" si="37"/>
        <v>0</v>
      </c>
      <c r="N597" s="4">
        <f t="shared" si="38"/>
        <v>2024</v>
      </c>
      <c r="O597" s="4">
        <f t="shared" si="39"/>
        <v>2</v>
      </c>
    </row>
    <row r="598" spans="1:15" x14ac:dyDescent="0.25">
      <c r="A598" t="s">
        <v>1235</v>
      </c>
      <c r="B598" s="2">
        <v>45230</v>
      </c>
      <c r="C598" t="s">
        <v>30</v>
      </c>
      <c r="D598" t="s">
        <v>31</v>
      </c>
      <c r="E598">
        <v>309.33999999999997</v>
      </c>
      <c r="F598">
        <v>0</v>
      </c>
      <c r="G598" t="s">
        <v>8</v>
      </c>
      <c r="H598" t="s">
        <v>34</v>
      </c>
      <c r="I598" t="s">
        <v>1236</v>
      </c>
      <c r="J598" t="s">
        <v>36</v>
      </c>
      <c r="K598" s="4">
        <f>VLOOKUP(J598,Exchange_Rates!A:B,2,FALSE)</f>
        <v>1.08</v>
      </c>
      <c r="L598" s="4">
        <f t="shared" si="36"/>
        <v>334.0872</v>
      </c>
      <c r="M598" s="4">
        <f t="shared" si="37"/>
        <v>0</v>
      </c>
      <c r="N598" s="4">
        <f t="shared" si="38"/>
        <v>2023</v>
      </c>
      <c r="O598" s="4">
        <f t="shared" si="39"/>
        <v>4</v>
      </c>
    </row>
    <row r="599" spans="1:15" x14ac:dyDescent="0.25">
      <c r="A599" t="s">
        <v>1237</v>
      </c>
      <c r="B599" s="2">
        <v>44988</v>
      </c>
      <c r="C599" t="s">
        <v>38</v>
      </c>
      <c r="D599" t="s">
        <v>39</v>
      </c>
      <c r="E599">
        <v>1657.7</v>
      </c>
      <c r="F599">
        <v>0</v>
      </c>
      <c r="G599" t="s">
        <v>11</v>
      </c>
      <c r="H599" t="s">
        <v>34</v>
      </c>
      <c r="I599" t="s">
        <v>1238</v>
      </c>
      <c r="J599" t="s">
        <v>42</v>
      </c>
      <c r="K599" s="4">
        <f>VLOOKUP(J599,Exchange_Rates!A:B,2,FALSE)</f>
        <v>0.66</v>
      </c>
      <c r="L599" s="4">
        <f t="shared" si="36"/>
        <v>1094.0820000000001</v>
      </c>
      <c r="M599" s="4">
        <f t="shared" si="37"/>
        <v>0</v>
      </c>
      <c r="N599" s="4">
        <f t="shared" si="38"/>
        <v>2023</v>
      </c>
      <c r="O599" s="4">
        <f t="shared" si="39"/>
        <v>1</v>
      </c>
    </row>
    <row r="600" spans="1:15" x14ac:dyDescent="0.25">
      <c r="A600" t="s">
        <v>1239</v>
      </c>
      <c r="B600" s="2">
        <v>45271</v>
      </c>
      <c r="C600" t="s">
        <v>49</v>
      </c>
      <c r="D600" t="s">
        <v>50</v>
      </c>
      <c r="E600">
        <v>1748.81</v>
      </c>
      <c r="F600">
        <v>0</v>
      </c>
      <c r="G600" t="s">
        <v>8</v>
      </c>
      <c r="H600" t="s">
        <v>26</v>
      </c>
      <c r="I600" t="s">
        <v>1240</v>
      </c>
      <c r="J600" t="s">
        <v>36</v>
      </c>
      <c r="K600" s="4">
        <f>VLOOKUP(J600,Exchange_Rates!A:B,2,FALSE)</f>
        <v>1.08</v>
      </c>
      <c r="L600" s="4">
        <f t="shared" si="36"/>
        <v>1888.7148</v>
      </c>
      <c r="M600" s="4">
        <f t="shared" si="37"/>
        <v>0</v>
      </c>
      <c r="N600" s="4">
        <f t="shared" si="38"/>
        <v>2023</v>
      </c>
      <c r="O600" s="4">
        <f t="shared" si="39"/>
        <v>4</v>
      </c>
    </row>
    <row r="601" spans="1:15" x14ac:dyDescent="0.25">
      <c r="A601" t="s">
        <v>1241</v>
      </c>
      <c r="B601" s="2">
        <v>45492</v>
      </c>
      <c r="C601" t="s">
        <v>38</v>
      </c>
      <c r="D601" t="s">
        <v>39</v>
      </c>
      <c r="E601">
        <v>278.26</v>
      </c>
      <c r="F601">
        <v>0</v>
      </c>
      <c r="G601" t="s">
        <v>11</v>
      </c>
      <c r="H601" t="s">
        <v>40</v>
      </c>
      <c r="I601" t="s">
        <v>1242</v>
      </c>
      <c r="J601" t="s">
        <v>45</v>
      </c>
      <c r="K601" s="4">
        <f>VLOOKUP(J601,Exchange_Rates!A:B,2,FALSE)</f>
        <v>1</v>
      </c>
      <c r="L601" s="4">
        <f t="shared" si="36"/>
        <v>278.26</v>
      </c>
      <c r="M601" s="4">
        <f t="shared" si="37"/>
        <v>0</v>
      </c>
      <c r="N601" s="4">
        <f t="shared" si="38"/>
        <v>2024</v>
      </c>
      <c r="O601" s="4">
        <f t="shared" si="39"/>
        <v>3</v>
      </c>
    </row>
    <row r="602" spans="1:15" x14ac:dyDescent="0.25">
      <c r="A602" t="s">
        <v>1243</v>
      </c>
      <c r="B602" s="2">
        <v>45103</v>
      </c>
      <c r="C602" t="s">
        <v>49</v>
      </c>
      <c r="D602" t="s">
        <v>50</v>
      </c>
      <c r="E602">
        <v>387.61</v>
      </c>
      <c r="F602">
        <v>0</v>
      </c>
      <c r="G602" t="s">
        <v>13</v>
      </c>
      <c r="H602" t="s">
        <v>40</v>
      </c>
      <c r="I602" t="s">
        <v>1244</v>
      </c>
      <c r="J602" t="s">
        <v>28</v>
      </c>
      <c r="K602" s="4">
        <f>VLOOKUP(J602,Exchange_Rates!A:B,2,FALSE)</f>
        <v>1.27</v>
      </c>
      <c r="L602" s="4">
        <f t="shared" si="36"/>
        <v>492.2647</v>
      </c>
      <c r="M602" s="4">
        <f t="shared" si="37"/>
        <v>0</v>
      </c>
      <c r="N602" s="4">
        <f t="shared" si="38"/>
        <v>2023</v>
      </c>
      <c r="O602" s="4">
        <f t="shared" si="39"/>
        <v>2</v>
      </c>
    </row>
    <row r="603" spans="1:15" x14ac:dyDescent="0.25">
      <c r="A603" t="s">
        <v>1245</v>
      </c>
      <c r="B603" s="2">
        <v>45717</v>
      </c>
      <c r="C603" t="s">
        <v>30</v>
      </c>
      <c r="D603" t="s">
        <v>31</v>
      </c>
      <c r="E603">
        <v>930.92</v>
      </c>
      <c r="F603">
        <v>0</v>
      </c>
      <c r="G603" t="s">
        <v>9</v>
      </c>
      <c r="H603" t="s">
        <v>26</v>
      </c>
      <c r="I603" t="s">
        <v>1246</v>
      </c>
      <c r="J603" t="s">
        <v>64</v>
      </c>
      <c r="K603" s="4">
        <f>VLOOKUP(J603,Exchange_Rates!A:B,2,FALSE)</f>
        <v>0.73</v>
      </c>
      <c r="L603" s="4">
        <f t="shared" si="36"/>
        <v>679.57159999999999</v>
      </c>
      <c r="M603" s="4">
        <f t="shared" si="37"/>
        <v>0</v>
      </c>
      <c r="N603" s="4">
        <f t="shared" si="38"/>
        <v>2025</v>
      </c>
      <c r="O603" s="4">
        <f t="shared" si="39"/>
        <v>1</v>
      </c>
    </row>
    <row r="604" spans="1:15" x14ac:dyDescent="0.25">
      <c r="A604" t="s">
        <v>1247</v>
      </c>
      <c r="B604" s="2">
        <v>45772</v>
      </c>
      <c r="C604" t="s">
        <v>30</v>
      </c>
      <c r="D604" t="s">
        <v>31</v>
      </c>
      <c r="E604">
        <v>1231.94</v>
      </c>
      <c r="F604">
        <v>0</v>
      </c>
      <c r="G604" t="s">
        <v>12</v>
      </c>
      <c r="H604" t="s">
        <v>34</v>
      </c>
      <c r="I604" t="s">
        <v>1248</v>
      </c>
      <c r="J604" t="s">
        <v>28</v>
      </c>
      <c r="K604" s="4">
        <f>VLOOKUP(J604,Exchange_Rates!A:B,2,FALSE)</f>
        <v>1.27</v>
      </c>
      <c r="L604" s="4">
        <f t="shared" si="36"/>
        <v>1564.5638000000001</v>
      </c>
      <c r="M604" s="4">
        <f t="shared" si="37"/>
        <v>0</v>
      </c>
      <c r="N604" s="4">
        <f t="shared" si="38"/>
        <v>2025</v>
      </c>
      <c r="O604" s="4">
        <f t="shared" si="39"/>
        <v>2</v>
      </c>
    </row>
    <row r="605" spans="1:15" x14ac:dyDescent="0.25">
      <c r="A605" t="s">
        <v>1249</v>
      </c>
      <c r="B605" s="2">
        <v>45691</v>
      </c>
      <c r="C605" t="s">
        <v>49</v>
      </c>
      <c r="D605" t="s">
        <v>50</v>
      </c>
      <c r="E605">
        <v>1911.86</v>
      </c>
      <c r="F605">
        <v>0</v>
      </c>
      <c r="G605" t="s">
        <v>13</v>
      </c>
      <c r="H605" t="s">
        <v>51</v>
      </c>
      <c r="I605" t="s">
        <v>1250</v>
      </c>
      <c r="J605" t="s">
        <v>64</v>
      </c>
      <c r="K605" s="4">
        <f>VLOOKUP(J605,Exchange_Rates!A:B,2,FALSE)</f>
        <v>0.73</v>
      </c>
      <c r="L605" s="4">
        <f t="shared" si="36"/>
        <v>1395.6578</v>
      </c>
      <c r="M605" s="4">
        <f t="shared" si="37"/>
        <v>0</v>
      </c>
      <c r="N605" s="4">
        <f t="shared" si="38"/>
        <v>2025</v>
      </c>
      <c r="O605" s="4">
        <f t="shared" si="39"/>
        <v>1</v>
      </c>
    </row>
    <row r="606" spans="1:15" x14ac:dyDescent="0.25">
      <c r="A606" t="s">
        <v>1251</v>
      </c>
      <c r="B606" s="2">
        <v>45059</v>
      </c>
      <c r="C606" t="s">
        <v>60</v>
      </c>
      <c r="D606" t="s">
        <v>61</v>
      </c>
      <c r="E606">
        <v>0</v>
      </c>
      <c r="F606">
        <v>1161.8599999999999</v>
      </c>
      <c r="G606" t="s">
        <v>12</v>
      </c>
      <c r="H606" t="s">
        <v>40</v>
      </c>
      <c r="I606" t="s">
        <v>1252</v>
      </c>
      <c r="J606" t="s">
        <v>42</v>
      </c>
      <c r="K606" s="4">
        <f>VLOOKUP(J606,Exchange_Rates!A:B,2,FALSE)</f>
        <v>0.66</v>
      </c>
      <c r="L606" s="4">
        <f t="shared" si="36"/>
        <v>0</v>
      </c>
      <c r="M606" s="4">
        <f t="shared" si="37"/>
        <v>766.82759999999996</v>
      </c>
      <c r="N606" s="4">
        <f t="shared" si="38"/>
        <v>2023</v>
      </c>
      <c r="O606" s="4">
        <f t="shared" si="39"/>
        <v>2</v>
      </c>
    </row>
    <row r="607" spans="1:15" x14ac:dyDescent="0.25">
      <c r="A607" t="s">
        <v>1253</v>
      </c>
      <c r="B607" s="2">
        <v>45194</v>
      </c>
      <c r="C607" t="s">
        <v>49</v>
      </c>
      <c r="D607" t="s">
        <v>50</v>
      </c>
      <c r="E607">
        <v>622.09</v>
      </c>
      <c r="F607">
        <v>0</v>
      </c>
      <c r="G607" t="s">
        <v>13</v>
      </c>
      <c r="H607" t="s">
        <v>62</v>
      </c>
      <c r="I607" t="s">
        <v>1254</v>
      </c>
      <c r="J607" t="s">
        <v>28</v>
      </c>
      <c r="K607" s="4">
        <f>VLOOKUP(J607,Exchange_Rates!A:B,2,FALSE)</f>
        <v>1.27</v>
      </c>
      <c r="L607" s="4">
        <f t="shared" si="36"/>
        <v>790.05430000000001</v>
      </c>
      <c r="M607" s="4">
        <f t="shared" si="37"/>
        <v>0</v>
      </c>
      <c r="N607" s="4">
        <f t="shared" si="38"/>
        <v>2023</v>
      </c>
      <c r="O607" s="4">
        <f t="shared" si="39"/>
        <v>3</v>
      </c>
    </row>
    <row r="608" spans="1:15" x14ac:dyDescent="0.25">
      <c r="A608" t="s">
        <v>1255</v>
      </c>
      <c r="B608" s="2">
        <v>45006</v>
      </c>
      <c r="C608" t="s">
        <v>38</v>
      </c>
      <c r="D608" t="s">
        <v>39</v>
      </c>
      <c r="E608">
        <v>895.07</v>
      </c>
      <c r="F608">
        <v>0</v>
      </c>
      <c r="G608" t="s">
        <v>13</v>
      </c>
      <c r="H608" t="s">
        <v>51</v>
      </c>
      <c r="I608" t="s">
        <v>1256</v>
      </c>
      <c r="J608" t="s">
        <v>45</v>
      </c>
      <c r="K608" s="4">
        <f>VLOOKUP(J608,Exchange_Rates!A:B,2,FALSE)</f>
        <v>1</v>
      </c>
      <c r="L608" s="4">
        <f t="shared" si="36"/>
        <v>895.07</v>
      </c>
      <c r="M608" s="4">
        <f t="shared" si="37"/>
        <v>0</v>
      </c>
      <c r="N608" s="4">
        <f t="shared" si="38"/>
        <v>2023</v>
      </c>
      <c r="O608" s="4">
        <f t="shared" si="39"/>
        <v>1</v>
      </c>
    </row>
    <row r="609" spans="1:15" x14ac:dyDescent="0.25">
      <c r="A609" t="s">
        <v>1257</v>
      </c>
      <c r="B609" s="2">
        <v>45334</v>
      </c>
      <c r="C609" t="s">
        <v>38</v>
      </c>
      <c r="D609" t="s">
        <v>39</v>
      </c>
      <c r="E609">
        <v>1093.48</v>
      </c>
      <c r="F609">
        <v>0</v>
      </c>
      <c r="G609" t="s">
        <v>8</v>
      </c>
      <c r="H609" t="s">
        <v>34</v>
      </c>
      <c r="I609" t="s">
        <v>1258</v>
      </c>
      <c r="J609" t="s">
        <v>64</v>
      </c>
      <c r="K609" s="4">
        <f>VLOOKUP(J609,Exchange_Rates!A:B,2,FALSE)</f>
        <v>0.73</v>
      </c>
      <c r="L609" s="4">
        <f t="shared" si="36"/>
        <v>798.24040000000002</v>
      </c>
      <c r="M609" s="4">
        <f t="shared" si="37"/>
        <v>0</v>
      </c>
      <c r="N609" s="4">
        <f t="shared" si="38"/>
        <v>2024</v>
      </c>
      <c r="O609" s="4">
        <f t="shared" si="39"/>
        <v>1</v>
      </c>
    </row>
    <row r="610" spans="1:15" x14ac:dyDescent="0.25">
      <c r="A610" t="s">
        <v>1259</v>
      </c>
      <c r="B610" s="2">
        <v>45224</v>
      </c>
      <c r="C610" t="s">
        <v>24</v>
      </c>
      <c r="D610" t="s">
        <v>25</v>
      </c>
      <c r="E610">
        <v>0</v>
      </c>
      <c r="F610">
        <v>1178.75</v>
      </c>
      <c r="G610" t="s">
        <v>11</v>
      </c>
      <c r="H610" t="s">
        <v>62</v>
      </c>
      <c r="I610" t="s">
        <v>1260</v>
      </c>
      <c r="J610" t="s">
        <v>42</v>
      </c>
      <c r="K610" s="4">
        <f>VLOOKUP(J610,Exchange_Rates!A:B,2,FALSE)</f>
        <v>0.66</v>
      </c>
      <c r="L610" s="4">
        <f t="shared" si="36"/>
        <v>0</v>
      </c>
      <c r="M610" s="4">
        <f t="shared" si="37"/>
        <v>777.97500000000002</v>
      </c>
      <c r="N610" s="4">
        <f t="shared" si="38"/>
        <v>2023</v>
      </c>
      <c r="O610" s="4">
        <f t="shared" si="39"/>
        <v>4</v>
      </c>
    </row>
    <row r="611" spans="1:15" x14ac:dyDescent="0.25">
      <c r="A611" t="s">
        <v>1261</v>
      </c>
      <c r="B611" s="2">
        <v>45584</v>
      </c>
      <c r="C611" t="s">
        <v>60</v>
      </c>
      <c r="D611" t="s">
        <v>61</v>
      </c>
      <c r="E611">
        <v>0</v>
      </c>
      <c r="F611">
        <v>1843.27</v>
      </c>
      <c r="G611" t="s">
        <v>11</v>
      </c>
      <c r="H611" t="s">
        <v>34</v>
      </c>
      <c r="I611" t="s">
        <v>1262</v>
      </c>
      <c r="J611" t="s">
        <v>64</v>
      </c>
      <c r="K611" s="4">
        <f>VLOOKUP(J611,Exchange_Rates!A:B,2,FALSE)</f>
        <v>0.73</v>
      </c>
      <c r="L611" s="4">
        <f t="shared" si="36"/>
        <v>0</v>
      </c>
      <c r="M611" s="4">
        <f t="shared" si="37"/>
        <v>1345.5871</v>
      </c>
      <c r="N611" s="4">
        <f t="shared" si="38"/>
        <v>2024</v>
      </c>
      <c r="O611" s="4">
        <f t="shared" si="39"/>
        <v>4</v>
      </c>
    </row>
    <row r="612" spans="1:15" x14ac:dyDescent="0.25">
      <c r="A612" t="s">
        <v>1263</v>
      </c>
      <c r="B612" s="2">
        <v>45468</v>
      </c>
      <c r="C612" t="s">
        <v>38</v>
      </c>
      <c r="D612" t="s">
        <v>39</v>
      </c>
      <c r="E612">
        <v>1239.45</v>
      </c>
      <c r="F612">
        <v>0</v>
      </c>
      <c r="G612" t="s">
        <v>10</v>
      </c>
      <c r="H612" t="s">
        <v>34</v>
      </c>
      <c r="I612" t="s">
        <v>1264</v>
      </c>
      <c r="J612" t="s">
        <v>36</v>
      </c>
      <c r="K612" s="4">
        <f>VLOOKUP(J612,Exchange_Rates!A:B,2,FALSE)</f>
        <v>1.08</v>
      </c>
      <c r="L612" s="4">
        <f t="shared" si="36"/>
        <v>1338.6060000000002</v>
      </c>
      <c r="M612" s="4">
        <f t="shared" si="37"/>
        <v>0</v>
      </c>
      <c r="N612" s="4">
        <f t="shared" si="38"/>
        <v>2024</v>
      </c>
      <c r="O612" s="4">
        <f t="shared" si="39"/>
        <v>2</v>
      </c>
    </row>
    <row r="613" spans="1:15" x14ac:dyDescent="0.25">
      <c r="A613" t="s">
        <v>1265</v>
      </c>
      <c r="B613" s="2">
        <v>44943</v>
      </c>
      <c r="C613" t="s">
        <v>24</v>
      </c>
      <c r="D613" t="s">
        <v>25</v>
      </c>
      <c r="E613">
        <v>0</v>
      </c>
      <c r="F613">
        <v>3317.75</v>
      </c>
      <c r="G613" t="s">
        <v>11</v>
      </c>
      <c r="H613" t="s">
        <v>34</v>
      </c>
      <c r="I613" t="s">
        <v>1266</v>
      </c>
      <c r="J613" t="s">
        <v>36</v>
      </c>
      <c r="K613" s="4">
        <f>VLOOKUP(J613,Exchange_Rates!A:B,2,FALSE)</f>
        <v>1.08</v>
      </c>
      <c r="L613" s="4">
        <f t="shared" si="36"/>
        <v>0</v>
      </c>
      <c r="M613" s="4">
        <f t="shared" si="37"/>
        <v>3583.17</v>
      </c>
      <c r="N613" s="4">
        <f t="shared" si="38"/>
        <v>2023</v>
      </c>
      <c r="O613" s="4">
        <f t="shared" si="39"/>
        <v>1</v>
      </c>
    </row>
    <row r="614" spans="1:15" x14ac:dyDescent="0.25">
      <c r="A614" t="s">
        <v>1267</v>
      </c>
      <c r="B614" s="2">
        <v>45736</v>
      </c>
      <c r="C614" t="s">
        <v>24</v>
      </c>
      <c r="D614" t="s">
        <v>25</v>
      </c>
      <c r="E614">
        <v>0</v>
      </c>
      <c r="F614">
        <v>493.21</v>
      </c>
      <c r="G614" t="s">
        <v>12</v>
      </c>
      <c r="H614" t="s">
        <v>34</v>
      </c>
      <c r="I614" t="s">
        <v>1268</v>
      </c>
      <c r="J614" t="s">
        <v>64</v>
      </c>
      <c r="K614" s="4">
        <f>VLOOKUP(J614,Exchange_Rates!A:B,2,FALSE)</f>
        <v>0.73</v>
      </c>
      <c r="L614" s="4">
        <f t="shared" si="36"/>
        <v>0</v>
      </c>
      <c r="M614" s="4">
        <f t="shared" si="37"/>
        <v>360.04329999999999</v>
      </c>
      <c r="N614" s="4">
        <f t="shared" si="38"/>
        <v>2025</v>
      </c>
      <c r="O614" s="4">
        <f t="shared" si="39"/>
        <v>1</v>
      </c>
    </row>
    <row r="615" spans="1:15" x14ac:dyDescent="0.25">
      <c r="A615" t="s">
        <v>1269</v>
      </c>
      <c r="B615" s="2">
        <v>45000</v>
      </c>
      <c r="C615" t="s">
        <v>38</v>
      </c>
      <c r="D615" t="s">
        <v>39</v>
      </c>
      <c r="E615">
        <v>1638.5</v>
      </c>
      <c r="F615">
        <v>0</v>
      </c>
      <c r="G615" t="s">
        <v>10</v>
      </c>
      <c r="H615" t="s">
        <v>26</v>
      </c>
      <c r="I615" t="s">
        <v>1270</v>
      </c>
      <c r="J615" t="s">
        <v>28</v>
      </c>
      <c r="K615" s="4">
        <f>VLOOKUP(J615,Exchange_Rates!A:B,2,FALSE)</f>
        <v>1.27</v>
      </c>
      <c r="L615" s="4">
        <f t="shared" si="36"/>
        <v>2080.895</v>
      </c>
      <c r="M615" s="4">
        <f t="shared" si="37"/>
        <v>0</v>
      </c>
      <c r="N615" s="4">
        <f t="shared" si="38"/>
        <v>2023</v>
      </c>
      <c r="O615" s="4">
        <f t="shared" si="39"/>
        <v>1</v>
      </c>
    </row>
    <row r="616" spans="1:15" x14ac:dyDescent="0.25">
      <c r="A616" t="s">
        <v>1271</v>
      </c>
      <c r="B616" s="2">
        <v>45291</v>
      </c>
      <c r="C616" t="s">
        <v>24</v>
      </c>
      <c r="D616" t="s">
        <v>25</v>
      </c>
      <c r="E616">
        <v>0</v>
      </c>
      <c r="F616">
        <v>1848.61</v>
      </c>
      <c r="G616" t="s">
        <v>9</v>
      </c>
      <c r="H616" t="s">
        <v>34</v>
      </c>
      <c r="I616" t="s">
        <v>1272</v>
      </c>
      <c r="J616" t="s">
        <v>28</v>
      </c>
      <c r="K616" s="4">
        <f>VLOOKUP(J616,Exchange_Rates!A:B,2,FALSE)</f>
        <v>1.27</v>
      </c>
      <c r="L616" s="4">
        <f t="shared" si="36"/>
        <v>0</v>
      </c>
      <c r="M616" s="4">
        <f t="shared" si="37"/>
        <v>2347.7347</v>
      </c>
      <c r="N616" s="4">
        <f t="shared" si="38"/>
        <v>2023</v>
      </c>
      <c r="O616" s="4">
        <f t="shared" si="39"/>
        <v>4</v>
      </c>
    </row>
    <row r="617" spans="1:15" x14ac:dyDescent="0.25">
      <c r="A617" t="s">
        <v>1273</v>
      </c>
      <c r="B617" s="2">
        <v>45022</v>
      </c>
      <c r="C617" t="s">
        <v>49</v>
      </c>
      <c r="D617" t="s">
        <v>50</v>
      </c>
      <c r="E617">
        <v>436.93</v>
      </c>
      <c r="F617">
        <v>0</v>
      </c>
      <c r="G617" t="s">
        <v>9</v>
      </c>
      <c r="H617" t="s">
        <v>51</v>
      </c>
      <c r="I617" t="s">
        <v>1274</v>
      </c>
      <c r="J617" t="s">
        <v>64</v>
      </c>
      <c r="K617" s="4">
        <f>VLOOKUP(J617,Exchange_Rates!A:B,2,FALSE)</f>
        <v>0.73</v>
      </c>
      <c r="L617" s="4">
        <f t="shared" si="36"/>
        <v>318.95889999999997</v>
      </c>
      <c r="M617" s="4">
        <f t="shared" si="37"/>
        <v>0</v>
      </c>
      <c r="N617" s="4">
        <f t="shared" si="38"/>
        <v>2023</v>
      </c>
      <c r="O617" s="4">
        <f t="shared" si="39"/>
        <v>2</v>
      </c>
    </row>
    <row r="618" spans="1:15" x14ac:dyDescent="0.25">
      <c r="A618" t="s">
        <v>1275</v>
      </c>
      <c r="B618" s="2">
        <v>45475</v>
      </c>
      <c r="C618" t="s">
        <v>30</v>
      </c>
      <c r="D618" t="s">
        <v>31</v>
      </c>
      <c r="E618">
        <v>1498.49</v>
      </c>
      <c r="F618">
        <v>0</v>
      </c>
      <c r="G618" t="s">
        <v>9</v>
      </c>
      <c r="H618" t="s">
        <v>40</v>
      </c>
      <c r="I618" t="s">
        <v>1276</v>
      </c>
      <c r="J618" t="s">
        <v>45</v>
      </c>
      <c r="K618" s="4">
        <f>VLOOKUP(J618,Exchange_Rates!A:B,2,FALSE)</f>
        <v>1</v>
      </c>
      <c r="L618" s="4">
        <f t="shared" si="36"/>
        <v>1498.49</v>
      </c>
      <c r="M618" s="4">
        <f t="shared" si="37"/>
        <v>0</v>
      </c>
      <c r="N618" s="4">
        <f t="shared" si="38"/>
        <v>2024</v>
      </c>
      <c r="O618" s="4">
        <f t="shared" si="39"/>
        <v>3</v>
      </c>
    </row>
    <row r="619" spans="1:15" x14ac:dyDescent="0.25">
      <c r="A619" t="s">
        <v>1277</v>
      </c>
      <c r="B619" s="2">
        <v>45781</v>
      </c>
      <c r="C619" t="s">
        <v>38</v>
      </c>
      <c r="D619" t="s">
        <v>39</v>
      </c>
      <c r="E619">
        <v>1030.46</v>
      </c>
      <c r="F619">
        <v>0</v>
      </c>
      <c r="G619" t="s">
        <v>10</v>
      </c>
      <c r="H619" t="s">
        <v>26</v>
      </c>
      <c r="I619" t="s">
        <v>1278</v>
      </c>
      <c r="J619" t="s">
        <v>45</v>
      </c>
      <c r="K619" s="4">
        <f>VLOOKUP(J619,Exchange_Rates!A:B,2,FALSE)</f>
        <v>1</v>
      </c>
      <c r="L619" s="4">
        <f t="shared" si="36"/>
        <v>1030.46</v>
      </c>
      <c r="M619" s="4">
        <f t="shared" si="37"/>
        <v>0</v>
      </c>
      <c r="N619" s="4">
        <f t="shared" si="38"/>
        <v>2025</v>
      </c>
      <c r="O619" s="4">
        <f t="shared" si="39"/>
        <v>2</v>
      </c>
    </row>
    <row r="620" spans="1:15" x14ac:dyDescent="0.25">
      <c r="A620" t="s">
        <v>1279</v>
      </c>
      <c r="B620" s="2">
        <v>45838</v>
      </c>
      <c r="C620" t="s">
        <v>60</v>
      </c>
      <c r="D620" t="s">
        <v>61</v>
      </c>
      <c r="E620">
        <v>0</v>
      </c>
      <c r="F620">
        <v>2665.08</v>
      </c>
      <c r="G620" t="s">
        <v>8</v>
      </c>
      <c r="H620" t="s">
        <v>26</v>
      </c>
      <c r="I620" t="s">
        <v>1280</v>
      </c>
      <c r="J620" t="s">
        <v>64</v>
      </c>
      <c r="K620" s="4">
        <f>VLOOKUP(J620,Exchange_Rates!A:B,2,FALSE)</f>
        <v>0.73</v>
      </c>
      <c r="L620" s="4">
        <f t="shared" si="36"/>
        <v>0</v>
      </c>
      <c r="M620" s="4">
        <f t="shared" si="37"/>
        <v>1945.5083999999999</v>
      </c>
      <c r="N620" s="4">
        <f t="shared" si="38"/>
        <v>2025</v>
      </c>
      <c r="O620" s="4">
        <f t="shared" si="39"/>
        <v>2</v>
      </c>
    </row>
    <row r="621" spans="1:15" x14ac:dyDescent="0.25">
      <c r="A621" t="s">
        <v>1281</v>
      </c>
      <c r="B621" s="2">
        <v>45509</v>
      </c>
      <c r="C621" t="s">
        <v>49</v>
      </c>
      <c r="D621" t="s">
        <v>50</v>
      </c>
      <c r="E621">
        <v>416.41</v>
      </c>
      <c r="F621">
        <v>0</v>
      </c>
      <c r="G621" t="s">
        <v>12</v>
      </c>
      <c r="H621" t="s">
        <v>34</v>
      </c>
      <c r="I621" t="s">
        <v>1282</v>
      </c>
      <c r="J621" t="s">
        <v>64</v>
      </c>
      <c r="K621" s="4">
        <f>VLOOKUP(J621,Exchange_Rates!A:B,2,FALSE)</f>
        <v>0.73</v>
      </c>
      <c r="L621" s="4">
        <f t="shared" si="36"/>
        <v>303.97930000000002</v>
      </c>
      <c r="M621" s="4">
        <f t="shared" si="37"/>
        <v>0</v>
      </c>
      <c r="N621" s="4">
        <f t="shared" si="38"/>
        <v>2024</v>
      </c>
      <c r="O621" s="4">
        <f t="shared" si="39"/>
        <v>3</v>
      </c>
    </row>
    <row r="622" spans="1:15" x14ac:dyDescent="0.25">
      <c r="A622" t="s">
        <v>1283</v>
      </c>
      <c r="B622" s="2">
        <v>45696</v>
      </c>
      <c r="C622" t="s">
        <v>24</v>
      </c>
      <c r="D622" t="s">
        <v>25</v>
      </c>
      <c r="E622">
        <v>0</v>
      </c>
      <c r="F622">
        <v>2058.4</v>
      </c>
      <c r="G622" t="s">
        <v>10</v>
      </c>
      <c r="H622" t="s">
        <v>51</v>
      </c>
      <c r="I622" t="s">
        <v>1284</v>
      </c>
      <c r="J622" t="s">
        <v>28</v>
      </c>
      <c r="K622" s="4">
        <f>VLOOKUP(J622,Exchange_Rates!A:B,2,FALSE)</f>
        <v>1.27</v>
      </c>
      <c r="L622" s="4">
        <f t="shared" si="36"/>
        <v>0</v>
      </c>
      <c r="M622" s="4">
        <f t="shared" si="37"/>
        <v>2614.1680000000001</v>
      </c>
      <c r="N622" s="4">
        <f t="shared" si="38"/>
        <v>2025</v>
      </c>
      <c r="O622" s="4">
        <f t="shared" si="39"/>
        <v>1</v>
      </c>
    </row>
    <row r="623" spans="1:15" x14ac:dyDescent="0.25">
      <c r="A623" t="s">
        <v>1285</v>
      </c>
      <c r="B623" s="2">
        <v>45669</v>
      </c>
      <c r="C623" t="s">
        <v>24</v>
      </c>
      <c r="D623" t="s">
        <v>25</v>
      </c>
      <c r="E623">
        <v>0</v>
      </c>
      <c r="F623">
        <v>203.81</v>
      </c>
      <c r="G623" t="s">
        <v>13</v>
      </c>
      <c r="H623" t="s">
        <v>26</v>
      </c>
      <c r="I623" t="s">
        <v>1286</v>
      </c>
      <c r="J623" t="s">
        <v>42</v>
      </c>
      <c r="K623" s="4">
        <f>VLOOKUP(J623,Exchange_Rates!A:B,2,FALSE)</f>
        <v>0.66</v>
      </c>
      <c r="L623" s="4">
        <f t="shared" si="36"/>
        <v>0</v>
      </c>
      <c r="M623" s="4">
        <f t="shared" si="37"/>
        <v>134.5146</v>
      </c>
      <c r="N623" s="4">
        <f t="shared" si="38"/>
        <v>2025</v>
      </c>
      <c r="O623" s="4">
        <f t="shared" si="39"/>
        <v>1</v>
      </c>
    </row>
    <row r="624" spans="1:15" x14ac:dyDescent="0.25">
      <c r="A624" t="s">
        <v>1287</v>
      </c>
      <c r="B624" s="2">
        <v>45595</v>
      </c>
      <c r="C624" t="s">
        <v>49</v>
      </c>
      <c r="D624" t="s">
        <v>50</v>
      </c>
      <c r="E624">
        <v>1876.28</v>
      </c>
      <c r="F624">
        <v>0</v>
      </c>
      <c r="G624" t="s">
        <v>8</v>
      </c>
      <c r="H624" t="s">
        <v>40</v>
      </c>
      <c r="I624" t="s">
        <v>1288</v>
      </c>
      <c r="J624" t="s">
        <v>64</v>
      </c>
      <c r="K624" s="4">
        <f>VLOOKUP(J624,Exchange_Rates!A:B,2,FALSE)</f>
        <v>0.73</v>
      </c>
      <c r="L624" s="4">
        <f t="shared" si="36"/>
        <v>1369.6843999999999</v>
      </c>
      <c r="M624" s="4">
        <f t="shared" si="37"/>
        <v>0</v>
      </c>
      <c r="N624" s="4">
        <f t="shared" si="38"/>
        <v>2024</v>
      </c>
      <c r="O624" s="4">
        <f t="shared" si="39"/>
        <v>4</v>
      </c>
    </row>
    <row r="625" spans="1:15" x14ac:dyDescent="0.25">
      <c r="A625" t="s">
        <v>1289</v>
      </c>
      <c r="B625" s="2">
        <v>45202</v>
      </c>
      <c r="C625" t="s">
        <v>30</v>
      </c>
      <c r="D625" t="s">
        <v>31</v>
      </c>
      <c r="E625">
        <v>1047.55</v>
      </c>
      <c r="F625">
        <v>0</v>
      </c>
      <c r="G625" t="s">
        <v>9</v>
      </c>
      <c r="H625" t="s">
        <v>40</v>
      </c>
      <c r="I625" t="s">
        <v>1290</v>
      </c>
      <c r="J625" t="s">
        <v>42</v>
      </c>
      <c r="K625" s="4">
        <f>VLOOKUP(J625,Exchange_Rates!A:B,2,FALSE)</f>
        <v>0.66</v>
      </c>
      <c r="L625" s="4">
        <f t="shared" si="36"/>
        <v>691.38300000000004</v>
      </c>
      <c r="M625" s="4">
        <f t="shared" si="37"/>
        <v>0</v>
      </c>
      <c r="N625" s="4">
        <f t="shared" si="38"/>
        <v>2023</v>
      </c>
      <c r="O625" s="4">
        <f t="shared" si="39"/>
        <v>4</v>
      </c>
    </row>
    <row r="626" spans="1:15" x14ac:dyDescent="0.25">
      <c r="A626" t="s">
        <v>1291</v>
      </c>
      <c r="B626" s="2">
        <v>44943</v>
      </c>
      <c r="C626" t="s">
        <v>24</v>
      </c>
      <c r="D626" t="s">
        <v>25</v>
      </c>
      <c r="E626">
        <v>0</v>
      </c>
      <c r="F626">
        <v>3567.5</v>
      </c>
      <c r="G626" t="s">
        <v>8</v>
      </c>
      <c r="H626" t="s">
        <v>51</v>
      </c>
      <c r="I626" t="s">
        <v>1292</v>
      </c>
      <c r="J626" t="s">
        <v>36</v>
      </c>
      <c r="K626" s="4">
        <f>VLOOKUP(J626,Exchange_Rates!A:B,2,FALSE)</f>
        <v>1.08</v>
      </c>
      <c r="L626" s="4">
        <f t="shared" si="36"/>
        <v>0</v>
      </c>
      <c r="M626" s="4">
        <f t="shared" si="37"/>
        <v>3852.9</v>
      </c>
      <c r="N626" s="4">
        <f t="shared" si="38"/>
        <v>2023</v>
      </c>
      <c r="O626" s="4">
        <f t="shared" si="39"/>
        <v>1</v>
      </c>
    </row>
    <row r="627" spans="1:15" x14ac:dyDescent="0.25">
      <c r="A627" t="s">
        <v>1293</v>
      </c>
      <c r="B627" s="2">
        <v>45338</v>
      </c>
      <c r="C627" t="s">
        <v>24</v>
      </c>
      <c r="D627" t="s">
        <v>25</v>
      </c>
      <c r="E627">
        <v>0</v>
      </c>
      <c r="F627">
        <v>1073.3499999999999</v>
      </c>
      <c r="G627" t="s">
        <v>9</v>
      </c>
      <c r="H627" t="s">
        <v>26</v>
      </c>
      <c r="I627" t="s">
        <v>1294</v>
      </c>
      <c r="J627" t="s">
        <v>64</v>
      </c>
      <c r="K627" s="4">
        <f>VLOOKUP(J627,Exchange_Rates!A:B,2,FALSE)</f>
        <v>0.73</v>
      </c>
      <c r="L627" s="4">
        <f t="shared" si="36"/>
        <v>0</v>
      </c>
      <c r="M627" s="4">
        <f t="shared" si="37"/>
        <v>783.54549999999995</v>
      </c>
      <c r="N627" s="4">
        <f t="shared" si="38"/>
        <v>2024</v>
      </c>
      <c r="O627" s="4">
        <f t="shared" si="39"/>
        <v>1</v>
      </c>
    </row>
    <row r="628" spans="1:15" x14ac:dyDescent="0.25">
      <c r="A628" t="s">
        <v>1295</v>
      </c>
      <c r="B628" s="2">
        <v>45709</v>
      </c>
      <c r="C628" t="s">
        <v>38</v>
      </c>
      <c r="D628" t="s">
        <v>39</v>
      </c>
      <c r="E628">
        <v>1340.18</v>
      </c>
      <c r="F628">
        <v>0</v>
      </c>
      <c r="G628" t="s">
        <v>11</v>
      </c>
      <c r="H628" t="s">
        <v>26</v>
      </c>
      <c r="I628" t="s">
        <v>1296</v>
      </c>
      <c r="J628" t="s">
        <v>45</v>
      </c>
      <c r="K628" s="4">
        <f>VLOOKUP(J628,Exchange_Rates!A:B,2,FALSE)</f>
        <v>1</v>
      </c>
      <c r="L628" s="4">
        <f t="shared" si="36"/>
        <v>1340.18</v>
      </c>
      <c r="M628" s="4">
        <f t="shared" si="37"/>
        <v>0</v>
      </c>
      <c r="N628" s="4">
        <f t="shared" si="38"/>
        <v>2025</v>
      </c>
      <c r="O628" s="4">
        <f t="shared" si="39"/>
        <v>1</v>
      </c>
    </row>
    <row r="629" spans="1:15" x14ac:dyDescent="0.25">
      <c r="A629" t="s">
        <v>1297</v>
      </c>
      <c r="B629" s="2">
        <v>45367</v>
      </c>
      <c r="C629" t="s">
        <v>60</v>
      </c>
      <c r="D629" t="s">
        <v>61</v>
      </c>
      <c r="E629">
        <v>0</v>
      </c>
      <c r="F629">
        <v>2847.98</v>
      </c>
      <c r="G629" t="s">
        <v>11</v>
      </c>
      <c r="H629" t="s">
        <v>62</v>
      </c>
      <c r="I629" t="s">
        <v>1298</v>
      </c>
      <c r="J629" t="s">
        <v>45</v>
      </c>
      <c r="K629" s="4">
        <f>VLOOKUP(J629,Exchange_Rates!A:B,2,FALSE)</f>
        <v>1</v>
      </c>
      <c r="L629" s="4">
        <f t="shared" si="36"/>
        <v>0</v>
      </c>
      <c r="M629" s="4">
        <f t="shared" si="37"/>
        <v>2847.98</v>
      </c>
      <c r="N629" s="4">
        <f t="shared" si="38"/>
        <v>2024</v>
      </c>
      <c r="O629" s="4">
        <f t="shared" si="39"/>
        <v>1</v>
      </c>
    </row>
    <row r="630" spans="1:15" x14ac:dyDescent="0.25">
      <c r="A630" t="s">
        <v>1299</v>
      </c>
      <c r="B630" s="2">
        <v>45681</v>
      </c>
      <c r="C630" t="s">
        <v>30</v>
      </c>
      <c r="D630" t="s">
        <v>31</v>
      </c>
      <c r="E630">
        <v>1084.3800000000001</v>
      </c>
      <c r="F630">
        <v>0</v>
      </c>
      <c r="G630" t="s">
        <v>13</v>
      </c>
      <c r="H630" t="s">
        <v>26</v>
      </c>
      <c r="I630" t="s">
        <v>1300</v>
      </c>
      <c r="J630" t="s">
        <v>28</v>
      </c>
      <c r="K630" s="4">
        <f>VLOOKUP(J630,Exchange_Rates!A:B,2,FALSE)</f>
        <v>1.27</v>
      </c>
      <c r="L630" s="4">
        <f t="shared" si="36"/>
        <v>1377.1626000000001</v>
      </c>
      <c r="M630" s="4">
        <f t="shared" si="37"/>
        <v>0</v>
      </c>
      <c r="N630" s="4">
        <f t="shared" si="38"/>
        <v>2025</v>
      </c>
      <c r="O630" s="4">
        <f t="shared" si="39"/>
        <v>1</v>
      </c>
    </row>
    <row r="631" spans="1:15" x14ac:dyDescent="0.25">
      <c r="A631" t="s">
        <v>1301</v>
      </c>
      <c r="B631" s="2">
        <v>45809</v>
      </c>
      <c r="C631" t="s">
        <v>30</v>
      </c>
      <c r="D631" t="s">
        <v>31</v>
      </c>
      <c r="E631">
        <v>1437.11</v>
      </c>
      <c r="F631">
        <v>0</v>
      </c>
      <c r="G631" t="s">
        <v>8</v>
      </c>
      <c r="H631" t="s">
        <v>51</v>
      </c>
      <c r="I631" t="s">
        <v>1302</v>
      </c>
      <c r="J631" t="s">
        <v>45</v>
      </c>
      <c r="K631" s="4">
        <f>VLOOKUP(J631,Exchange_Rates!A:B,2,FALSE)</f>
        <v>1</v>
      </c>
      <c r="L631" s="4">
        <f t="shared" si="36"/>
        <v>1437.11</v>
      </c>
      <c r="M631" s="4">
        <f t="shared" si="37"/>
        <v>0</v>
      </c>
      <c r="N631" s="4">
        <f t="shared" si="38"/>
        <v>2025</v>
      </c>
      <c r="O631" s="4">
        <f t="shared" si="39"/>
        <v>2</v>
      </c>
    </row>
    <row r="632" spans="1:15" x14ac:dyDescent="0.25">
      <c r="A632" t="s">
        <v>1303</v>
      </c>
      <c r="B632" s="2">
        <v>45470</v>
      </c>
      <c r="C632" t="s">
        <v>24</v>
      </c>
      <c r="D632" t="s">
        <v>25</v>
      </c>
      <c r="E632">
        <v>0</v>
      </c>
      <c r="F632">
        <v>4116.3900000000003</v>
      </c>
      <c r="G632" t="s">
        <v>9</v>
      </c>
      <c r="H632" t="s">
        <v>62</v>
      </c>
      <c r="I632" t="s">
        <v>1304</v>
      </c>
      <c r="J632" t="s">
        <v>28</v>
      </c>
      <c r="K632" s="4">
        <f>VLOOKUP(J632,Exchange_Rates!A:B,2,FALSE)</f>
        <v>1.27</v>
      </c>
      <c r="L632" s="4">
        <f t="shared" si="36"/>
        <v>0</v>
      </c>
      <c r="M632" s="4">
        <f t="shared" si="37"/>
        <v>5227.8153000000002</v>
      </c>
      <c r="N632" s="4">
        <f t="shared" si="38"/>
        <v>2024</v>
      </c>
      <c r="O632" s="4">
        <f t="shared" si="39"/>
        <v>2</v>
      </c>
    </row>
    <row r="633" spans="1:15" x14ac:dyDescent="0.25">
      <c r="A633" t="s">
        <v>1305</v>
      </c>
      <c r="B633" s="2">
        <v>44979</v>
      </c>
      <c r="C633" t="s">
        <v>49</v>
      </c>
      <c r="D633" t="s">
        <v>50</v>
      </c>
      <c r="E633">
        <v>1732.79</v>
      </c>
      <c r="F633">
        <v>0</v>
      </c>
      <c r="G633" t="s">
        <v>9</v>
      </c>
      <c r="H633" t="s">
        <v>40</v>
      </c>
      <c r="I633" t="s">
        <v>1306</v>
      </c>
      <c r="J633" t="s">
        <v>64</v>
      </c>
      <c r="K633" s="4">
        <f>VLOOKUP(J633,Exchange_Rates!A:B,2,FALSE)</f>
        <v>0.73</v>
      </c>
      <c r="L633" s="4">
        <f t="shared" si="36"/>
        <v>1264.9367</v>
      </c>
      <c r="M633" s="4">
        <f t="shared" si="37"/>
        <v>0</v>
      </c>
      <c r="N633" s="4">
        <f t="shared" si="38"/>
        <v>2023</v>
      </c>
      <c r="O633" s="4">
        <f t="shared" si="39"/>
        <v>1</v>
      </c>
    </row>
    <row r="634" spans="1:15" x14ac:dyDescent="0.25">
      <c r="A634" t="s">
        <v>1307</v>
      </c>
      <c r="B634" s="2">
        <v>45298</v>
      </c>
      <c r="C634" t="s">
        <v>30</v>
      </c>
      <c r="D634" t="s">
        <v>31</v>
      </c>
      <c r="E634">
        <v>1107.71</v>
      </c>
      <c r="F634">
        <v>0</v>
      </c>
      <c r="G634" t="s">
        <v>13</v>
      </c>
      <c r="H634" t="s">
        <v>34</v>
      </c>
      <c r="I634" t="s">
        <v>1308</v>
      </c>
      <c r="J634" t="s">
        <v>28</v>
      </c>
      <c r="K634" s="4">
        <f>VLOOKUP(J634,Exchange_Rates!A:B,2,FALSE)</f>
        <v>1.27</v>
      </c>
      <c r="L634" s="4">
        <f t="shared" si="36"/>
        <v>1406.7917</v>
      </c>
      <c r="M634" s="4">
        <f t="shared" si="37"/>
        <v>0</v>
      </c>
      <c r="N634" s="4">
        <f t="shared" si="38"/>
        <v>2024</v>
      </c>
      <c r="O634" s="4">
        <f t="shared" si="39"/>
        <v>1</v>
      </c>
    </row>
    <row r="635" spans="1:15" x14ac:dyDescent="0.25">
      <c r="A635" t="s">
        <v>1309</v>
      </c>
      <c r="B635" s="2">
        <v>45145</v>
      </c>
      <c r="C635" t="s">
        <v>60</v>
      </c>
      <c r="D635" t="s">
        <v>61</v>
      </c>
      <c r="E635">
        <v>0</v>
      </c>
      <c r="F635">
        <v>303.27</v>
      </c>
      <c r="G635" t="s">
        <v>9</v>
      </c>
      <c r="H635" t="s">
        <v>51</v>
      </c>
      <c r="I635" t="s">
        <v>1310</v>
      </c>
      <c r="J635" t="s">
        <v>42</v>
      </c>
      <c r="K635" s="4">
        <f>VLOOKUP(J635,Exchange_Rates!A:B,2,FALSE)</f>
        <v>0.66</v>
      </c>
      <c r="L635" s="4">
        <f t="shared" si="36"/>
        <v>0</v>
      </c>
      <c r="M635" s="4">
        <f t="shared" si="37"/>
        <v>200.15819999999999</v>
      </c>
      <c r="N635" s="4">
        <f t="shared" si="38"/>
        <v>2023</v>
      </c>
      <c r="O635" s="4">
        <f t="shared" si="39"/>
        <v>3</v>
      </c>
    </row>
    <row r="636" spans="1:15" x14ac:dyDescent="0.25">
      <c r="A636" t="s">
        <v>1311</v>
      </c>
      <c r="B636" s="2">
        <v>44933</v>
      </c>
      <c r="C636" t="s">
        <v>30</v>
      </c>
      <c r="D636" t="s">
        <v>31</v>
      </c>
      <c r="E636">
        <v>608.84</v>
      </c>
      <c r="F636">
        <v>0</v>
      </c>
      <c r="G636" t="s">
        <v>13</v>
      </c>
      <c r="H636" t="s">
        <v>62</v>
      </c>
      <c r="I636" t="s">
        <v>1312</v>
      </c>
      <c r="J636" t="s">
        <v>42</v>
      </c>
      <c r="K636" s="4">
        <f>VLOOKUP(J636,Exchange_Rates!A:B,2,FALSE)</f>
        <v>0.66</v>
      </c>
      <c r="L636" s="4">
        <f t="shared" si="36"/>
        <v>401.83440000000002</v>
      </c>
      <c r="M636" s="4">
        <f t="shared" si="37"/>
        <v>0</v>
      </c>
      <c r="N636" s="4">
        <f t="shared" si="38"/>
        <v>2023</v>
      </c>
      <c r="O636" s="4">
        <f t="shared" si="39"/>
        <v>1</v>
      </c>
    </row>
    <row r="637" spans="1:15" x14ac:dyDescent="0.25">
      <c r="A637" t="s">
        <v>1313</v>
      </c>
      <c r="B637" s="2">
        <v>45104</v>
      </c>
      <c r="C637" t="s">
        <v>38</v>
      </c>
      <c r="D637" t="s">
        <v>39</v>
      </c>
      <c r="E637">
        <v>1438.43</v>
      </c>
      <c r="F637">
        <v>0</v>
      </c>
      <c r="G637" t="s">
        <v>9</v>
      </c>
      <c r="H637" t="s">
        <v>40</v>
      </c>
      <c r="I637" t="s">
        <v>1314</v>
      </c>
      <c r="J637" t="s">
        <v>64</v>
      </c>
      <c r="K637" s="4">
        <f>VLOOKUP(J637,Exchange_Rates!A:B,2,FALSE)</f>
        <v>0.73</v>
      </c>
      <c r="L637" s="4">
        <f t="shared" si="36"/>
        <v>1050.0539000000001</v>
      </c>
      <c r="M637" s="4">
        <f t="shared" si="37"/>
        <v>0</v>
      </c>
      <c r="N637" s="4">
        <f t="shared" si="38"/>
        <v>2023</v>
      </c>
      <c r="O637" s="4">
        <f t="shared" si="39"/>
        <v>2</v>
      </c>
    </row>
    <row r="638" spans="1:15" x14ac:dyDescent="0.25">
      <c r="A638" t="s">
        <v>1315</v>
      </c>
      <c r="B638" s="2">
        <v>44989</v>
      </c>
      <c r="C638" t="s">
        <v>24</v>
      </c>
      <c r="D638" t="s">
        <v>25</v>
      </c>
      <c r="E638">
        <v>0</v>
      </c>
      <c r="F638">
        <v>1141.46</v>
      </c>
      <c r="G638" t="s">
        <v>8</v>
      </c>
      <c r="H638" t="s">
        <v>62</v>
      </c>
      <c r="I638" t="s">
        <v>1316</v>
      </c>
      <c r="J638" t="s">
        <v>36</v>
      </c>
      <c r="K638" s="4">
        <f>VLOOKUP(J638,Exchange_Rates!A:B,2,FALSE)</f>
        <v>1.08</v>
      </c>
      <c r="L638" s="4">
        <f t="shared" si="36"/>
        <v>0</v>
      </c>
      <c r="M638" s="4">
        <f t="shared" si="37"/>
        <v>1232.7768000000001</v>
      </c>
      <c r="N638" s="4">
        <f t="shared" si="38"/>
        <v>2023</v>
      </c>
      <c r="O638" s="4">
        <f t="shared" si="39"/>
        <v>1</v>
      </c>
    </row>
    <row r="639" spans="1:15" x14ac:dyDescent="0.25">
      <c r="A639" t="s">
        <v>1317</v>
      </c>
      <c r="B639" s="2">
        <v>45523</v>
      </c>
      <c r="C639" t="s">
        <v>38</v>
      </c>
      <c r="D639" t="s">
        <v>39</v>
      </c>
      <c r="E639">
        <v>1263.43</v>
      </c>
      <c r="F639">
        <v>0</v>
      </c>
      <c r="G639" t="s">
        <v>8</v>
      </c>
      <c r="H639" t="s">
        <v>34</v>
      </c>
      <c r="I639" t="s">
        <v>1318</v>
      </c>
      <c r="J639" t="s">
        <v>64</v>
      </c>
      <c r="K639" s="4">
        <f>VLOOKUP(J639,Exchange_Rates!A:B,2,FALSE)</f>
        <v>0.73</v>
      </c>
      <c r="L639" s="4">
        <f t="shared" si="36"/>
        <v>922.3039</v>
      </c>
      <c r="M639" s="4">
        <f t="shared" si="37"/>
        <v>0</v>
      </c>
      <c r="N639" s="4">
        <f t="shared" si="38"/>
        <v>2024</v>
      </c>
      <c r="O639" s="4">
        <f t="shared" si="39"/>
        <v>3</v>
      </c>
    </row>
    <row r="640" spans="1:15" x14ac:dyDescent="0.25">
      <c r="A640" t="s">
        <v>1319</v>
      </c>
      <c r="B640" s="2">
        <v>45121</v>
      </c>
      <c r="C640" t="s">
        <v>24</v>
      </c>
      <c r="D640" t="s">
        <v>25</v>
      </c>
      <c r="E640">
        <v>0</v>
      </c>
      <c r="F640">
        <v>3107.95</v>
      </c>
      <c r="G640" t="s">
        <v>9</v>
      </c>
      <c r="H640" t="s">
        <v>26</v>
      </c>
      <c r="I640" t="s">
        <v>1320</v>
      </c>
      <c r="J640" t="s">
        <v>28</v>
      </c>
      <c r="K640" s="4">
        <f>VLOOKUP(J640,Exchange_Rates!A:B,2,FALSE)</f>
        <v>1.27</v>
      </c>
      <c r="L640" s="4">
        <f t="shared" si="36"/>
        <v>0</v>
      </c>
      <c r="M640" s="4">
        <f t="shared" si="37"/>
        <v>3947.0964999999997</v>
      </c>
      <c r="N640" s="4">
        <f t="shared" si="38"/>
        <v>2023</v>
      </c>
      <c r="O640" s="4">
        <f t="shared" si="39"/>
        <v>3</v>
      </c>
    </row>
    <row r="641" spans="1:15" x14ac:dyDescent="0.25">
      <c r="A641" t="s">
        <v>1321</v>
      </c>
      <c r="B641" s="2">
        <v>45589</v>
      </c>
      <c r="C641" t="s">
        <v>30</v>
      </c>
      <c r="D641" t="s">
        <v>31</v>
      </c>
      <c r="E641">
        <v>1600.99</v>
      </c>
      <c r="F641">
        <v>0</v>
      </c>
      <c r="G641" t="s">
        <v>8</v>
      </c>
      <c r="H641" t="s">
        <v>62</v>
      </c>
      <c r="I641" t="s">
        <v>1322</v>
      </c>
      <c r="J641" t="s">
        <v>64</v>
      </c>
      <c r="K641" s="4">
        <f>VLOOKUP(J641,Exchange_Rates!A:B,2,FALSE)</f>
        <v>0.73</v>
      </c>
      <c r="L641" s="4">
        <f t="shared" si="36"/>
        <v>1168.7227</v>
      </c>
      <c r="M641" s="4">
        <f t="shared" si="37"/>
        <v>0</v>
      </c>
      <c r="N641" s="4">
        <f t="shared" si="38"/>
        <v>2024</v>
      </c>
      <c r="O641" s="4">
        <f t="shared" si="39"/>
        <v>4</v>
      </c>
    </row>
    <row r="642" spans="1:15" x14ac:dyDescent="0.25">
      <c r="A642" t="s">
        <v>1323</v>
      </c>
      <c r="B642" s="2">
        <v>45632</v>
      </c>
      <c r="C642" t="s">
        <v>30</v>
      </c>
      <c r="D642" t="s">
        <v>31</v>
      </c>
      <c r="E642">
        <v>563.6</v>
      </c>
      <c r="F642">
        <v>0</v>
      </c>
      <c r="G642" t="s">
        <v>11</v>
      </c>
      <c r="H642" t="s">
        <v>51</v>
      </c>
      <c r="I642" t="s">
        <v>1324</v>
      </c>
      <c r="J642" t="s">
        <v>45</v>
      </c>
      <c r="K642" s="4">
        <f>VLOOKUP(J642,Exchange_Rates!A:B,2,FALSE)</f>
        <v>1</v>
      </c>
      <c r="L642" s="4">
        <f t="shared" si="36"/>
        <v>563.6</v>
      </c>
      <c r="M642" s="4">
        <f t="shared" si="37"/>
        <v>0</v>
      </c>
      <c r="N642" s="4">
        <f t="shared" si="38"/>
        <v>2024</v>
      </c>
      <c r="O642" s="4">
        <f t="shared" si="39"/>
        <v>4</v>
      </c>
    </row>
    <row r="643" spans="1:15" x14ac:dyDescent="0.25">
      <c r="A643" t="s">
        <v>1325</v>
      </c>
      <c r="B643" s="2">
        <v>45096</v>
      </c>
      <c r="C643" t="s">
        <v>30</v>
      </c>
      <c r="D643" t="s">
        <v>31</v>
      </c>
      <c r="E643">
        <v>961.83</v>
      </c>
      <c r="F643">
        <v>0</v>
      </c>
      <c r="G643" t="s">
        <v>12</v>
      </c>
      <c r="H643" t="s">
        <v>62</v>
      </c>
      <c r="I643" t="s">
        <v>1326</v>
      </c>
      <c r="J643" t="s">
        <v>28</v>
      </c>
      <c r="K643" s="4">
        <f>VLOOKUP(J643,Exchange_Rates!A:B,2,FALSE)</f>
        <v>1.27</v>
      </c>
      <c r="L643" s="4">
        <f t="shared" ref="L643:L706" si="40">E643*K643</f>
        <v>1221.5241000000001</v>
      </c>
      <c r="M643" s="4">
        <f t="shared" ref="M643:M706" si="41">F643*K643</f>
        <v>0</v>
      </c>
      <c r="N643" s="4">
        <f t="shared" ref="N643:N706" si="42">YEAR(B643)</f>
        <v>2023</v>
      </c>
      <c r="O643" s="4">
        <f t="shared" ref="O643:O706" si="43">ROUNDUP(MONTH(B643)/3,0)</f>
        <v>2</v>
      </c>
    </row>
    <row r="644" spans="1:15" x14ac:dyDescent="0.25">
      <c r="A644" t="s">
        <v>1327</v>
      </c>
      <c r="B644" s="2">
        <v>45779</v>
      </c>
      <c r="C644" t="s">
        <v>38</v>
      </c>
      <c r="D644" t="s">
        <v>39</v>
      </c>
      <c r="E644">
        <v>1455.41</v>
      </c>
      <c r="F644">
        <v>0</v>
      </c>
      <c r="G644" t="s">
        <v>8</v>
      </c>
      <c r="H644" t="s">
        <v>40</v>
      </c>
      <c r="I644" t="s">
        <v>1328</v>
      </c>
      <c r="J644" t="s">
        <v>45</v>
      </c>
      <c r="K644" s="4">
        <f>VLOOKUP(J644,Exchange_Rates!A:B,2,FALSE)</f>
        <v>1</v>
      </c>
      <c r="L644" s="4">
        <f t="shared" si="40"/>
        <v>1455.41</v>
      </c>
      <c r="M644" s="4">
        <f t="shared" si="41"/>
        <v>0</v>
      </c>
      <c r="N644" s="4">
        <f t="shared" si="42"/>
        <v>2025</v>
      </c>
      <c r="O644" s="4">
        <f t="shared" si="43"/>
        <v>2</v>
      </c>
    </row>
    <row r="645" spans="1:15" x14ac:dyDescent="0.25">
      <c r="A645" t="s">
        <v>1329</v>
      </c>
      <c r="B645" s="2">
        <v>44956</v>
      </c>
      <c r="C645" t="s">
        <v>30</v>
      </c>
      <c r="D645" t="s">
        <v>31</v>
      </c>
      <c r="E645">
        <v>1057.3599999999999</v>
      </c>
      <c r="F645">
        <v>0</v>
      </c>
      <c r="G645" t="s">
        <v>11</v>
      </c>
      <c r="H645" t="s">
        <v>34</v>
      </c>
      <c r="I645" t="s">
        <v>1330</v>
      </c>
      <c r="J645" t="s">
        <v>45</v>
      </c>
      <c r="K645" s="4">
        <f>VLOOKUP(J645,Exchange_Rates!A:B,2,FALSE)</f>
        <v>1</v>
      </c>
      <c r="L645" s="4">
        <f t="shared" si="40"/>
        <v>1057.3599999999999</v>
      </c>
      <c r="M645" s="4">
        <f t="shared" si="41"/>
        <v>0</v>
      </c>
      <c r="N645" s="4">
        <f t="shared" si="42"/>
        <v>2023</v>
      </c>
      <c r="O645" s="4">
        <f t="shared" si="43"/>
        <v>1</v>
      </c>
    </row>
    <row r="646" spans="1:15" x14ac:dyDescent="0.25">
      <c r="A646" t="s">
        <v>1331</v>
      </c>
      <c r="B646" s="2">
        <v>45432</v>
      </c>
      <c r="C646" t="s">
        <v>60</v>
      </c>
      <c r="D646" t="s">
        <v>61</v>
      </c>
      <c r="E646">
        <v>0</v>
      </c>
      <c r="F646">
        <v>3358.16</v>
      </c>
      <c r="G646" t="s">
        <v>9</v>
      </c>
      <c r="H646" t="s">
        <v>62</v>
      </c>
      <c r="I646" t="s">
        <v>1332</v>
      </c>
      <c r="J646" t="s">
        <v>36</v>
      </c>
      <c r="K646" s="4">
        <f>VLOOKUP(J646,Exchange_Rates!A:B,2,FALSE)</f>
        <v>1.08</v>
      </c>
      <c r="L646" s="4">
        <f t="shared" si="40"/>
        <v>0</v>
      </c>
      <c r="M646" s="4">
        <f t="shared" si="41"/>
        <v>3626.8128000000002</v>
      </c>
      <c r="N646" s="4">
        <f t="shared" si="42"/>
        <v>2024</v>
      </c>
      <c r="O646" s="4">
        <f t="shared" si="43"/>
        <v>2</v>
      </c>
    </row>
    <row r="647" spans="1:15" x14ac:dyDescent="0.25">
      <c r="A647" t="s">
        <v>1333</v>
      </c>
      <c r="B647" s="2">
        <v>45055</v>
      </c>
      <c r="C647" t="s">
        <v>60</v>
      </c>
      <c r="D647" t="s">
        <v>61</v>
      </c>
      <c r="E647">
        <v>0</v>
      </c>
      <c r="F647">
        <v>1525.47</v>
      </c>
      <c r="G647" t="s">
        <v>10</v>
      </c>
      <c r="H647" t="s">
        <v>51</v>
      </c>
      <c r="I647" t="s">
        <v>1334</v>
      </c>
      <c r="J647" t="s">
        <v>28</v>
      </c>
      <c r="K647" s="4">
        <f>VLOOKUP(J647,Exchange_Rates!A:B,2,FALSE)</f>
        <v>1.27</v>
      </c>
      <c r="L647" s="4">
        <f t="shared" si="40"/>
        <v>0</v>
      </c>
      <c r="M647" s="4">
        <f t="shared" si="41"/>
        <v>1937.3469</v>
      </c>
      <c r="N647" s="4">
        <f t="shared" si="42"/>
        <v>2023</v>
      </c>
      <c r="O647" s="4">
        <f t="shared" si="43"/>
        <v>2</v>
      </c>
    </row>
    <row r="648" spans="1:15" x14ac:dyDescent="0.25">
      <c r="A648" t="s">
        <v>1335</v>
      </c>
      <c r="B648" s="2">
        <v>44993</v>
      </c>
      <c r="C648" t="s">
        <v>49</v>
      </c>
      <c r="D648" t="s">
        <v>50</v>
      </c>
      <c r="E648">
        <v>707.2</v>
      </c>
      <c r="F648">
        <v>0</v>
      </c>
      <c r="G648" t="s">
        <v>8</v>
      </c>
      <c r="H648" t="s">
        <v>26</v>
      </c>
      <c r="I648" t="s">
        <v>1336</v>
      </c>
      <c r="J648" t="s">
        <v>36</v>
      </c>
      <c r="K648" s="4">
        <f>VLOOKUP(J648,Exchange_Rates!A:B,2,FALSE)</f>
        <v>1.08</v>
      </c>
      <c r="L648" s="4">
        <f t="shared" si="40"/>
        <v>763.77600000000007</v>
      </c>
      <c r="M648" s="4">
        <f t="shared" si="41"/>
        <v>0</v>
      </c>
      <c r="N648" s="4">
        <f t="shared" si="42"/>
        <v>2023</v>
      </c>
      <c r="O648" s="4">
        <f t="shared" si="43"/>
        <v>1</v>
      </c>
    </row>
    <row r="649" spans="1:15" x14ac:dyDescent="0.25">
      <c r="A649" t="s">
        <v>1337</v>
      </c>
      <c r="B649" s="2">
        <v>45227</v>
      </c>
      <c r="C649" t="s">
        <v>38</v>
      </c>
      <c r="D649" t="s">
        <v>39</v>
      </c>
      <c r="E649">
        <v>1209.72</v>
      </c>
      <c r="F649">
        <v>0</v>
      </c>
      <c r="G649" t="s">
        <v>10</v>
      </c>
      <c r="H649" t="s">
        <v>40</v>
      </c>
      <c r="I649" t="s">
        <v>1338</v>
      </c>
      <c r="J649" t="s">
        <v>42</v>
      </c>
      <c r="K649" s="4">
        <f>VLOOKUP(J649,Exchange_Rates!A:B,2,FALSE)</f>
        <v>0.66</v>
      </c>
      <c r="L649" s="4">
        <f t="shared" si="40"/>
        <v>798.41520000000003</v>
      </c>
      <c r="M649" s="4">
        <f t="shared" si="41"/>
        <v>0</v>
      </c>
      <c r="N649" s="4">
        <f t="shared" si="42"/>
        <v>2023</v>
      </c>
      <c r="O649" s="4">
        <f t="shared" si="43"/>
        <v>4</v>
      </c>
    </row>
    <row r="650" spans="1:15" x14ac:dyDescent="0.25">
      <c r="A650" t="s">
        <v>1339</v>
      </c>
      <c r="B650" s="2">
        <v>45441</v>
      </c>
      <c r="C650" t="s">
        <v>30</v>
      </c>
      <c r="D650" t="s">
        <v>31</v>
      </c>
      <c r="E650">
        <v>1696.57</v>
      </c>
      <c r="F650">
        <v>0</v>
      </c>
      <c r="G650" t="s">
        <v>11</v>
      </c>
      <c r="H650" t="s">
        <v>40</v>
      </c>
      <c r="I650" t="s">
        <v>1340</v>
      </c>
      <c r="J650" t="s">
        <v>28</v>
      </c>
      <c r="K650" s="4">
        <f>VLOOKUP(J650,Exchange_Rates!A:B,2,FALSE)</f>
        <v>1.27</v>
      </c>
      <c r="L650" s="4">
        <f t="shared" si="40"/>
        <v>2154.6439</v>
      </c>
      <c r="M650" s="4">
        <f t="shared" si="41"/>
        <v>0</v>
      </c>
      <c r="N650" s="4">
        <f t="shared" si="42"/>
        <v>2024</v>
      </c>
      <c r="O650" s="4">
        <f t="shared" si="43"/>
        <v>2</v>
      </c>
    </row>
    <row r="651" spans="1:15" x14ac:dyDescent="0.25">
      <c r="A651" t="s">
        <v>1341</v>
      </c>
      <c r="B651" s="2">
        <v>45341</v>
      </c>
      <c r="C651" t="s">
        <v>24</v>
      </c>
      <c r="D651" t="s">
        <v>25</v>
      </c>
      <c r="E651">
        <v>0</v>
      </c>
      <c r="F651">
        <v>2657.38</v>
      </c>
      <c r="G651" t="s">
        <v>13</v>
      </c>
      <c r="H651" t="s">
        <v>34</v>
      </c>
      <c r="I651" t="s">
        <v>1342</v>
      </c>
      <c r="J651" t="s">
        <v>28</v>
      </c>
      <c r="K651" s="4">
        <f>VLOOKUP(J651,Exchange_Rates!A:B,2,FALSE)</f>
        <v>1.27</v>
      </c>
      <c r="L651" s="4">
        <f t="shared" si="40"/>
        <v>0</v>
      </c>
      <c r="M651" s="4">
        <f t="shared" si="41"/>
        <v>3374.8726000000001</v>
      </c>
      <c r="N651" s="4">
        <f t="shared" si="42"/>
        <v>2024</v>
      </c>
      <c r="O651" s="4">
        <f t="shared" si="43"/>
        <v>1</v>
      </c>
    </row>
    <row r="652" spans="1:15" x14ac:dyDescent="0.25">
      <c r="A652" t="s">
        <v>1343</v>
      </c>
      <c r="B652" s="2">
        <v>45742</v>
      </c>
      <c r="C652" t="s">
        <v>24</v>
      </c>
      <c r="D652" t="s">
        <v>25</v>
      </c>
      <c r="E652">
        <v>0</v>
      </c>
      <c r="F652">
        <v>4294.0600000000004</v>
      </c>
      <c r="G652" t="s">
        <v>9</v>
      </c>
      <c r="H652" t="s">
        <v>51</v>
      </c>
      <c r="I652" t="s">
        <v>1344</v>
      </c>
      <c r="J652" t="s">
        <v>45</v>
      </c>
      <c r="K652" s="4">
        <f>VLOOKUP(J652,Exchange_Rates!A:B,2,FALSE)</f>
        <v>1</v>
      </c>
      <c r="L652" s="4">
        <f t="shared" si="40"/>
        <v>0</v>
      </c>
      <c r="M652" s="4">
        <f t="shared" si="41"/>
        <v>4294.0600000000004</v>
      </c>
      <c r="N652" s="4">
        <f t="shared" si="42"/>
        <v>2025</v>
      </c>
      <c r="O652" s="4">
        <f t="shared" si="43"/>
        <v>1</v>
      </c>
    </row>
    <row r="653" spans="1:15" x14ac:dyDescent="0.25">
      <c r="A653" t="s">
        <v>1345</v>
      </c>
      <c r="B653" s="2">
        <v>45253</v>
      </c>
      <c r="C653" t="s">
        <v>24</v>
      </c>
      <c r="D653" t="s">
        <v>25</v>
      </c>
      <c r="E653">
        <v>0</v>
      </c>
      <c r="F653">
        <v>451.28</v>
      </c>
      <c r="G653" t="s">
        <v>8</v>
      </c>
      <c r="H653" t="s">
        <v>34</v>
      </c>
      <c r="I653" t="s">
        <v>1346</v>
      </c>
      <c r="J653" t="s">
        <v>45</v>
      </c>
      <c r="K653" s="4">
        <f>VLOOKUP(J653,Exchange_Rates!A:B,2,FALSE)</f>
        <v>1</v>
      </c>
      <c r="L653" s="4">
        <f t="shared" si="40"/>
        <v>0</v>
      </c>
      <c r="M653" s="4">
        <f t="shared" si="41"/>
        <v>451.28</v>
      </c>
      <c r="N653" s="4">
        <f t="shared" si="42"/>
        <v>2023</v>
      </c>
      <c r="O653" s="4">
        <f t="shared" si="43"/>
        <v>4</v>
      </c>
    </row>
    <row r="654" spans="1:15" x14ac:dyDescent="0.25">
      <c r="A654" t="s">
        <v>1347</v>
      </c>
      <c r="B654" s="2">
        <v>45527</v>
      </c>
      <c r="C654" t="s">
        <v>49</v>
      </c>
      <c r="D654" t="s">
        <v>50</v>
      </c>
      <c r="E654">
        <v>1730.45</v>
      </c>
      <c r="F654">
        <v>0</v>
      </c>
      <c r="G654" t="s">
        <v>9</v>
      </c>
      <c r="H654" t="s">
        <v>51</v>
      </c>
      <c r="I654" t="s">
        <v>1348</v>
      </c>
      <c r="J654" t="s">
        <v>45</v>
      </c>
      <c r="K654" s="4">
        <f>VLOOKUP(J654,Exchange_Rates!A:B,2,FALSE)</f>
        <v>1</v>
      </c>
      <c r="L654" s="4">
        <f t="shared" si="40"/>
        <v>1730.45</v>
      </c>
      <c r="M654" s="4">
        <f t="shared" si="41"/>
        <v>0</v>
      </c>
      <c r="N654" s="4">
        <f t="shared" si="42"/>
        <v>2024</v>
      </c>
      <c r="O654" s="4">
        <f t="shared" si="43"/>
        <v>3</v>
      </c>
    </row>
    <row r="655" spans="1:15" x14ac:dyDescent="0.25">
      <c r="A655" t="s">
        <v>1349</v>
      </c>
      <c r="B655" s="2">
        <v>44927</v>
      </c>
      <c r="C655" t="s">
        <v>24</v>
      </c>
      <c r="D655" t="s">
        <v>25</v>
      </c>
      <c r="E655">
        <v>0</v>
      </c>
      <c r="F655">
        <v>4570.1099999999997</v>
      </c>
      <c r="G655" t="s">
        <v>8</v>
      </c>
      <c r="H655" t="s">
        <v>62</v>
      </c>
      <c r="I655" t="s">
        <v>1350</v>
      </c>
      <c r="J655" t="s">
        <v>45</v>
      </c>
      <c r="K655" s="4">
        <f>VLOOKUP(J655,Exchange_Rates!A:B,2,FALSE)</f>
        <v>1</v>
      </c>
      <c r="L655" s="4">
        <f t="shared" si="40"/>
        <v>0</v>
      </c>
      <c r="M655" s="4">
        <f t="shared" si="41"/>
        <v>4570.1099999999997</v>
      </c>
      <c r="N655" s="4">
        <f t="shared" si="42"/>
        <v>2023</v>
      </c>
      <c r="O655" s="4">
        <f t="shared" si="43"/>
        <v>1</v>
      </c>
    </row>
    <row r="656" spans="1:15" x14ac:dyDescent="0.25">
      <c r="A656" t="s">
        <v>1351</v>
      </c>
      <c r="B656" s="2">
        <v>45638</v>
      </c>
      <c r="C656" t="s">
        <v>49</v>
      </c>
      <c r="D656" t="s">
        <v>50</v>
      </c>
      <c r="E656">
        <v>1200.67</v>
      </c>
      <c r="F656">
        <v>0</v>
      </c>
      <c r="G656" t="s">
        <v>13</v>
      </c>
      <c r="H656" t="s">
        <v>26</v>
      </c>
      <c r="I656" t="s">
        <v>1352</v>
      </c>
      <c r="J656" t="s">
        <v>64</v>
      </c>
      <c r="K656" s="4">
        <f>VLOOKUP(J656,Exchange_Rates!A:B,2,FALSE)</f>
        <v>0.73</v>
      </c>
      <c r="L656" s="4">
        <f t="shared" si="40"/>
        <v>876.48910000000001</v>
      </c>
      <c r="M656" s="4">
        <f t="shared" si="41"/>
        <v>0</v>
      </c>
      <c r="N656" s="4">
        <f t="shared" si="42"/>
        <v>2024</v>
      </c>
      <c r="O656" s="4">
        <f t="shared" si="43"/>
        <v>4</v>
      </c>
    </row>
    <row r="657" spans="1:15" x14ac:dyDescent="0.25">
      <c r="A657" t="s">
        <v>1353</v>
      </c>
      <c r="B657" s="2">
        <v>45388</v>
      </c>
      <c r="C657" t="s">
        <v>30</v>
      </c>
      <c r="D657" t="s">
        <v>31</v>
      </c>
      <c r="E657">
        <v>1429.26</v>
      </c>
      <c r="F657">
        <v>0</v>
      </c>
      <c r="G657" t="s">
        <v>13</v>
      </c>
      <c r="H657" t="s">
        <v>51</v>
      </c>
      <c r="I657" t="s">
        <v>1354</v>
      </c>
      <c r="J657" t="s">
        <v>36</v>
      </c>
      <c r="K657" s="4">
        <f>VLOOKUP(J657,Exchange_Rates!A:B,2,FALSE)</f>
        <v>1.08</v>
      </c>
      <c r="L657" s="4">
        <f t="shared" si="40"/>
        <v>1543.6008000000002</v>
      </c>
      <c r="M657" s="4">
        <f t="shared" si="41"/>
        <v>0</v>
      </c>
      <c r="N657" s="4">
        <f t="shared" si="42"/>
        <v>2024</v>
      </c>
      <c r="O657" s="4">
        <f t="shared" si="43"/>
        <v>2</v>
      </c>
    </row>
    <row r="658" spans="1:15" x14ac:dyDescent="0.25">
      <c r="A658" t="s">
        <v>1355</v>
      </c>
      <c r="B658" s="2">
        <v>45143</v>
      </c>
      <c r="C658" t="s">
        <v>49</v>
      </c>
      <c r="D658" t="s">
        <v>50</v>
      </c>
      <c r="E658">
        <v>1489.09</v>
      </c>
      <c r="F658">
        <v>0</v>
      </c>
      <c r="G658" t="s">
        <v>11</v>
      </c>
      <c r="H658" t="s">
        <v>40</v>
      </c>
      <c r="I658" t="s">
        <v>1356</v>
      </c>
      <c r="J658" t="s">
        <v>36</v>
      </c>
      <c r="K658" s="4">
        <f>VLOOKUP(J658,Exchange_Rates!A:B,2,FALSE)</f>
        <v>1.08</v>
      </c>
      <c r="L658" s="4">
        <f t="shared" si="40"/>
        <v>1608.2172</v>
      </c>
      <c r="M658" s="4">
        <f t="shared" si="41"/>
        <v>0</v>
      </c>
      <c r="N658" s="4">
        <f t="shared" si="42"/>
        <v>2023</v>
      </c>
      <c r="O658" s="4">
        <f t="shared" si="43"/>
        <v>3</v>
      </c>
    </row>
    <row r="659" spans="1:15" x14ac:dyDescent="0.25">
      <c r="A659" t="s">
        <v>1357</v>
      </c>
      <c r="B659" s="2">
        <v>45438</v>
      </c>
      <c r="C659" t="s">
        <v>24</v>
      </c>
      <c r="D659" t="s">
        <v>25</v>
      </c>
      <c r="E659">
        <v>0</v>
      </c>
      <c r="F659">
        <v>1528.95</v>
      </c>
      <c r="G659" t="s">
        <v>12</v>
      </c>
      <c r="H659" t="s">
        <v>62</v>
      </c>
      <c r="I659" t="s">
        <v>1358</v>
      </c>
      <c r="J659" t="s">
        <v>64</v>
      </c>
      <c r="K659" s="4">
        <f>VLOOKUP(J659,Exchange_Rates!A:B,2,FALSE)</f>
        <v>0.73</v>
      </c>
      <c r="L659" s="4">
        <f t="shared" si="40"/>
        <v>0</v>
      </c>
      <c r="M659" s="4">
        <f t="shared" si="41"/>
        <v>1116.1334999999999</v>
      </c>
      <c r="N659" s="4">
        <f t="shared" si="42"/>
        <v>2024</v>
      </c>
      <c r="O659" s="4">
        <f t="shared" si="43"/>
        <v>2</v>
      </c>
    </row>
    <row r="660" spans="1:15" x14ac:dyDescent="0.25">
      <c r="A660" t="s">
        <v>1359</v>
      </c>
      <c r="B660" s="2">
        <v>45620</v>
      </c>
      <c r="C660" t="s">
        <v>60</v>
      </c>
      <c r="D660" t="s">
        <v>61</v>
      </c>
      <c r="E660">
        <v>0</v>
      </c>
      <c r="F660">
        <v>4139.3100000000004</v>
      </c>
      <c r="G660" t="s">
        <v>9</v>
      </c>
      <c r="H660" t="s">
        <v>34</v>
      </c>
      <c r="I660" t="s">
        <v>1360</v>
      </c>
      <c r="J660" t="s">
        <v>64</v>
      </c>
      <c r="K660" s="4">
        <f>VLOOKUP(J660,Exchange_Rates!A:B,2,FALSE)</f>
        <v>0.73</v>
      </c>
      <c r="L660" s="4">
        <f t="shared" si="40"/>
        <v>0</v>
      </c>
      <c r="M660" s="4">
        <f t="shared" si="41"/>
        <v>3021.6963000000001</v>
      </c>
      <c r="N660" s="4">
        <f t="shared" si="42"/>
        <v>2024</v>
      </c>
      <c r="O660" s="4">
        <f t="shared" si="43"/>
        <v>4</v>
      </c>
    </row>
    <row r="661" spans="1:15" x14ac:dyDescent="0.25">
      <c r="A661" t="s">
        <v>1361</v>
      </c>
      <c r="B661" s="2">
        <v>45463</v>
      </c>
      <c r="C661" t="s">
        <v>38</v>
      </c>
      <c r="D661" t="s">
        <v>39</v>
      </c>
      <c r="E661">
        <v>1781.01</v>
      </c>
      <c r="F661">
        <v>0</v>
      </c>
      <c r="G661" t="s">
        <v>11</v>
      </c>
      <c r="H661" t="s">
        <v>62</v>
      </c>
      <c r="I661" t="s">
        <v>1362</v>
      </c>
      <c r="J661" t="s">
        <v>64</v>
      </c>
      <c r="K661" s="4">
        <f>VLOOKUP(J661,Exchange_Rates!A:B,2,FALSE)</f>
        <v>0.73</v>
      </c>
      <c r="L661" s="4">
        <f t="shared" si="40"/>
        <v>1300.1372999999999</v>
      </c>
      <c r="M661" s="4">
        <f t="shared" si="41"/>
        <v>0</v>
      </c>
      <c r="N661" s="4">
        <f t="shared" si="42"/>
        <v>2024</v>
      </c>
      <c r="O661" s="4">
        <f t="shared" si="43"/>
        <v>2</v>
      </c>
    </row>
    <row r="662" spans="1:15" x14ac:dyDescent="0.25">
      <c r="A662" t="s">
        <v>1363</v>
      </c>
      <c r="B662" s="2">
        <v>45188</v>
      </c>
      <c r="C662" t="s">
        <v>30</v>
      </c>
      <c r="D662" t="s">
        <v>31</v>
      </c>
      <c r="E662">
        <v>1659.6</v>
      </c>
      <c r="F662">
        <v>0</v>
      </c>
      <c r="G662" t="s">
        <v>9</v>
      </c>
      <c r="H662" t="s">
        <v>51</v>
      </c>
      <c r="I662" t="s">
        <v>1364</v>
      </c>
      <c r="J662" t="s">
        <v>28</v>
      </c>
      <c r="K662" s="4">
        <f>VLOOKUP(J662,Exchange_Rates!A:B,2,FALSE)</f>
        <v>1.27</v>
      </c>
      <c r="L662" s="4">
        <f t="shared" si="40"/>
        <v>2107.692</v>
      </c>
      <c r="M662" s="4">
        <f t="shared" si="41"/>
        <v>0</v>
      </c>
      <c r="N662" s="4">
        <f t="shared" si="42"/>
        <v>2023</v>
      </c>
      <c r="O662" s="4">
        <f t="shared" si="43"/>
        <v>3</v>
      </c>
    </row>
    <row r="663" spans="1:15" x14ac:dyDescent="0.25">
      <c r="A663" t="s">
        <v>1365</v>
      </c>
      <c r="B663" s="2">
        <v>45777</v>
      </c>
      <c r="C663" t="s">
        <v>38</v>
      </c>
      <c r="D663" t="s">
        <v>39</v>
      </c>
      <c r="E663">
        <v>1220.3</v>
      </c>
      <c r="F663">
        <v>0</v>
      </c>
      <c r="G663" t="s">
        <v>10</v>
      </c>
      <c r="H663" t="s">
        <v>34</v>
      </c>
      <c r="I663" t="s">
        <v>1366</v>
      </c>
      <c r="J663" t="s">
        <v>45</v>
      </c>
      <c r="K663" s="4">
        <f>VLOOKUP(J663,Exchange_Rates!A:B,2,FALSE)</f>
        <v>1</v>
      </c>
      <c r="L663" s="4">
        <f t="shared" si="40"/>
        <v>1220.3</v>
      </c>
      <c r="M663" s="4">
        <f t="shared" si="41"/>
        <v>0</v>
      </c>
      <c r="N663" s="4">
        <f t="shared" si="42"/>
        <v>2025</v>
      </c>
      <c r="O663" s="4">
        <f t="shared" si="43"/>
        <v>2</v>
      </c>
    </row>
    <row r="664" spans="1:15" x14ac:dyDescent="0.25">
      <c r="A664" t="s">
        <v>1367</v>
      </c>
      <c r="B664" s="2">
        <v>45569</v>
      </c>
      <c r="C664" t="s">
        <v>30</v>
      </c>
      <c r="D664" t="s">
        <v>31</v>
      </c>
      <c r="E664">
        <v>1327.71</v>
      </c>
      <c r="F664">
        <v>0</v>
      </c>
      <c r="G664" t="s">
        <v>12</v>
      </c>
      <c r="H664" t="s">
        <v>51</v>
      </c>
      <c r="I664" t="s">
        <v>1368</v>
      </c>
      <c r="J664" t="s">
        <v>36</v>
      </c>
      <c r="K664" s="4">
        <f>VLOOKUP(J664,Exchange_Rates!A:B,2,FALSE)</f>
        <v>1.08</v>
      </c>
      <c r="L664" s="4">
        <f t="shared" si="40"/>
        <v>1433.9268000000002</v>
      </c>
      <c r="M664" s="4">
        <f t="shared" si="41"/>
        <v>0</v>
      </c>
      <c r="N664" s="4">
        <f t="shared" si="42"/>
        <v>2024</v>
      </c>
      <c r="O664" s="4">
        <f t="shared" si="43"/>
        <v>4</v>
      </c>
    </row>
    <row r="665" spans="1:15" x14ac:dyDescent="0.25">
      <c r="A665" t="s">
        <v>1369</v>
      </c>
      <c r="B665" s="2">
        <v>45631</v>
      </c>
      <c r="C665" t="s">
        <v>30</v>
      </c>
      <c r="D665" t="s">
        <v>31</v>
      </c>
      <c r="E665">
        <v>1760.57</v>
      </c>
      <c r="F665">
        <v>0</v>
      </c>
      <c r="G665" t="s">
        <v>12</v>
      </c>
      <c r="H665" t="s">
        <v>34</v>
      </c>
      <c r="I665" t="s">
        <v>1370</v>
      </c>
      <c r="J665" t="s">
        <v>28</v>
      </c>
      <c r="K665" s="4">
        <f>VLOOKUP(J665,Exchange_Rates!A:B,2,FALSE)</f>
        <v>1.27</v>
      </c>
      <c r="L665" s="4">
        <f t="shared" si="40"/>
        <v>2235.9238999999998</v>
      </c>
      <c r="M665" s="4">
        <f t="shared" si="41"/>
        <v>0</v>
      </c>
      <c r="N665" s="4">
        <f t="shared" si="42"/>
        <v>2024</v>
      </c>
      <c r="O665" s="4">
        <f t="shared" si="43"/>
        <v>4</v>
      </c>
    </row>
    <row r="666" spans="1:15" x14ac:dyDescent="0.25">
      <c r="A666" t="s">
        <v>1371</v>
      </c>
      <c r="B666" s="2">
        <v>45367</v>
      </c>
      <c r="C666" t="s">
        <v>38</v>
      </c>
      <c r="D666" t="s">
        <v>39</v>
      </c>
      <c r="E666">
        <v>832.19</v>
      </c>
      <c r="F666">
        <v>0</v>
      </c>
      <c r="G666" t="s">
        <v>10</v>
      </c>
      <c r="H666" t="s">
        <v>26</v>
      </c>
      <c r="I666" t="s">
        <v>1372</v>
      </c>
      <c r="J666" t="s">
        <v>42</v>
      </c>
      <c r="K666" s="4">
        <f>VLOOKUP(J666,Exchange_Rates!A:B,2,FALSE)</f>
        <v>0.66</v>
      </c>
      <c r="L666" s="4">
        <f t="shared" si="40"/>
        <v>549.24540000000002</v>
      </c>
      <c r="M666" s="4">
        <f t="shared" si="41"/>
        <v>0</v>
      </c>
      <c r="N666" s="4">
        <f t="shared" si="42"/>
        <v>2024</v>
      </c>
      <c r="O666" s="4">
        <f t="shared" si="43"/>
        <v>1</v>
      </c>
    </row>
    <row r="667" spans="1:15" x14ac:dyDescent="0.25">
      <c r="A667" t="s">
        <v>1373</v>
      </c>
      <c r="B667" s="2">
        <v>44951</v>
      </c>
      <c r="C667" t="s">
        <v>30</v>
      </c>
      <c r="D667" t="s">
        <v>31</v>
      </c>
      <c r="E667">
        <v>243.79</v>
      </c>
      <c r="F667">
        <v>0</v>
      </c>
      <c r="G667" t="s">
        <v>9</v>
      </c>
      <c r="H667" t="s">
        <v>40</v>
      </c>
      <c r="I667" t="s">
        <v>1374</v>
      </c>
      <c r="J667" t="s">
        <v>64</v>
      </c>
      <c r="K667" s="4">
        <f>VLOOKUP(J667,Exchange_Rates!A:B,2,FALSE)</f>
        <v>0.73</v>
      </c>
      <c r="L667" s="4">
        <f t="shared" si="40"/>
        <v>177.9667</v>
      </c>
      <c r="M667" s="4">
        <f t="shared" si="41"/>
        <v>0</v>
      </c>
      <c r="N667" s="4">
        <f t="shared" si="42"/>
        <v>2023</v>
      </c>
      <c r="O667" s="4">
        <f t="shared" si="43"/>
        <v>1</v>
      </c>
    </row>
    <row r="668" spans="1:15" x14ac:dyDescent="0.25">
      <c r="A668" t="s">
        <v>1375</v>
      </c>
      <c r="B668" s="2">
        <v>45770</v>
      </c>
      <c r="C668" t="s">
        <v>49</v>
      </c>
      <c r="D668" t="s">
        <v>50</v>
      </c>
      <c r="E668">
        <v>560.62</v>
      </c>
      <c r="F668">
        <v>0</v>
      </c>
      <c r="G668" t="s">
        <v>11</v>
      </c>
      <c r="H668" t="s">
        <v>34</v>
      </c>
      <c r="I668" t="s">
        <v>1376</v>
      </c>
      <c r="J668" t="s">
        <v>42</v>
      </c>
      <c r="K668" s="4">
        <f>VLOOKUP(J668,Exchange_Rates!A:B,2,FALSE)</f>
        <v>0.66</v>
      </c>
      <c r="L668" s="4">
        <f t="shared" si="40"/>
        <v>370.00920000000002</v>
      </c>
      <c r="M668" s="4">
        <f t="shared" si="41"/>
        <v>0</v>
      </c>
      <c r="N668" s="4">
        <f t="shared" si="42"/>
        <v>2025</v>
      </c>
      <c r="O668" s="4">
        <f t="shared" si="43"/>
        <v>2</v>
      </c>
    </row>
    <row r="669" spans="1:15" x14ac:dyDescent="0.25">
      <c r="A669" t="s">
        <v>1377</v>
      </c>
      <c r="B669" s="2">
        <v>45224</v>
      </c>
      <c r="C669" t="s">
        <v>60</v>
      </c>
      <c r="D669" t="s">
        <v>61</v>
      </c>
      <c r="E669">
        <v>0</v>
      </c>
      <c r="F669">
        <v>4106.57</v>
      </c>
      <c r="G669" t="s">
        <v>12</v>
      </c>
      <c r="H669" t="s">
        <v>26</v>
      </c>
      <c r="I669" t="s">
        <v>1378</v>
      </c>
      <c r="J669" t="s">
        <v>28</v>
      </c>
      <c r="K669" s="4">
        <f>VLOOKUP(J669,Exchange_Rates!A:B,2,FALSE)</f>
        <v>1.27</v>
      </c>
      <c r="L669" s="4">
        <f t="shared" si="40"/>
        <v>0</v>
      </c>
      <c r="M669" s="4">
        <f t="shared" si="41"/>
        <v>5215.3438999999998</v>
      </c>
      <c r="N669" s="4">
        <f t="shared" si="42"/>
        <v>2023</v>
      </c>
      <c r="O669" s="4">
        <f t="shared" si="43"/>
        <v>4</v>
      </c>
    </row>
    <row r="670" spans="1:15" x14ac:dyDescent="0.25">
      <c r="A670" t="s">
        <v>1379</v>
      </c>
      <c r="B670" s="2">
        <v>45724</v>
      </c>
      <c r="C670" t="s">
        <v>49</v>
      </c>
      <c r="D670" t="s">
        <v>50</v>
      </c>
      <c r="E670">
        <v>873.19</v>
      </c>
      <c r="F670">
        <v>0</v>
      </c>
      <c r="G670" t="s">
        <v>10</v>
      </c>
      <c r="H670" t="s">
        <v>34</v>
      </c>
      <c r="I670" t="s">
        <v>1380</v>
      </c>
      <c r="J670" t="s">
        <v>28</v>
      </c>
      <c r="K670" s="4">
        <f>VLOOKUP(J670,Exchange_Rates!A:B,2,FALSE)</f>
        <v>1.27</v>
      </c>
      <c r="L670" s="4">
        <f t="shared" si="40"/>
        <v>1108.9513000000002</v>
      </c>
      <c r="M670" s="4">
        <f t="shared" si="41"/>
        <v>0</v>
      </c>
      <c r="N670" s="4">
        <f t="shared" si="42"/>
        <v>2025</v>
      </c>
      <c r="O670" s="4">
        <f t="shared" si="43"/>
        <v>1</v>
      </c>
    </row>
    <row r="671" spans="1:15" x14ac:dyDescent="0.25">
      <c r="A671" t="s">
        <v>1381</v>
      </c>
      <c r="B671" s="2">
        <v>45223</v>
      </c>
      <c r="C671" t="s">
        <v>60</v>
      </c>
      <c r="D671" t="s">
        <v>61</v>
      </c>
      <c r="E671">
        <v>0</v>
      </c>
      <c r="F671">
        <v>541.23</v>
      </c>
      <c r="G671" t="s">
        <v>12</v>
      </c>
      <c r="H671" t="s">
        <v>40</v>
      </c>
      <c r="I671" t="s">
        <v>1382</v>
      </c>
      <c r="J671" t="s">
        <v>64</v>
      </c>
      <c r="K671" s="4">
        <f>VLOOKUP(J671,Exchange_Rates!A:B,2,FALSE)</f>
        <v>0.73</v>
      </c>
      <c r="L671" s="4">
        <f t="shared" si="40"/>
        <v>0</v>
      </c>
      <c r="M671" s="4">
        <f t="shared" si="41"/>
        <v>395.09789999999998</v>
      </c>
      <c r="N671" s="4">
        <f t="shared" si="42"/>
        <v>2023</v>
      </c>
      <c r="O671" s="4">
        <f t="shared" si="43"/>
        <v>4</v>
      </c>
    </row>
    <row r="672" spans="1:15" x14ac:dyDescent="0.25">
      <c r="A672" t="s">
        <v>1383</v>
      </c>
      <c r="B672" s="2">
        <v>45402</v>
      </c>
      <c r="C672" t="s">
        <v>30</v>
      </c>
      <c r="D672" t="s">
        <v>31</v>
      </c>
      <c r="E672">
        <v>793.98</v>
      </c>
      <c r="F672">
        <v>0</v>
      </c>
      <c r="G672" t="s">
        <v>10</v>
      </c>
      <c r="H672" t="s">
        <v>51</v>
      </c>
      <c r="I672" t="s">
        <v>1384</v>
      </c>
      <c r="J672" t="s">
        <v>36</v>
      </c>
      <c r="K672" s="4">
        <f>VLOOKUP(J672,Exchange_Rates!A:B,2,FALSE)</f>
        <v>1.08</v>
      </c>
      <c r="L672" s="4">
        <f t="shared" si="40"/>
        <v>857.49840000000006</v>
      </c>
      <c r="M672" s="4">
        <f t="shared" si="41"/>
        <v>0</v>
      </c>
      <c r="N672" s="4">
        <f t="shared" si="42"/>
        <v>2024</v>
      </c>
      <c r="O672" s="4">
        <f t="shared" si="43"/>
        <v>2</v>
      </c>
    </row>
    <row r="673" spans="1:15" x14ac:dyDescent="0.25">
      <c r="A673" t="s">
        <v>1385</v>
      </c>
      <c r="B673" s="2">
        <v>45099</v>
      </c>
      <c r="C673" t="s">
        <v>49</v>
      </c>
      <c r="D673" t="s">
        <v>50</v>
      </c>
      <c r="E673">
        <v>644.58000000000004</v>
      </c>
      <c r="F673">
        <v>0</v>
      </c>
      <c r="G673" t="s">
        <v>13</v>
      </c>
      <c r="H673" t="s">
        <v>40</v>
      </c>
      <c r="I673" t="s">
        <v>1386</v>
      </c>
      <c r="J673" t="s">
        <v>45</v>
      </c>
      <c r="K673" s="4">
        <f>VLOOKUP(J673,Exchange_Rates!A:B,2,FALSE)</f>
        <v>1</v>
      </c>
      <c r="L673" s="4">
        <f t="shared" si="40"/>
        <v>644.58000000000004</v>
      </c>
      <c r="M673" s="4">
        <f t="shared" si="41"/>
        <v>0</v>
      </c>
      <c r="N673" s="4">
        <f t="shared" si="42"/>
        <v>2023</v>
      </c>
      <c r="O673" s="4">
        <f t="shared" si="43"/>
        <v>2</v>
      </c>
    </row>
    <row r="674" spans="1:15" x14ac:dyDescent="0.25">
      <c r="A674" t="s">
        <v>1387</v>
      </c>
      <c r="B674" s="2">
        <v>44969</v>
      </c>
      <c r="C674" t="s">
        <v>49</v>
      </c>
      <c r="D674" t="s">
        <v>50</v>
      </c>
      <c r="E674">
        <v>222.19</v>
      </c>
      <c r="F674">
        <v>0</v>
      </c>
      <c r="G674" t="s">
        <v>12</v>
      </c>
      <c r="H674" t="s">
        <v>51</v>
      </c>
      <c r="I674" t="s">
        <v>1388</v>
      </c>
      <c r="J674" t="s">
        <v>28</v>
      </c>
      <c r="K674" s="4">
        <f>VLOOKUP(J674,Exchange_Rates!A:B,2,FALSE)</f>
        <v>1.27</v>
      </c>
      <c r="L674" s="4">
        <f t="shared" si="40"/>
        <v>282.18130000000002</v>
      </c>
      <c r="M674" s="4">
        <f t="shared" si="41"/>
        <v>0</v>
      </c>
      <c r="N674" s="4">
        <f t="shared" si="42"/>
        <v>2023</v>
      </c>
      <c r="O674" s="4">
        <f t="shared" si="43"/>
        <v>1</v>
      </c>
    </row>
    <row r="675" spans="1:15" x14ac:dyDescent="0.25">
      <c r="A675" t="s">
        <v>1389</v>
      </c>
      <c r="B675" s="2">
        <v>45381</v>
      </c>
      <c r="C675" t="s">
        <v>38</v>
      </c>
      <c r="D675" t="s">
        <v>39</v>
      </c>
      <c r="E675">
        <v>296.98</v>
      </c>
      <c r="F675">
        <v>0</v>
      </c>
      <c r="G675" t="s">
        <v>13</v>
      </c>
      <c r="H675" t="s">
        <v>62</v>
      </c>
      <c r="I675" t="s">
        <v>1390</v>
      </c>
      <c r="J675" t="s">
        <v>42</v>
      </c>
      <c r="K675" s="4">
        <f>VLOOKUP(J675,Exchange_Rates!A:B,2,FALSE)</f>
        <v>0.66</v>
      </c>
      <c r="L675" s="4">
        <f t="shared" si="40"/>
        <v>196.00680000000003</v>
      </c>
      <c r="M675" s="4">
        <f t="shared" si="41"/>
        <v>0</v>
      </c>
      <c r="N675" s="4">
        <f t="shared" si="42"/>
        <v>2024</v>
      </c>
      <c r="O675" s="4">
        <f t="shared" si="43"/>
        <v>1</v>
      </c>
    </row>
    <row r="676" spans="1:15" x14ac:dyDescent="0.25">
      <c r="A676" t="s">
        <v>1391</v>
      </c>
      <c r="B676" s="2">
        <v>45408</v>
      </c>
      <c r="C676" t="s">
        <v>49</v>
      </c>
      <c r="D676" t="s">
        <v>50</v>
      </c>
      <c r="E676">
        <v>1919.89</v>
      </c>
      <c r="F676">
        <v>0</v>
      </c>
      <c r="G676" t="s">
        <v>11</v>
      </c>
      <c r="H676" t="s">
        <v>51</v>
      </c>
      <c r="I676" t="s">
        <v>1392</v>
      </c>
      <c r="J676" t="s">
        <v>64</v>
      </c>
      <c r="K676" s="4">
        <f>VLOOKUP(J676,Exchange_Rates!A:B,2,FALSE)</f>
        <v>0.73</v>
      </c>
      <c r="L676" s="4">
        <f t="shared" si="40"/>
        <v>1401.5197000000001</v>
      </c>
      <c r="M676" s="4">
        <f t="shared" si="41"/>
        <v>0</v>
      </c>
      <c r="N676" s="4">
        <f t="shared" si="42"/>
        <v>2024</v>
      </c>
      <c r="O676" s="4">
        <f t="shared" si="43"/>
        <v>2</v>
      </c>
    </row>
    <row r="677" spans="1:15" x14ac:dyDescent="0.25">
      <c r="A677" t="s">
        <v>1393</v>
      </c>
      <c r="B677" s="2">
        <v>45467</v>
      </c>
      <c r="C677" t="s">
        <v>60</v>
      </c>
      <c r="D677" t="s">
        <v>61</v>
      </c>
      <c r="E677">
        <v>0</v>
      </c>
      <c r="F677">
        <v>3948.96</v>
      </c>
      <c r="G677" t="s">
        <v>12</v>
      </c>
      <c r="H677" t="s">
        <v>51</v>
      </c>
      <c r="I677" t="s">
        <v>1394</v>
      </c>
      <c r="J677" t="s">
        <v>36</v>
      </c>
      <c r="K677" s="4">
        <f>VLOOKUP(J677,Exchange_Rates!A:B,2,FALSE)</f>
        <v>1.08</v>
      </c>
      <c r="L677" s="4">
        <f t="shared" si="40"/>
        <v>0</v>
      </c>
      <c r="M677" s="4">
        <f t="shared" si="41"/>
        <v>4264.8768</v>
      </c>
      <c r="N677" s="4">
        <f t="shared" si="42"/>
        <v>2024</v>
      </c>
      <c r="O677" s="4">
        <f t="shared" si="43"/>
        <v>2</v>
      </c>
    </row>
    <row r="678" spans="1:15" x14ac:dyDescent="0.25">
      <c r="A678" t="s">
        <v>1395</v>
      </c>
      <c r="B678" s="2">
        <v>45165</v>
      </c>
      <c r="C678" t="s">
        <v>24</v>
      </c>
      <c r="D678" t="s">
        <v>25</v>
      </c>
      <c r="E678">
        <v>0</v>
      </c>
      <c r="F678">
        <v>1952.91</v>
      </c>
      <c r="G678" t="s">
        <v>8</v>
      </c>
      <c r="H678" t="s">
        <v>26</v>
      </c>
      <c r="I678" t="s">
        <v>1396</v>
      </c>
      <c r="J678" t="s">
        <v>36</v>
      </c>
      <c r="K678" s="4">
        <f>VLOOKUP(J678,Exchange_Rates!A:B,2,FALSE)</f>
        <v>1.08</v>
      </c>
      <c r="L678" s="4">
        <f t="shared" si="40"/>
        <v>0</v>
      </c>
      <c r="M678" s="4">
        <f t="shared" si="41"/>
        <v>2109.1428000000001</v>
      </c>
      <c r="N678" s="4">
        <f t="shared" si="42"/>
        <v>2023</v>
      </c>
      <c r="O678" s="4">
        <f t="shared" si="43"/>
        <v>3</v>
      </c>
    </row>
    <row r="679" spans="1:15" x14ac:dyDescent="0.25">
      <c r="A679" t="s">
        <v>1397</v>
      </c>
      <c r="B679" s="2">
        <v>45278</v>
      </c>
      <c r="C679" t="s">
        <v>24</v>
      </c>
      <c r="D679" t="s">
        <v>25</v>
      </c>
      <c r="E679">
        <v>0</v>
      </c>
      <c r="F679">
        <v>4819.25</v>
      </c>
      <c r="G679" t="s">
        <v>13</v>
      </c>
      <c r="H679" t="s">
        <v>26</v>
      </c>
      <c r="I679" t="s">
        <v>1398</v>
      </c>
      <c r="J679" t="s">
        <v>45</v>
      </c>
      <c r="K679" s="4">
        <f>VLOOKUP(J679,Exchange_Rates!A:B,2,FALSE)</f>
        <v>1</v>
      </c>
      <c r="L679" s="4">
        <f t="shared" si="40"/>
        <v>0</v>
      </c>
      <c r="M679" s="4">
        <f t="shared" si="41"/>
        <v>4819.25</v>
      </c>
      <c r="N679" s="4">
        <f t="shared" si="42"/>
        <v>2023</v>
      </c>
      <c r="O679" s="4">
        <f t="shared" si="43"/>
        <v>4</v>
      </c>
    </row>
    <row r="680" spans="1:15" x14ac:dyDescent="0.25">
      <c r="A680" t="s">
        <v>1399</v>
      </c>
      <c r="B680" s="2">
        <v>45061</v>
      </c>
      <c r="C680" t="s">
        <v>38</v>
      </c>
      <c r="D680" t="s">
        <v>39</v>
      </c>
      <c r="E680">
        <v>385.69</v>
      </c>
      <c r="F680">
        <v>0</v>
      </c>
      <c r="G680" t="s">
        <v>12</v>
      </c>
      <c r="H680" t="s">
        <v>62</v>
      </c>
      <c r="I680" t="s">
        <v>1400</v>
      </c>
      <c r="J680" t="s">
        <v>42</v>
      </c>
      <c r="K680" s="4">
        <f>VLOOKUP(J680,Exchange_Rates!A:B,2,FALSE)</f>
        <v>0.66</v>
      </c>
      <c r="L680" s="4">
        <f t="shared" si="40"/>
        <v>254.55540000000002</v>
      </c>
      <c r="M680" s="4">
        <f t="shared" si="41"/>
        <v>0</v>
      </c>
      <c r="N680" s="4">
        <f t="shared" si="42"/>
        <v>2023</v>
      </c>
      <c r="O680" s="4">
        <f t="shared" si="43"/>
        <v>2</v>
      </c>
    </row>
    <row r="681" spans="1:15" x14ac:dyDescent="0.25">
      <c r="A681" t="s">
        <v>1401</v>
      </c>
      <c r="B681" s="2">
        <v>44949</v>
      </c>
      <c r="C681" t="s">
        <v>49</v>
      </c>
      <c r="D681" t="s">
        <v>50</v>
      </c>
      <c r="E681">
        <v>269.3</v>
      </c>
      <c r="F681">
        <v>0</v>
      </c>
      <c r="G681" t="s">
        <v>8</v>
      </c>
      <c r="H681" t="s">
        <v>62</v>
      </c>
      <c r="I681" t="s">
        <v>1402</v>
      </c>
      <c r="J681" t="s">
        <v>36</v>
      </c>
      <c r="K681" s="4">
        <f>VLOOKUP(J681,Exchange_Rates!A:B,2,FALSE)</f>
        <v>1.08</v>
      </c>
      <c r="L681" s="4">
        <f t="shared" si="40"/>
        <v>290.84400000000005</v>
      </c>
      <c r="M681" s="4">
        <f t="shared" si="41"/>
        <v>0</v>
      </c>
      <c r="N681" s="4">
        <f t="shared" si="42"/>
        <v>2023</v>
      </c>
      <c r="O681" s="4">
        <f t="shared" si="43"/>
        <v>1</v>
      </c>
    </row>
    <row r="682" spans="1:15" x14ac:dyDescent="0.25">
      <c r="A682" t="s">
        <v>1403</v>
      </c>
      <c r="B682" s="2">
        <v>45504</v>
      </c>
      <c r="C682" t="s">
        <v>60</v>
      </c>
      <c r="D682" t="s">
        <v>61</v>
      </c>
      <c r="E682">
        <v>0</v>
      </c>
      <c r="F682">
        <v>4910.29</v>
      </c>
      <c r="G682" t="s">
        <v>11</v>
      </c>
      <c r="H682" t="s">
        <v>62</v>
      </c>
      <c r="I682" t="s">
        <v>1404</v>
      </c>
      <c r="J682" t="s">
        <v>28</v>
      </c>
      <c r="K682" s="4">
        <f>VLOOKUP(J682,Exchange_Rates!A:B,2,FALSE)</f>
        <v>1.27</v>
      </c>
      <c r="L682" s="4">
        <f t="shared" si="40"/>
        <v>0</v>
      </c>
      <c r="M682" s="4">
        <f t="shared" si="41"/>
        <v>6236.0682999999999</v>
      </c>
      <c r="N682" s="4">
        <f t="shared" si="42"/>
        <v>2024</v>
      </c>
      <c r="O682" s="4">
        <f t="shared" si="43"/>
        <v>3</v>
      </c>
    </row>
    <row r="683" spans="1:15" x14ac:dyDescent="0.25">
      <c r="A683" t="s">
        <v>1405</v>
      </c>
      <c r="B683" s="2">
        <v>45397</v>
      </c>
      <c r="C683" t="s">
        <v>60</v>
      </c>
      <c r="D683" t="s">
        <v>61</v>
      </c>
      <c r="E683">
        <v>0</v>
      </c>
      <c r="F683">
        <v>2866.16</v>
      </c>
      <c r="G683" t="s">
        <v>8</v>
      </c>
      <c r="H683" t="s">
        <v>51</v>
      </c>
      <c r="I683" t="s">
        <v>1406</v>
      </c>
      <c r="J683" t="s">
        <v>42</v>
      </c>
      <c r="K683" s="4">
        <f>VLOOKUP(J683,Exchange_Rates!A:B,2,FALSE)</f>
        <v>0.66</v>
      </c>
      <c r="L683" s="4">
        <f t="shared" si="40"/>
        <v>0</v>
      </c>
      <c r="M683" s="4">
        <f t="shared" si="41"/>
        <v>1891.6656</v>
      </c>
      <c r="N683" s="4">
        <f t="shared" si="42"/>
        <v>2024</v>
      </c>
      <c r="O683" s="4">
        <f t="shared" si="43"/>
        <v>2</v>
      </c>
    </row>
    <row r="684" spans="1:15" x14ac:dyDescent="0.25">
      <c r="A684" t="s">
        <v>1407</v>
      </c>
      <c r="B684" s="2">
        <v>45832</v>
      </c>
      <c r="C684" t="s">
        <v>49</v>
      </c>
      <c r="D684" t="s">
        <v>50</v>
      </c>
      <c r="E684">
        <v>151.68</v>
      </c>
      <c r="F684">
        <v>0</v>
      </c>
      <c r="G684" t="s">
        <v>10</v>
      </c>
      <c r="H684" t="s">
        <v>51</v>
      </c>
      <c r="I684" t="s">
        <v>1408</v>
      </c>
      <c r="J684" t="s">
        <v>42</v>
      </c>
      <c r="K684" s="4">
        <f>VLOOKUP(J684,Exchange_Rates!A:B,2,FALSE)</f>
        <v>0.66</v>
      </c>
      <c r="L684" s="4">
        <f t="shared" si="40"/>
        <v>100.1088</v>
      </c>
      <c r="M684" s="4">
        <f t="shared" si="41"/>
        <v>0</v>
      </c>
      <c r="N684" s="4">
        <f t="shared" si="42"/>
        <v>2025</v>
      </c>
      <c r="O684" s="4">
        <f t="shared" si="43"/>
        <v>2</v>
      </c>
    </row>
    <row r="685" spans="1:15" x14ac:dyDescent="0.25">
      <c r="A685" t="s">
        <v>1409</v>
      </c>
      <c r="B685" s="2">
        <v>45149</v>
      </c>
      <c r="C685" t="s">
        <v>60</v>
      </c>
      <c r="D685" t="s">
        <v>61</v>
      </c>
      <c r="E685">
        <v>0</v>
      </c>
      <c r="F685">
        <v>1246.53</v>
      </c>
      <c r="G685" t="s">
        <v>10</v>
      </c>
      <c r="H685" t="s">
        <v>40</v>
      </c>
      <c r="I685" t="s">
        <v>1410</v>
      </c>
      <c r="J685" t="s">
        <v>45</v>
      </c>
      <c r="K685" s="4">
        <f>VLOOKUP(J685,Exchange_Rates!A:B,2,FALSE)</f>
        <v>1</v>
      </c>
      <c r="L685" s="4">
        <f t="shared" si="40"/>
        <v>0</v>
      </c>
      <c r="M685" s="4">
        <f t="shared" si="41"/>
        <v>1246.53</v>
      </c>
      <c r="N685" s="4">
        <f t="shared" si="42"/>
        <v>2023</v>
      </c>
      <c r="O685" s="4">
        <f t="shared" si="43"/>
        <v>3</v>
      </c>
    </row>
    <row r="686" spans="1:15" x14ac:dyDescent="0.25">
      <c r="A686" t="s">
        <v>1411</v>
      </c>
      <c r="B686" s="2">
        <v>45646</v>
      </c>
      <c r="C686" t="s">
        <v>38</v>
      </c>
      <c r="D686" t="s">
        <v>39</v>
      </c>
      <c r="E686">
        <v>1724.65</v>
      </c>
      <c r="F686">
        <v>0</v>
      </c>
      <c r="G686" t="s">
        <v>8</v>
      </c>
      <c r="H686" t="s">
        <v>26</v>
      </c>
      <c r="I686" t="s">
        <v>1412</v>
      </c>
      <c r="J686" t="s">
        <v>28</v>
      </c>
      <c r="K686" s="4">
        <f>VLOOKUP(J686,Exchange_Rates!A:B,2,FALSE)</f>
        <v>1.27</v>
      </c>
      <c r="L686" s="4">
        <f t="shared" si="40"/>
        <v>2190.3054999999999</v>
      </c>
      <c r="M686" s="4">
        <f t="shared" si="41"/>
        <v>0</v>
      </c>
      <c r="N686" s="4">
        <f t="shared" si="42"/>
        <v>2024</v>
      </c>
      <c r="O686" s="4">
        <f t="shared" si="43"/>
        <v>4</v>
      </c>
    </row>
    <row r="687" spans="1:15" x14ac:dyDescent="0.25">
      <c r="A687" t="s">
        <v>1413</v>
      </c>
      <c r="B687" s="2">
        <v>45716</v>
      </c>
      <c r="C687" t="s">
        <v>49</v>
      </c>
      <c r="D687" t="s">
        <v>50</v>
      </c>
      <c r="E687">
        <v>1411.99</v>
      </c>
      <c r="F687">
        <v>0</v>
      </c>
      <c r="G687" t="s">
        <v>11</v>
      </c>
      <c r="H687" t="s">
        <v>51</v>
      </c>
      <c r="I687" t="s">
        <v>1414</v>
      </c>
      <c r="J687" t="s">
        <v>45</v>
      </c>
      <c r="K687" s="4">
        <f>VLOOKUP(J687,Exchange_Rates!A:B,2,FALSE)</f>
        <v>1</v>
      </c>
      <c r="L687" s="4">
        <f t="shared" si="40"/>
        <v>1411.99</v>
      </c>
      <c r="M687" s="4">
        <f t="shared" si="41"/>
        <v>0</v>
      </c>
      <c r="N687" s="4">
        <f t="shared" si="42"/>
        <v>2025</v>
      </c>
      <c r="O687" s="4">
        <f t="shared" si="43"/>
        <v>1</v>
      </c>
    </row>
    <row r="688" spans="1:15" x14ac:dyDescent="0.25">
      <c r="A688" t="s">
        <v>1415</v>
      </c>
      <c r="B688" s="2">
        <v>45299</v>
      </c>
      <c r="C688" t="s">
        <v>49</v>
      </c>
      <c r="D688" t="s">
        <v>50</v>
      </c>
      <c r="E688">
        <v>753.12</v>
      </c>
      <c r="F688">
        <v>0</v>
      </c>
      <c r="G688" t="s">
        <v>8</v>
      </c>
      <c r="H688" t="s">
        <v>40</v>
      </c>
      <c r="I688" t="s">
        <v>1416</v>
      </c>
      <c r="J688" t="s">
        <v>45</v>
      </c>
      <c r="K688" s="4">
        <f>VLOOKUP(J688,Exchange_Rates!A:B,2,FALSE)</f>
        <v>1</v>
      </c>
      <c r="L688" s="4">
        <f t="shared" si="40"/>
        <v>753.12</v>
      </c>
      <c r="M688" s="4">
        <f t="shared" si="41"/>
        <v>0</v>
      </c>
      <c r="N688" s="4">
        <f t="shared" si="42"/>
        <v>2024</v>
      </c>
      <c r="O688" s="4">
        <f t="shared" si="43"/>
        <v>1</v>
      </c>
    </row>
    <row r="689" spans="1:15" x14ac:dyDescent="0.25">
      <c r="A689" t="s">
        <v>1417</v>
      </c>
      <c r="B689" s="2">
        <v>45613</v>
      </c>
      <c r="C689" t="s">
        <v>24</v>
      </c>
      <c r="D689" t="s">
        <v>25</v>
      </c>
      <c r="E689">
        <v>0</v>
      </c>
      <c r="F689">
        <v>3744.19</v>
      </c>
      <c r="G689" t="s">
        <v>8</v>
      </c>
      <c r="H689" t="s">
        <v>62</v>
      </c>
      <c r="I689" t="s">
        <v>1418</v>
      </c>
      <c r="J689" t="s">
        <v>36</v>
      </c>
      <c r="K689" s="4">
        <f>VLOOKUP(J689,Exchange_Rates!A:B,2,FALSE)</f>
        <v>1.08</v>
      </c>
      <c r="L689" s="4">
        <f t="shared" si="40"/>
        <v>0</v>
      </c>
      <c r="M689" s="4">
        <f t="shared" si="41"/>
        <v>4043.7252000000003</v>
      </c>
      <c r="N689" s="4">
        <f t="shared" si="42"/>
        <v>2024</v>
      </c>
      <c r="O689" s="4">
        <f t="shared" si="43"/>
        <v>4</v>
      </c>
    </row>
    <row r="690" spans="1:15" x14ac:dyDescent="0.25">
      <c r="A690" t="s">
        <v>1419</v>
      </c>
      <c r="B690" s="2">
        <v>45365</v>
      </c>
      <c r="C690" t="s">
        <v>30</v>
      </c>
      <c r="D690" t="s">
        <v>31</v>
      </c>
      <c r="E690">
        <v>906.55</v>
      </c>
      <c r="F690">
        <v>0</v>
      </c>
      <c r="G690" t="s">
        <v>11</v>
      </c>
      <c r="H690" t="s">
        <v>51</v>
      </c>
      <c r="I690" t="s">
        <v>1420</v>
      </c>
      <c r="J690" t="s">
        <v>64</v>
      </c>
      <c r="K690" s="4">
        <f>VLOOKUP(J690,Exchange_Rates!A:B,2,FALSE)</f>
        <v>0.73</v>
      </c>
      <c r="L690" s="4">
        <f t="shared" si="40"/>
        <v>661.78149999999994</v>
      </c>
      <c r="M690" s="4">
        <f t="shared" si="41"/>
        <v>0</v>
      </c>
      <c r="N690" s="4">
        <f t="shared" si="42"/>
        <v>2024</v>
      </c>
      <c r="O690" s="4">
        <f t="shared" si="43"/>
        <v>1</v>
      </c>
    </row>
    <row r="691" spans="1:15" x14ac:dyDescent="0.25">
      <c r="A691" t="s">
        <v>1421</v>
      </c>
      <c r="B691" s="2">
        <v>44982</v>
      </c>
      <c r="C691" t="s">
        <v>49</v>
      </c>
      <c r="D691" t="s">
        <v>50</v>
      </c>
      <c r="E691">
        <v>215.69</v>
      </c>
      <c r="F691">
        <v>0</v>
      </c>
      <c r="G691" t="s">
        <v>10</v>
      </c>
      <c r="H691" t="s">
        <v>34</v>
      </c>
      <c r="I691" t="s">
        <v>1422</v>
      </c>
      <c r="J691" t="s">
        <v>42</v>
      </c>
      <c r="K691" s="4">
        <f>VLOOKUP(J691,Exchange_Rates!A:B,2,FALSE)</f>
        <v>0.66</v>
      </c>
      <c r="L691" s="4">
        <f t="shared" si="40"/>
        <v>142.3554</v>
      </c>
      <c r="M691" s="4">
        <f t="shared" si="41"/>
        <v>0</v>
      </c>
      <c r="N691" s="4">
        <f t="shared" si="42"/>
        <v>2023</v>
      </c>
      <c r="O691" s="4">
        <f t="shared" si="43"/>
        <v>1</v>
      </c>
    </row>
    <row r="692" spans="1:15" x14ac:dyDescent="0.25">
      <c r="A692" t="s">
        <v>1423</v>
      </c>
      <c r="B692" s="2">
        <v>45631</v>
      </c>
      <c r="C692" t="s">
        <v>30</v>
      </c>
      <c r="D692" t="s">
        <v>31</v>
      </c>
      <c r="E692">
        <v>1478.7</v>
      </c>
      <c r="F692">
        <v>0</v>
      </c>
      <c r="G692" t="s">
        <v>9</v>
      </c>
      <c r="H692" t="s">
        <v>62</v>
      </c>
      <c r="I692" t="s">
        <v>1424</v>
      </c>
      <c r="J692" t="s">
        <v>42</v>
      </c>
      <c r="K692" s="4">
        <f>VLOOKUP(J692,Exchange_Rates!A:B,2,FALSE)</f>
        <v>0.66</v>
      </c>
      <c r="L692" s="4">
        <f t="shared" si="40"/>
        <v>975.94200000000012</v>
      </c>
      <c r="M692" s="4">
        <f t="shared" si="41"/>
        <v>0</v>
      </c>
      <c r="N692" s="4">
        <f t="shared" si="42"/>
        <v>2024</v>
      </c>
      <c r="O692" s="4">
        <f t="shared" si="43"/>
        <v>4</v>
      </c>
    </row>
    <row r="693" spans="1:15" x14ac:dyDescent="0.25">
      <c r="A693" t="s">
        <v>1425</v>
      </c>
      <c r="B693" s="2">
        <v>45733</v>
      </c>
      <c r="C693" t="s">
        <v>24</v>
      </c>
      <c r="D693" t="s">
        <v>25</v>
      </c>
      <c r="E693">
        <v>0</v>
      </c>
      <c r="F693">
        <v>3502.79</v>
      </c>
      <c r="G693" t="s">
        <v>13</v>
      </c>
      <c r="H693" t="s">
        <v>26</v>
      </c>
      <c r="I693" t="s">
        <v>1426</v>
      </c>
      <c r="J693" t="s">
        <v>28</v>
      </c>
      <c r="K693" s="4">
        <f>VLOOKUP(J693,Exchange_Rates!A:B,2,FALSE)</f>
        <v>1.27</v>
      </c>
      <c r="L693" s="4">
        <f t="shared" si="40"/>
        <v>0</v>
      </c>
      <c r="M693" s="4">
        <f t="shared" si="41"/>
        <v>4448.5433000000003</v>
      </c>
      <c r="N693" s="4">
        <f t="shared" si="42"/>
        <v>2025</v>
      </c>
      <c r="O693" s="4">
        <f t="shared" si="43"/>
        <v>1</v>
      </c>
    </row>
    <row r="694" spans="1:15" x14ac:dyDescent="0.25">
      <c r="A694" t="s">
        <v>1427</v>
      </c>
      <c r="B694" s="2">
        <v>45367</v>
      </c>
      <c r="C694" t="s">
        <v>24</v>
      </c>
      <c r="D694" t="s">
        <v>25</v>
      </c>
      <c r="E694">
        <v>0</v>
      </c>
      <c r="F694">
        <v>2828.86</v>
      </c>
      <c r="G694" t="s">
        <v>11</v>
      </c>
      <c r="H694" t="s">
        <v>26</v>
      </c>
      <c r="I694" t="s">
        <v>1428</v>
      </c>
      <c r="J694" t="s">
        <v>45</v>
      </c>
      <c r="K694" s="4">
        <f>VLOOKUP(J694,Exchange_Rates!A:B,2,FALSE)</f>
        <v>1</v>
      </c>
      <c r="L694" s="4">
        <f t="shared" si="40"/>
        <v>0</v>
      </c>
      <c r="M694" s="4">
        <f t="shared" si="41"/>
        <v>2828.86</v>
      </c>
      <c r="N694" s="4">
        <f t="shared" si="42"/>
        <v>2024</v>
      </c>
      <c r="O694" s="4">
        <f t="shared" si="43"/>
        <v>1</v>
      </c>
    </row>
    <row r="695" spans="1:15" x14ac:dyDescent="0.25">
      <c r="A695" t="s">
        <v>1429</v>
      </c>
      <c r="B695" s="2">
        <v>45025</v>
      </c>
      <c r="C695" t="s">
        <v>38</v>
      </c>
      <c r="D695" t="s">
        <v>39</v>
      </c>
      <c r="E695">
        <v>130.63999999999999</v>
      </c>
      <c r="F695">
        <v>0</v>
      </c>
      <c r="G695" t="s">
        <v>8</v>
      </c>
      <c r="H695" t="s">
        <v>26</v>
      </c>
      <c r="I695" t="s">
        <v>1430</v>
      </c>
      <c r="J695" t="s">
        <v>36</v>
      </c>
      <c r="K695" s="4">
        <f>VLOOKUP(J695,Exchange_Rates!A:B,2,FALSE)</f>
        <v>1.08</v>
      </c>
      <c r="L695" s="4">
        <f t="shared" si="40"/>
        <v>141.09119999999999</v>
      </c>
      <c r="M695" s="4">
        <f t="shared" si="41"/>
        <v>0</v>
      </c>
      <c r="N695" s="4">
        <f t="shared" si="42"/>
        <v>2023</v>
      </c>
      <c r="O695" s="4">
        <f t="shared" si="43"/>
        <v>2</v>
      </c>
    </row>
    <row r="696" spans="1:15" x14ac:dyDescent="0.25">
      <c r="A696" t="s">
        <v>1431</v>
      </c>
      <c r="B696" s="2">
        <v>45423</v>
      </c>
      <c r="C696" t="s">
        <v>38</v>
      </c>
      <c r="D696" t="s">
        <v>39</v>
      </c>
      <c r="E696">
        <v>1824.18</v>
      </c>
      <c r="F696">
        <v>0</v>
      </c>
      <c r="G696" t="s">
        <v>10</v>
      </c>
      <c r="H696" t="s">
        <v>34</v>
      </c>
      <c r="I696" t="s">
        <v>1432</v>
      </c>
      <c r="J696" t="s">
        <v>64</v>
      </c>
      <c r="K696" s="4">
        <f>VLOOKUP(J696,Exchange_Rates!A:B,2,FALSE)</f>
        <v>0.73</v>
      </c>
      <c r="L696" s="4">
        <f t="shared" si="40"/>
        <v>1331.6514</v>
      </c>
      <c r="M696" s="4">
        <f t="shared" si="41"/>
        <v>0</v>
      </c>
      <c r="N696" s="4">
        <f t="shared" si="42"/>
        <v>2024</v>
      </c>
      <c r="O696" s="4">
        <f t="shared" si="43"/>
        <v>2</v>
      </c>
    </row>
    <row r="697" spans="1:15" x14ac:dyDescent="0.25">
      <c r="A697" t="s">
        <v>1433</v>
      </c>
      <c r="B697" s="2">
        <v>45634</v>
      </c>
      <c r="C697" t="s">
        <v>60</v>
      </c>
      <c r="D697" t="s">
        <v>61</v>
      </c>
      <c r="E697">
        <v>0</v>
      </c>
      <c r="F697">
        <v>2401.06</v>
      </c>
      <c r="G697" t="s">
        <v>11</v>
      </c>
      <c r="H697" t="s">
        <v>26</v>
      </c>
      <c r="I697" t="s">
        <v>1434</v>
      </c>
      <c r="J697" t="s">
        <v>36</v>
      </c>
      <c r="K697" s="4">
        <f>VLOOKUP(J697,Exchange_Rates!A:B,2,FALSE)</f>
        <v>1.08</v>
      </c>
      <c r="L697" s="4">
        <f t="shared" si="40"/>
        <v>0</v>
      </c>
      <c r="M697" s="4">
        <f t="shared" si="41"/>
        <v>2593.1448</v>
      </c>
      <c r="N697" s="4">
        <f t="shared" si="42"/>
        <v>2024</v>
      </c>
      <c r="O697" s="4">
        <f t="shared" si="43"/>
        <v>4</v>
      </c>
    </row>
    <row r="698" spans="1:15" x14ac:dyDescent="0.25">
      <c r="A698" t="s">
        <v>1435</v>
      </c>
      <c r="B698" s="2">
        <v>45226</v>
      </c>
      <c r="C698" t="s">
        <v>60</v>
      </c>
      <c r="D698" t="s">
        <v>61</v>
      </c>
      <c r="E698">
        <v>0</v>
      </c>
      <c r="F698">
        <v>3086.33</v>
      </c>
      <c r="G698" t="s">
        <v>9</v>
      </c>
      <c r="H698" t="s">
        <v>40</v>
      </c>
      <c r="I698" t="s">
        <v>1436</v>
      </c>
      <c r="J698" t="s">
        <v>36</v>
      </c>
      <c r="K698" s="4">
        <f>VLOOKUP(J698,Exchange_Rates!A:B,2,FALSE)</f>
        <v>1.08</v>
      </c>
      <c r="L698" s="4">
        <f t="shared" si="40"/>
        <v>0</v>
      </c>
      <c r="M698" s="4">
        <f t="shared" si="41"/>
        <v>3333.2364000000002</v>
      </c>
      <c r="N698" s="4">
        <f t="shared" si="42"/>
        <v>2023</v>
      </c>
      <c r="O698" s="4">
        <f t="shared" si="43"/>
        <v>4</v>
      </c>
    </row>
    <row r="699" spans="1:15" x14ac:dyDescent="0.25">
      <c r="A699" t="s">
        <v>1437</v>
      </c>
      <c r="B699" s="2">
        <v>45681</v>
      </c>
      <c r="C699" t="s">
        <v>30</v>
      </c>
      <c r="D699" t="s">
        <v>31</v>
      </c>
      <c r="E699">
        <v>1546.69</v>
      </c>
      <c r="F699">
        <v>0</v>
      </c>
      <c r="G699" t="s">
        <v>9</v>
      </c>
      <c r="H699" t="s">
        <v>51</v>
      </c>
      <c r="I699" t="s">
        <v>1438</v>
      </c>
      <c r="J699" t="s">
        <v>28</v>
      </c>
      <c r="K699" s="4">
        <f>VLOOKUP(J699,Exchange_Rates!A:B,2,FALSE)</f>
        <v>1.27</v>
      </c>
      <c r="L699" s="4">
        <f t="shared" si="40"/>
        <v>1964.2963000000002</v>
      </c>
      <c r="M699" s="4">
        <f t="shared" si="41"/>
        <v>0</v>
      </c>
      <c r="N699" s="4">
        <f t="shared" si="42"/>
        <v>2025</v>
      </c>
      <c r="O699" s="4">
        <f t="shared" si="43"/>
        <v>1</v>
      </c>
    </row>
    <row r="700" spans="1:15" x14ac:dyDescent="0.25">
      <c r="A700" t="s">
        <v>1439</v>
      </c>
      <c r="B700" s="2">
        <v>45369</v>
      </c>
      <c r="C700" t="s">
        <v>60</v>
      </c>
      <c r="D700" t="s">
        <v>61</v>
      </c>
      <c r="E700">
        <v>0</v>
      </c>
      <c r="F700">
        <v>2135.0700000000002</v>
      </c>
      <c r="G700" t="s">
        <v>10</v>
      </c>
      <c r="H700" t="s">
        <v>34</v>
      </c>
      <c r="I700" t="s">
        <v>1440</v>
      </c>
      <c r="J700" t="s">
        <v>45</v>
      </c>
      <c r="K700" s="4">
        <f>VLOOKUP(J700,Exchange_Rates!A:B,2,FALSE)</f>
        <v>1</v>
      </c>
      <c r="L700" s="4">
        <f t="shared" si="40"/>
        <v>0</v>
      </c>
      <c r="M700" s="4">
        <f t="shared" si="41"/>
        <v>2135.0700000000002</v>
      </c>
      <c r="N700" s="4">
        <f t="shared" si="42"/>
        <v>2024</v>
      </c>
      <c r="O700" s="4">
        <f t="shared" si="43"/>
        <v>1</v>
      </c>
    </row>
    <row r="701" spans="1:15" x14ac:dyDescent="0.25">
      <c r="A701" t="s">
        <v>1441</v>
      </c>
      <c r="B701" s="2">
        <v>45030</v>
      </c>
      <c r="C701" t="s">
        <v>24</v>
      </c>
      <c r="D701" t="s">
        <v>25</v>
      </c>
      <c r="E701">
        <v>0</v>
      </c>
      <c r="F701">
        <v>337.27</v>
      </c>
      <c r="G701" t="s">
        <v>8</v>
      </c>
      <c r="H701" t="s">
        <v>51</v>
      </c>
      <c r="I701" t="s">
        <v>1442</v>
      </c>
      <c r="J701" t="s">
        <v>36</v>
      </c>
      <c r="K701" s="4">
        <f>VLOOKUP(J701,Exchange_Rates!A:B,2,FALSE)</f>
        <v>1.08</v>
      </c>
      <c r="L701" s="4">
        <f t="shared" si="40"/>
        <v>0</v>
      </c>
      <c r="M701" s="4">
        <f t="shared" si="41"/>
        <v>364.2516</v>
      </c>
      <c r="N701" s="4">
        <f t="shared" si="42"/>
        <v>2023</v>
      </c>
      <c r="O701" s="4">
        <f t="shared" si="43"/>
        <v>2</v>
      </c>
    </row>
    <row r="702" spans="1:15" x14ac:dyDescent="0.25">
      <c r="A702" t="s">
        <v>1443</v>
      </c>
      <c r="B702" s="2">
        <v>44988</v>
      </c>
      <c r="C702" t="s">
        <v>60</v>
      </c>
      <c r="D702" t="s">
        <v>61</v>
      </c>
      <c r="E702">
        <v>0</v>
      </c>
      <c r="F702">
        <v>4145.3100000000004</v>
      </c>
      <c r="G702" t="s">
        <v>12</v>
      </c>
      <c r="H702" t="s">
        <v>62</v>
      </c>
      <c r="I702" t="s">
        <v>1444</v>
      </c>
      <c r="J702" t="s">
        <v>28</v>
      </c>
      <c r="K702" s="4">
        <f>VLOOKUP(J702,Exchange_Rates!A:B,2,FALSE)</f>
        <v>1.27</v>
      </c>
      <c r="L702" s="4">
        <f t="shared" si="40"/>
        <v>0</v>
      </c>
      <c r="M702" s="4">
        <f t="shared" si="41"/>
        <v>5264.5437000000002</v>
      </c>
      <c r="N702" s="4">
        <f t="shared" si="42"/>
        <v>2023</v>
      </c>
      <c r="O702" s="4">
        <f t="shared" si="43"/>
        <v>1</v>
      </c>
    </row>
    <row r="703" spans="1:15" x14ac:dyDescent="0.25">
      <c r="A703" t="s">
        <v>1445</v>
      </c>
      <c r="B703" s="2">
        <v>45249</v>
      </c>
      <c r="C703" t="s">
        <v>49</v>
      </c>
      <c r="D703" t="s">
        <v>50</v>
      </c>
      <c r="E703">
        <v>322.43</v>
      </c>
      <c r="F703">
        <v>0</v>
      </c>
      <c r="G703" t="s">
        <v>8</v>
      </c>
      <c r="H703" t="s">
        <v>51</v>
      </c>
      <c r="I703" t="s">
        <v>1446</v>
      </c>
      <c r="J703" t="s">
        <v>64</v>
      </c>
      <c r="K703" s="4">
        <f>VLOOKUP(J703,Exchange_Rates!A:B,2,FALSE)</f>
        <v>0.73</v>
      </c>
      <c r="L703" s="4">
        <f t="shared" si="40"/>
        <v>235.37389999999999</v>
      </c>
      <c r="M703" s="4">
        <f t="shared" si="41"/>
        <v>0</v>
      </c>
      <c r="N703" s="4">
        <f t="shared" si="42"/>
        <v>2023</v>
      </c>
      <c r="O703" s="4">
        <f t="shared" si="43"/>
        <v>4</v>
      </c>
    </row>
    <row r="704" spans="1:15" x14ac:dyDescent="0.25">
      <c r="A704" t="s">
        <v>1447</v>
      </c>
      <c r="B704" s="2">
        <v>45474</v>
      </c>
      <c r="C704" t="s">
        <v>38</v>
      </c>
      <c r="D704" t="s">
        <v>39</v>
      </c>
      <c r="E704">
        <v>1350.68</v>
      </c>
      <c r="F704">
        <v>0</v>
      </c>
      <c r="G704" t="s">
        <v>11</v>
      </c>
      <c r="H704" t="s">
        <v>51</v>
      </c>
      <c r="I704" t="s">
        <v>1448</v>
      </c>
      <c r="J704" t="s">
        <v>45</v>
      </c>
      <c r="K704" s="4">
        <f>VLOOKUP(J704,Exchange_Rates!A:B,2,FALSE)</f>
        <v>1</v>
      </c>
      <c r="L704" s="4">
        <f t="shared" si="40"/>
        <v>1350.68</v>
      </c>
      <c r="M704" s="4">
        <f t="shared" si="41"/>
        <v>0</v>
      </c>
      <c r="N704" s="4">
        <f t="shared" si="42"/>
        <v>2024</v>
      </c>
      <c r="O704" s="4">
        <f t="shared" si="43"/>
        <v>3</v>
      </c>
    </row>
    <row r="705" spans="1:15" x14ac:dyDescent="0.25">
      <c r="A705" t="s">
        <v>1449</v>
      </c>
      <c r="B705" s="2">
        <v>45264</v>
      </c>
      <c r="C705" t="s">
        <v>38</v>
      </c>
      <c r="D705" t="s">
        <v>39</v>
      </c>
      <c r="E705">
        <v>1038.71</v>
      </c>
      <c r="F705">
        <v>0</v>
      </c>
      <c r="G705" t="s">
        <v>10</v>
      </c>
      <c r="H705" t="s">
        <v>34</v>
      </c>
      <c r="I705" t="s">
        <v>1450</v>
      </c>
      <c r="J705" t="s">
        <v>36</v>
      </c>
      <c r="K705" s="4">
        <f>VLOOKUP(J705,Exchange_Rates!A:B,2,FALSE)</f>
        <v>1.08</v>
      </c>
      <c r="L705" s="4">
        <f t="shared" si="40"/>
        <v>1121.8068000000001</v>
      </c>
      <c r="M705" s="4">
        <f t="shared" si="41"/>
        <v>0</v>
      </c>
      <c r="N705" s="4">
        <f t="shared" si="42"/>
        <v>2023</v>
      </c>
      <c r="O705" s="4">
        <f t="shared" si="43"/>
        <v>4</v>
      </c>
    </row>
    <row r="706" spans="1:15" x14ac:dyDescent="0.25">
      <c r="A706" t="s">
        <v>1451</v>
      </c>
      <c r="B706" s="2">
        <v>45672</v>
      </c>
      <c r="C706" t="s">
        <v>30</v>
      </c>
      <c r="D706" t="s">
        <v>31</v>
      </c>
      <c r="E706">
        <v>1455.61</v>
      </c>
      <c r="F706">
        <v>0</v>
      </c>
      <c r="G706" t="s">
        <v>10</v>
      </c>
      <c r="H706" t="s">
        <v>26</v>
      </c>
      <c r="I706" t="s">
        <v>1452</v>
      </c>
      <c r="J706" t="s">
        <v>36</v>
      </c>
      <c r="K706" s="4">
        <f>VLOOKUP(J706,Exchange_Rates!A:B,2,FALSE)</f>
        <v>1.08</v>
      </c>
      <c r="L706" s="4">
        <f t="shared" si="40"/>
        <v>1572.0588</v>
      </c>
      <c r="M706" s="4">
        <f t="shared" si="41"/>
        <v>0</v>
      </c>
      <c r="N706" s="4">
        <f t="shared" si="42"/>
        <v>2025</v>
      </c>
      <c r="O706" s="4">
        <f t="shared" si="43"/>
        <v>1</v>
      </c>
    </row>
    <row r="707" spans="1:15" x14ac:dyDescent="0.25">
      <c r="A707" t="s">
        <v>1453</v>
      </c>
      <c r="B707" s="2">
        <v>45303</v>
      </c>
      <c r="C707" t="s">
        <v>38</v>
      </c>
      <c r="D707" t="s">
        <v>39</v>
      </c>
      <c r="E707">
        <v>1723.07</v>
      </c>
      <c r="F707">
        <v>0</v>
      </c>
      <c r="G707" t="s">
        <v>13</v>
      </c>
      <c r="H707" t="s">
        <v>62</v>
      </c>
      <c r="I707" t="s">
        <v>1454</v>
      </c>
      <c r="J707" t="s">
        <v>28</v>
      </c>
      <c r="K707" s="4">
        <f>VLOOKUP(J707,Exchange_Rates!A:B,2,FALSE)</f>
        <v>1.27</v>
      </c>
      <c r="L707" s="4">
        <f t="shared" ref="L707:L770" si="44">E707*K707</f>
        <v>2188.2988999999998</v>
      </c>
      <c r="M707" s="4">
        <f t="shared" ref="M707:M770" si="45">F707*K707</f>
        <v>0</v>
      </c>
      <c r="N707" s="4">
        <f t="shared" ref="N707:N770" si="46">YEAR(B707)</f>
        <v>2024</v>
      </c>
      <c r="O707" s="4">
        <f t="shared" ref="O707:O770" si="47">ROUNDUP(MONTH(B707)/3,0)</f>
        <v>1</v>
      </c>
    </row>
    <row r="708" spans="1:15" x14ac:dyDescent="0.25">
      <c r="A708" t="s">
        <v>1455</v>
      </c>
      <c r="B708" s="2">
        <v>45282</v>
      </c>
      <c r="C708" t="s">
        <v>60</v>
      </c>
      <c r="D708" t="s">
        <v>61</v>
      </c>
      <c r="E708">
        <v>0</v>
      </c>
      <c r="F708">
        <v>965.55</v>
      </c>
      <c r="G708" t="s">
        <v>11</v>
      </c>
      <c r="H708" t="s">
        <v>34</v>
      </c>
      <c r="I708" t="s">
        <v>1456</v>
      </c>
      <c r="J708" t="s">
        <v>36</v>
      </c>
      <c r="K708" s="4">
        <f>VLOOKUP(J708,Exchange_Rates!A:B,2,FALSE)</f>
        <v>1.08</v>
      </c>
      <c r="L708" s="4">
        <f t="shared" si="44"/>
        <v>0</v>
      </c>
      <c r="M708" s="4">
        <f t="shared" si="45"/>
        <v>1042.7940000000001</v>
      </c>
      <c r="N708" s="4">
        <f t="shared" si="46"/>
        <v>2023</v>
      </c>
      <c r="O708" s="4">
        <f t="shared" si="47"/>
        <v>4</v>
      </c>
    </row>
    <row r="709" spans="1:15" x14ac:dyDescent="0.25">
      <c r="A709" t="s">
        <v>1457</v>
      </c>
      <c r="B709" s="2">
        <v>45656</v>
      </c>
      <c r="C709" t="s">
        <v>60</v>
      </c>
      <c r="D709" t="s">
        <v>61</v>
      </c>
      <c r="E709">
        <v>0</v>
      </c>
      <c r="F709">
        <v>1927.89</v>
      </c>
      <c r="G709" t="s">
        <v>9</v>
      </c>
      <c r="H709" t="s">
        <v>26</v>
      </c>
      <c r="I709" t="s">
        <v>1458</v>
      </c>
      <c r="J709" t="s">
        <v>28</v>
      </c>
      <c r="K709" s="4">
        <f>VLOOKUP(J709,Exchange_Rates!A:B,2,FALSE)</f>
        <v>1.27</v>
      </c>
      <c r="L709" s="4">
        <f t="shared" si="44"/>
        <v>0</v>
      </c>
      <c r="M709" s="4">
        <f t="shared" si="45"/>
        <v>2448.4203000000002</v>
      </c>
      <c r="N709" s="4">
        <f t="shared" si="46"/>
        <v>2024</v>
      </c>
      <c r="O709" s="4">
        <f t="shared" si="47"/>
        <v>4</v>
      </c>
    </row>
    <row r="710" spans="1:15" x14ac:dyDescent="0.25">
      <c r="A710" t="s">
        <v>1459</v>
      </c>
      <c r="B710" s="2">
        <v>45827</v>
      </c>
      <c r="C710" t="s">
        <v>49</v>
      </c>
      <c r="D710" t="s">
        <v>50</v>
      </c>
      <c r="E710">
        <v>1789.3</v>
      </c>
      <c r="F710">
        <v>0</v>
      </c>
      <c r="G710" t="s">
        <v>12</v>
      </c>
      <c r="H710" t="s">
        <v>62</v>
      </c>
      <c r="I710" t="s">
        <v>1460</v>
      </c>
      <c r="J710" t="s">
        <v>36</v>
      </c>
      <c r="K710" s="4">
        <f>VLOOKUP(J710,Exchange_Rates!A:B,2,FALSE)</f>
        <v>1.08</v>
      </c>
      <c r="L710" s="4">
        <f t="shared" si="44"/>
        <v>1932.4440000000002</v>
      </c>
      <c r="M710" s="4">
        <f t="shared" si="45"/>
        <v>0</v>
      </c>
      <c r="N710" s="4">
        <f t="shared" si="46"/>
        <v>2025</v>
      </c>
      <c r="O710" s="4">
        <f t="shared" si="47"/>
        <v>2</v>
      </c>
    </row>
    <row r="711" spans="1:15" x14ac:dyDescent="0.25">
      <c r="A711" t="s">
        <v>1461</v>
      </c>
      <c r="B711" s="2">
        <v>45362</v>
      </c>
      <c r="C711" t="s">
        <v>60</v>
      </c>
      <c r="D711" t="s">
        <v>61</v>
      </c>
      <c r="E711">
        <v>0</v>
      </c>
      <c r="F711">
        <v>1155.8499999999999</v>
      </c>
      <c r="G711" t="s">
        <v>8</v>
      </c>
      <c r="H711" t="s">
        <v>62</v>
      </c>
      <c r="I711" t="s">
        <v>1462</v>
      </c>
      <c r="J711" t="s">
        <v>64</v>
      </c>
      <c r="K711" s="4">
        <f>VLOOKUP(J711,Exchange_Rates!A:B,2,FALSE)</f>
        <v>0.73</v>
      </c>
      <c r="L711" s="4">
        <f t="shared" si="44"/>
        <v>0</v>
      </c>
      <c r="M711" s="4">
        <f t="shared" si="45"/>
        <v>843.77049999999986</v>
      </c>
      <c r="N711" s="4">
        <f t="shared" si="46"/>
        <v>2024</v>
      </c>
      <c r="O711" s="4">
        <f t="shared" si="47"/>
        <v>1</v>
      </c>
    </row>
    <row r="712" spans="1:15" x14ac:dyDescent="0.25">
      <c r="A712" t="s">
        <v>1463</v>
      </c>
      <c r="B712" s="2">
        <v>45068</v>
      </c>
      <c r="C712" t="s">
        <v>24</v>
      </c>
      <c r="D712" t="s">
        <v>25</v>
      </c>
      <c r="E712">
        <v>0</v>
      </c>
      <c r="F712">
        <v>1701.37</v>
      </c>
      <c r="G712" t="s">
        <v>12</v>
      </c>
      <c r="H712" t="s">
        <v>40</v>
      </c>
      <c r="I712" t="s">
        <v>1464</v>
      </c>
      <c r="J712" t="s">
        <v>45</v>
      </c>
      <c r="K712" s="4">
        <f>VLOOKUP(J712,Exchange_Rates!A:B,2,FALSE)</f>
        <v>1</v>
      </c>
      <c r="L712" s="4">
        <f t="shared" si="44"/>
        <v>0</v>
      </c>
      <c r="M712" s="4">
        <f t="shared" si="45"/>
        <v>1701.37</v>
      </c>
      <c r="N712" s="4">
        <f t="shared" si="46"/>
        <v>2023</v>
      </c>
      <c r="O712" s="4">
        <f t="shared" si="47"/>
        <v>2</v>
      </c>
    </row>
    <row r="713" spans="1:15" x14ac:dyDescent="0.25">
      <c r="A713" t="s">
        <v>1465</v>
      </c>
      <c r="B713" s="2">
        <v>45803</v>
      </c>
      <c r="C713" t="s">
        <v>49</v>
      </c>
      <c r="D713" t="s">
        <v>50</v>
      </c>
      <c r="E713">
        <v>706.44</v>
      </c>
      <c r="F713">
        <v>0</v>
      </c>
      <c r="G713" t="s">
        <v>9</v>
      </c>
      <c r="H713" t="s">
        <v>40</v>
      </c>
      <c r="I713" t="s">
        <v>1466</v>
      </c>
      <c r="J713" t="s">
        <v>45</v>
      </c>
      <c r="K713" s="4">
        <f>VLOOKUP(J713,Exchange_Rates!A:B,2,FALSE)</f>
        <v>1</v>
      </c>
      <c r="L713" s="4">
        <f t="shared" si="44"/>
        <v>706.44</v>
      </c>
      <c r="M713" s="4">
        <f t="shared" si="45"/>
        <v>0</v>
      </c>
      <c r="N713" s="4">
        <f t="shared" si="46"/>
        <v>2025</v>
      </c>
      <c r="O713" s="4">
        <f t="shared" si="47"/>
        <v>2</v>
      </c>
    </row>
    <row r="714" spans="1:15" x14ac:dyDescent="0.25">
      <c r="A714" t="s">
        <v>1467</v>
      </c>
      <c r="B714" s="2">
        <v>45588</v>
      </c>
      <c r="C714" t="s">
        <v>24</v>
      </c>
      <c r="D714" t="s">
        <v>25</v>
      </c>
      <c r="E714">
        <v>0</v>
      </c>
      <c r="F714">
        <v>734.04</v>
      </c>
      <c r="G714" t="s">
        <v>11</v>
      </c>
      <c r="H714" t="s">
        <v>62</v>
      </c>
      <c r="I714" t="s">
        <v>1468</v>
      </c>
      <c r="J714" t="s">
        <v>42</v>
      </c>
      <c r="K714" s="4">
        <f>VLOOKUP(J714,Exchange_Rates!A:B,2,FALSE)</f>
        <v>0.66</v>
      </c>
      <c r="L714" s="4">
        <f t="shared" si="44"/>
        <v>0</v>
      </c>
      <c r="M714" s="4">
        <f t="shared" si="45"/>
        <v>484.46640000000002</v>
      </c>
      <c r="N714" s="4">
        <f t="shared" si="46"/>
        <v>2024</v>
      </c>
      <c r="O714" s="4">
        <f t="shared" si="47"/>
        <v>4</v>
      </c>
    </row>
    <row r="715" spans="1:15" x14ac:dyDescent="0.25">
      <c r="A715" t="s">
        <v>1469</v>
      </c>
      <c r="B715" s="2">
        <v>45752</v>
      </c>
      <c r="C715" t="s">
        <v>49</v>
      </c>
      <c r="D715" t="s">
        <v>50</v>
      </c>
      <c r="E715">
        <v>1551.77</v>
      </c>
      <c r="F715">
        <v>0</v>
      </c>
      <c r="G715" t="s">
        <v>11</v>
      </c>
      <c r="H715" t="s">
        <v>40</v>
      </c>
      <c r="I715" t="s">
        <v>1470</v>
      </c>
      <c r="J715" t="s">
        <v>42</v>
      </c>
      <c r="K715" s="4">
        <f>VLOOKUP(J715,Exchange_Rates!A:B,2,FALSE)</f>
        <v>0.66</v>
      </c>
      <c r="L715" s="4">
        <f t="shared" si="44"/>
        <v>1024.1682000000001</v>
      </c>
      <c r="M715" s="4">
        <f t="shared" si="45"/>
        <v>0</v>
      </c>
      <c r="N715" s="4">
        <f t="shared" si="46"/>
        <v>2025</v>
      </c>
      <c r="O715" s="4">
        <f t="shared" si="47"/>
        <v>2</v>
      </c>
    </row>
    <row r="716" spans="1:15" x14ac:dyDescent="0.25">
      <c r="A716" t="s">
        <v>1471</v>
      </c>
      <c r="B716" s="2">
        <v>45368</v>
      </c>
      <c r="C716" t="s">
        <v>38</v>
      </c>
      <c r="D716" t="s">
        <v>39</v>
      </c>
      <c r="E716">
        <v>176.54</v>
      </c>
      <c r="F716">
        <v>0</v>
      </c>
      <c r="G716" t="s">
        <v>13</v>
      </c>
      <c r="H716" t="s">
        <v>51</v>
      </c>
      <c r="I716" t="s">
        <v>1472</v>
      </c>
      <c r="J716" t="s">
        <v>36</v>
      </c>
      <c r="K716" s="4">
        <f>VLOOKUP(J716,Exchange_Rates!A:B,2,FALSE)</f>
        <v>1.08</v>
      </c>
      <c r="L716" s="4">
        <f t="shared" si="44"/>
        <v>190.66320000000002</v>
      </c>
      <c r="M716" s="4">
        <f t="shared" si="45"/>
        <v>0</v>
      </c>
      <c r="N716" s="4">
        <f t="shared" si="46"/>
        <v>2024</v>
      </c>
      <c r="O716" s="4">
        <f t="shared" si="47"/>
        <v>1</v>
      </c>
    </row>
    <row r="717" spans="1:15" x14ac:dyDescent="0.25">
      <c r="A717" t="s">
        <v>1473</v>
      </c>
      <c r="B717" s="2">
        <v>45222</v>
      </c>
      <c r="C717" t="s">
        <v>60</v>
      </c>
      <c r="D717" t="s">
        <v>61</v>
      </c>
      <c r="E717">
        <v>0</v>
      </c>
      <c r="F717">
        <v>1019.92</v>
      </c>
      <c r="G717" t="s">
        <v>10</v>
      </c>
      <c r="H717" t="s">
        <v>34</v>
      </c>
      <c r="I717" t="s">
        <v>1474</v>
      </c>
      <c r="J717" t="s">
        <v>42</v>
      </c>
      <c r="K717" s="4">
        <f>VLOOKUP(J717,Exchange_Rates!A:B,2,FALSE)</f>
        <v>0.66</v>
      </c>
      <c r="L717" s="4">
        <f t="shared" si="44"/>
        <v>0</v>
      </c>
      <c r="M717" s="4">
        <f t="shared" si="45"/>
        <v>673.1472</v>
      </c>
      <c r="N717" s="4">
        <f t="shared" si="46"/>
        <v>2023</v>
      </c>
      <c r="O717" s="4">
        <f t="shared" si="47"/>
        <v>4</v>
      </c>
    </row>
    <row r="718" spans="1:15" x14ac:dyDescent="0.25">
      <c r="A718" t="s">
        <v>1475</v>
      </c>
      <c r="B718" s="2">
        <v>45476</v>
      </c>
      <c r="C718" t="s">
        <v>38</v>
      </c>
      <c r="D718" t="s">
        <v>39</v>
      </c>
      <c r="E718">
        <v>1858.28</v>
      </c>
      <c r="F718">
        <v>0</v>
      </c>
      <c r="G718" t="s">
        <v>13</v>
      </c>
      <c r="H718" t="s">
        <v>40</v>
      </c>
      <c r="I718" t="s">
        <v>1476</v>
      </c>
      <c r="J718" t="s">
        <v>45</v>
      </c>
      <c r="K718" s="4">
        <f>VLOOKUP(J718,Exchange_Rates!A:B,2,FALSE)</f>
        <v>1</v>
      </c>
      <c r="L718" s="4">
        <f t="shared" si="44"/>
        <v>1858.28</v>
      </c>
      <c r="M718" s="4">
        <f t="shared" si="45"/>
        <v>0</v>
      </c>
      <c r="N718" s="4">
        <f t="shared" si="46"/>
        <v>2024</v>
      </c>
      <c r="O718" s="4">
        <f t="shared" si="47"/>
        <v>3</v>
      </c>
    </row>
    <row r="719" spans="1:15" x14ac:dyDescent="0.25">
      <c r="A719" t="s">
        <v>1477</v>
      </c>
      <c r="B719" s="2">
        <v>45718</v>
      </c>
      <c r="C719" t="s">
        <v>38</v>
      </c>
      <c r="D719" t="s">
        <v>39</v>
      </c>
      <c r="E719">
        <v>682.74</v>
      </c>
      <c r="F719">
        <v>0</v>
      </c>
      <c r="G719" t="s">
        <v>11</v>
      </c>
      <c r="H719" t="s">
        <v>51</v>
      </c>
      <c r="I719" t="s">
        <v>1478</v>
      </c>
      <c r="J719" t="s">
        <v>45</v>
      </c>
      <c r="K719" s="4">
        <f>VLOOKUP(J719,Exchange_Rates!A:B,2,FALSE)</f>
        <v>1</v>
      </c>
      <c r="L719" s="4">
        <f t="shared" si="44"/>
        <v>682.74</v>
      </c>
      <c r="M719" s="4">
        <f t="shared" si="45"/>
        <v>0</v>
      </c>
      <c r="N719" s="4">
        <f t="shared" si="46"/>
        <v>2025</v>
      </c>
      <c r="O719" s="4">
        <f t="shared" si="47"/>
        <v>1</v>
      </c>
    </row>
    <row r="720" spans="1:15" x14ac:dyDescent="0.25">
      <c r="A720" t="s">
        <v>1479</v>
      </c>
      <c r="B720" s="2">
        <v>45689</v>
      </c>
      <c r="C720" t="s">
        <v>38</v>
      </c>
      <c r="D720" t="s">
        <v>39</v>
      </c>
      <c r="E720">
        <v>958.28</v>
      </c>
      <c r="F720">
        <v>0</v>
      </c>
      <c r="G720" t="s">
        <v>12</v>
      </c>
      <c r="H720" t="s">
        <v>26</v>
      </c>
      <c r="I720" t="s">
        <v>1480</v>
      </c>
      <c r="J720" t="s">
        <v>45</v>
      </c>
      <c r="K720" s="4">
        <f>VLOOKUP(J720,Exchange_Rates!A:B,2,FALSE)</f>
        <v>1</v>
      </c>
      <c r="L720" s="4">
        <f t="shared" si="44"/>
        <v>958.28</v>
      </c>
      <c r="M720" s="4">
        <f t="shared" si="45"/>
        <v>0</v>
      </c>
      <c r="N720" s="4">
        <f t="shared" si="46"/>
        <v>2025</v>
      </c>
      <c r="O720" s="4">
        <f t="shared" si="47"/>
        <v>1</v>
      </c>
    </row>
    <row r="721" spans="1:15" x14ac:dyDescent="0.25">
      <c r="A721" t="s">
        <v>1481</v>
      </c>
      <c r="B721" s="2">
        <v>45641</v>
      </c>
      <c r="C721" t="s">
        <v>60</v>
      </c>
      <c r="D721" t="s">
        <v>61</v>
      </c>
      <c r="E721">
        <v>0</v>
      </c>
      <c r="F721">
        <v>3448.25</v>
      </c>
      <c r="G721" t="s">
        <v>8</v>
      </c>
      <c r="H721" t="s">
        <v>62</v>
      </c>
      <c r="I721" t="s">
        <v>1482</v>
      </c>
      <c r="J721" t="s">
        <v>45</v>
      </c>
      <c r="K721" s="4">
        <f>VLOOKUP(J721,Exchange_Rates!A:B,2,FALSE)</f>
        <v>1</v>
      </c>
      <c r="L721" s="4">
        <f t="shared" si="44"/>
        <v>0</v>
      </c>
      <c r="M721" s="4">
        <f t="shared" si="45"/>
        <v>3448.25</v>
      </c>
      <c r="N721" s="4">
        <f t="shared" si="46"/>
        <v>2024</v>
      </c>
      <c r="O721" s="4">
        <f t="shared" si="47"/>
        <v>4</v>
      </c>
    </row>
    <row r="722" spans="1:15" x14ac:dyDescent="0.25">
      <c r="A722" t="s">
        <v>1483</v>
      </c>
      <c r="B722" s="2">
        <v>45700</v>
      </c>
      <c r="C722" t="s">
        <v>30</v>
      </c>
      <c r="D722" t="s">
        <v>31</v>
      </c>
      <c r="E722">
        <v>863.44</v>
      </c>
      <c r="F722">
        <v>0</v>
      </c>
      <c r="G722" t="s">
        <v>12</v>
      </c>
      <c r="H722" t="s">
        <v>51</v>
      </c>
      <c r="I722" t="s">
        <v>1484</v>
      </c>
      <c r="J722" t="s">
        <v>45</v>
      </c>
      <c r="K722" s="4">
        <f>VLOOKUP(J722,Exchange_Rates!A:B,2,FALSE)</f>
        <v>1</v>
      </c>
      <c r="L722" s="4">
        <f t="shared" si="44"/>
        <v>863.44</v>
      </c>
      <c r="M722" s="4">
        <f t="shared" si="45"/>
        <v>0</v>
      </c>
      <c r="N722" s="4">
        <f t="shared" si="46"/>
        <v>2025</v>
      </c>
      <c r="O722" s="4">
        <f t="shared" si="47"/>
        <v>1</v>
      </c>
    </row>
    <row r="723" spans="1:15" x14ac:dyDescent="0.25">
      <c r="A723" t="s">
        <v>1485</v>
      </c>
      <c r="B723" s="2">
        <v>44987</v>
      </c>
      <c r="C723" t="s">
        <v>38</v>
      </c>
      <c r="D723" t="s">
        <v>39</v>
      </c>
      <c r="E723">
        <v>1764.03</v>
      </c>
      <c r="F723">
        <v>0</v>
      </c>
      <c r="G723" t="s">
        <v>9</v>
      </c>
      <c r="H723" t="s">
        <v>26</v>
      </c>
      <c r="I723" t="s">
        <v>1486</v>
      </c>
      <c r="J723" t="s">
        <v>42</v>
      </c>
      <c r="K723" s="4">
        <f>VLOOKUP(J723,Exchange_Rates!A:B,2,FALSE)</f>
        <v>0.66</v>
      </c>
      <c r="L723" s="4">
        <f t="shared" si="44"/>
        <v>1164.2598</v>
      </c>
      <c r="M723" s="4">
        <f t="shared" si="45"/>
        <v>0</v>
      </c>
      <c r="N723" s="4">
        <f t="shared" si="46"/>
        <v>2023</v>
      </c>
      <c r="O723" s="4">
        <f t="shared" si="47"/>
        <v>1</v>
      </c>
    </row>
    <row r="724" spans="1:15" x14ac:dyDescent="0.25">
      <c r="A724" t="s">
        <v>1487</v>
      </c>
      <c r="B724" s="2">
        <v>45632</v>
      </c>
      <c r="C724" t="s">
        <v>49</v>
      </c>
      <c r="D724" t="s">
        <v>50</v>
      </c>
      <c r="E724">
        <v>1182.72</v>
      </c>
      <c r="F724">
        <v>0</v>
      </c>
      <c r="G724" t="s">
        <v>8</v>
      </c>
      <c r="H724" t="s">
        <v>62</v>
      </c>
      <c r="I724" t="s">
        <v>1488</v>
      </c>
      <c r="J724" t="s">
        <v>36</v>
      </c>
      <c r="K724" s="4">
        <f>VLOOKUP(J724,Exchange_Rates!A:B,2,FALSE)</f>
        <v>1.08</v>
      </c>
      <c r="L724" s="4">
        <f t="shared" si="44"/>
        <v>1277.3376000000001</v>
      </c>
      <c r="M724" s="4">
        <f t="shared" si="45"/>
        <v>0</v>
      </c>
      <c r="N724" s="4">
        <f t="shared" si="46"/>
        <v>2024</v>
      </c>
      <c r="O724" s="4">
        <f t="shared" si="47"/>
        <v>4</v>
      </c>
    </row>
    <row r="725" spans="1:15" x14ac:dyDescent="0.25">
      <c r="A725" t="s">
        <v>1489</v>
      </c>
      <c r="B725" s="2">
        <v>45756</v>
      </c>
      <c r="C725" t="s">
        <v>38</v>
      </c>
      <c r="D725" t="s">
        <v>39</v>
      </c>
      <c r="E725">
        <v>1094.9100000000001</v>
      </c>
      <c r="F725">
        <v>0</v>
      </c>
      <c r="G725" t="s">
        <v>9</v>
      </c>
      <c r="H725" t="s">
        <v>40</v>
      </c>
      <c r="I725" t="s">
        <v>1490</v>
      </c>
      <c r="J725" t="s">
        <v>28</v>
      </c>
      <c r="K725" s="4">
        <f>VLOOKUP(J725,Exchange_Rates!A:B,2,FALSE)</f>
        <v>1.27</v>
      </c>
      <c r="L725" s="4">
        <f t="shared" si="44"/>
        <v>1390.5357000000001</v>
      </c>
      <c r="M725" s="4">
        <f t="shared" si="45"/>
        <v>0</v>
      </c>
      <c r="N725" s="4">
        <f t="shared" si="46"/>
        <v>2025</v>
      </c>
      <c r="O725" s="4">
        <f t="shared" si="47"/>
        <v>2</v>
      </c>
    </row>
    <row r="726" spans="1:15" x14ac:dyDescent="0.25">
      <c r="A726" t="s">
        <v>1491</v>
      </c>
      <c r="B726" s="2">
        <v>45821</v>
      </c>
      <c r="C726" t="s">
        <v>49</v>
      </c>
      <c r="D726" t="s">
        <v>50</v>
      </c>
      <c r="E726">
        <v>889.16</v>
      </c>
      <c r="F726">
        <v>0</v>
      </c>
      <c r="G726" t="s">
        <v>9</v>
      </c>
      <c r="H726" t="s">
        <v>62</v>
      </c>
      <c r="I726" t="s">
        <v>1492</v>
      </c>
      <c r="J726" t="s">
        <v>28</v>
      </c>
      <c r="K726" s="4">
        <f>VLOOKUP(J726,Exchange_Rates!A:B,2,FALSE)</f>
        <v>1.27</v>
      </c>
      <c r="L726" s="4">
        <f t="shared" si="44"/>
        <v>1129.2331999999999</v>
      </c>
      <c r="M726" s="4">
        <f t="shared" si="45"/>
        <v>0</v>
      </c>
      <c r="N726" s="4">
        <f t="shared" si="46"/>
        <v>2025</v>
      </c>
      <c r="O726" s="4">
        <f t="shared" si="47"/>
        <v>2</v>
      </c>
    </row>
    <row r="727" spans="1:15" x14ac:dyDescent="0.25">
      <c r="A727" t="s">
        <v>1493</v>
      </c>
      <c r="B727" s="2">
        <v>45442</v>
      </c>
      <c r="C727" t="s">
        <v>30</v>
      </c>
      <c r="D727" t="s">
        <v>31</v>
      </c>
      <c r="E727">
        <v>1474.83</v>
      </c>
      <c r="F727">
        <v>0</v>
      </c>
      <c r="G727" t="s">
        <v>9</v>
      </c>
      <c r="H727" t="s">
        <v>51</v>
      </c>
      <c r="I727" t="s">
        <v>1494</v>
      </c>
      <c r="J727" t="s">
        <v>45</v>
      </c>
      <c r="K727" s="4">
        <f>VLOOKUP(J727,Exchange_Rates!A:B,2,FALSE)</f>
        <v>1</v>
      </c>
      <c r="L727" s="4">
        <f t="shared" si="44"/>
        <v>1474.83</v>
      </c>
      <c r="M727" s="4">
        <f t="shared" si="45"/>
        <v>0</v>
      </c>
      <c r="N727" s="4">
        <f t="shared" si="46"/>
        <v>2024</v>
      </c>
      <c r="O727" s="4">
        <f t="shared" si="47"/>
        <v>2</v>
      </c>
    </row>
    <row r="728" spans="1:15" x14ac:dyDescent="0.25">
      <c r="A728" t="s">
        <v>1495</v>
      </c>
      <c r="B728" s="2">
        <v>45326</v>
      </c>
      <c r="C728" t="s">
        <v>30</v>
      </c>
      <c r="D728" t="s">
        <v>31</v>
      </c>
      <c r="E728">
        <v>1846.14</v>
      </c>
      <c r="F728">
        <v>0</v>
      </c>
      <c r="G728" t="s">
        <v>9</v>
      </c>
      <c r="H728" t="s">
        <v>34</v>
      </c>
      <c r="I728" t="s">
        <v>1496</v>
      </c>
      <c r="J728" t="s">
        <v>64</v>
      </c>
      <c r="K728" s="4">
        <f>VLOOKUP(J728,Exchange_Rates!A:B,2,FALSE)</f>
        <v>0.73</v>
      </c>
      <c r="L728" s="4">
        <f t="shared" si="44"/>
        <v>1347.6822</v>
      </c>
      <c r="M728" s="4">
        <f t="shared" si="45"/>
        <v>0</v>
      </c>
      <c r="N728" s="4">
        <f t="shared" si="46"/>
        <v>2024</v>
      </c>
      <c r="O728" s="4">
        <f t="shared" si="47"/>
        <v>1</v>
      </c>
    </row>
    <row r="729" spans="1:15" x14ac:dyDescent="0.25">
      <c r="A729" t="s">
        <v>1497</v>
      </c>
      <c r="B729" s="2">
        <v>45704</v>
      </c>
      <c r="C729" t="s">
        <v>24</v>
      </c>
      <c r="D729" t="s">
        <v>25</v>
      </c>
      <c r="E729">
        <v>0</v>
      </c>
      <c r="F729">
        <v>4903.1499999999996</v>
      </c>
      <c r="G729" t="s">
        <v>10</v>
      </c>
      <c r="H729" t="s">
        <v>40</v>
      </c>
      <c r="I729" t="s">
        <v>1498</v>
      </c>
      <c r="J729" t="s">
        <v>42</v>
      </c>
      <c r="K729" s="4">
        <f>VLOOKUP(J729,Exchange_Rates!A:B,2,FALSE)</f>
        <v>0.66</v>
      </c>
      <c r="L729" s="4">
        <f t="shared" si="44"/>
        <v>0</v>
      </c>
      <c r="M729" s="4">
        <f t="shared" si="45"/>
        <v>3236.0789999999997</v>
      </c>
      <c r="N729" s="4">
        <f t="shared" si="46"/>
        <v>2025</v>
      </c>
      <c r="O729" s="4">
        <f t="shared" si="47"/>
        <v>1</v>
      </c>
    </row>
    <row r="730" spans="1:15" x14ac:dyDescent="0.25">
      <c r="A730" t="s">
        <v>1499</v>
      </c>
      <c r="B730" s="2">
        <v>45615</v>
      </c>
      <c r="C730" t="s">
        <v>24</v>
      </c>
      <c r="D730" t="s">
        <v>25</v>
      </c>
      <c r="E730">
        <v>0</v>
      </c>
      <c r="F730">
        <v>2093.2399999999998</v>
      </c>
      <c r="G730" t="s">
        <v>13</v>
      </c>
      <c r="H730" t="s">
        <v>62</v>
      </c>
      <c r="I730" t="s">
        <v>1500</v>
      </c>
      <c r="J730" t="s">
        <v>42</v>
      </c>
      <c r="K730" s="4">
        <f>VLOOKUP(J730,Exchange_Rates!A:B,2,FALSE)</f>
        <v>0.66</v>
      </c>
      <c r="L730" s="4">
        <f t="shared" si="44"/>
        <v>0</v>
      </c>
      <c r="M730" s="4">
        <f t="shared" si="45"/>
        <v>1381.5383999999999</v>
      </c>
      <c r="N730" s="4">
        <f t="shared" si="46"/>
        <v>2024</v>
      </c>
      <c r="O730" s="4">
        <f t="shared" si="47"/>
        <v>4</v>
      </c>
    </row>
    <row r="731" spans="1:15" x14ac:dyDescent="0.25">
      <c r="A731" t="s">
        <v>1501</v>
      </c>
      <c r="B731" s="2">
        <v>45450</v>
      </c>
      <c r="C731" t="s">
        <v>38</v>
      </c>
      <c r="D731" t="s">
        <v>39</v>
      </c>
      <c r="E731">
        <v>1171.3</v>
      </c>
      <c r="F731">
        <v>0</v>
      </c>
      <c r="G731" t="s">
        <v>11</v>
      </c>
      <c r="H731" t="s">
        <v>26</v>
      </c>
      <c r="I731" t="s">
        <v>1502</v>
      </c>
      <c r="J731" t="s">
        <v>64</v>
      </c>
      <c r="K731" s="4">
        <f>VLOOKUP(J731,Exchange_Rates!A:B,2,FALSE)</f>
        <v>0.73</v>
      </c>
      <c r="L731" s="4">
        <f t="shared" si="44"/>
        <v>855.04899999999998</v>
      </c>
      <c r="M731" s="4">
        <f t="shared" si="45"/>
        <v>0</v>
      </c>
      <c r="N731" s="4">
        <f t="shared" si="46"/>
        <v>2024</v>
      </c>
      <c r="O731" s="4">
        <f t="shared" si="47"/>
        <v>2</v>
      </c>
    </row>
    <row r="732" spans="1:15" x14ac:dyDescent="0.25">
      <c r="A732" t="s">
        <v>1503</v>
      </c>
      <c r="B732" s="2">
        <v>45540</v>
      </c>
      <c r="C732" t="s">
        <v>49</v>
      </c>
      <c r="D732" t="s">
        <v>50</v>
      </c>
      <c r="E732">
        <v>930.25</v>
      </c>
      <c r="F732">
        <v>0</v>
      </c>
      <c r="G732" t="s">
        <v>10</v>
      </c>
      <c r="H732" t="s">
        <v>26</v>
      </c>
      <c r="I732" t="s">
        <v>1504</v>
      </c>
      <c r="J732" t="s">
        <v>28</v>
      </c>
      <c r="K732" s="4">
        <f>VLOOKUP(J732,Exchange_Rates!A:B,2,FALSE)</f>
        <v>1.27</v>
      </c>
      <c r="L732" s="4">
        <f t="shared" si="44"/>
        <v>1181.4175</v>
      </c>
      <c r="M732" s="4">
        <f t="shared" si="45"/>
        <v>0</v>
      </c>
      <c r="N732" s="4">
        <f t="shared" si="46"/>
        <v>2024</v>
      </c>
      <c r="O732" s="4">
        <f t="shared" si="47"/>
        <v>3</v>
      </c>
    </row>
    <row r="733" spans="1:15" x14ac:dyDescent="0.25">
      <c r="A733" t="s">
        <v>1505</v>
      </c>
      <c r="B733" s="2">
        <v>45543</v>
      </c>
      <c r="C733" t="s">
        <v>24</v>
      </c>
      <c r="D733" t="s">
        <v>25</v>
      </c>
      <c r="E733">
        <v>0</v>
      </c>
      <c r="F733">
        <v>4977.82</v>
      </c>
      <c r="G733" t="s">
        <v>10</v>
      </c>
      <c r="H733" t="s">
        <v>40</v>
      </c>
      <c r="I733" t="s">
        <v>1506</v>
      </c>
      <c r="J733" t="s">
        <v>64</v>
      </c>
      <c r="K733" s="4">
        <f>VLOOKUP(J733,Exchange_Rates!A:B,2,FALSE)</f>
        <v>0.73</v>
      </c>
      <c r="L733" s="4">
        <f t="shared" si="44"/>
        <v>0</v>
      </c>
      <c r="M733" s="4">
        <f t="shared" si="45"/>
        <v>3633.8085999999998</v>
      </c>
      <c r="N733" s="4">
        <f t="shared" si="46"/>
        <v>2024</v>
      </c>
      <c r="O733" s="4">
        <f t="shared" si="47"/>
        <v>3</v>
      </c>
    </row>
    <row r="734" spans="1:15" x14ac:dyDescent="0.25">
      <c r="A734" t="s">
        <v>1507</v>
      </c>
      <c r="B734" s="2">
        <v>45080</v>
      </c>
      <c r="C734" t="s">
        <v>49</v>
      </c>
      <c r="D734" t="s">
        <v>50</v>
      </c>
      <c r="E734">
        <v>1937.34</v>
      </c>
      <c r="F734">
        <v>0</v>
      </c>
      <c r="G734" t="s">
        <v>12</v>
      </c>
      <c r="H734" t="s">
        <v>62</v>
      </c>
      <c r="I734" t="s">
        <v>1508</v>
      </c>
      <c r="J734" t="s">
        <v>42</v>
      </c>
      <c r="K734" s="4">
        <f>VLOOKUP(J734,Exchange_Rates!A:B,2,FALSE)</f>
        <v>0.66</v>
      </c>
      <c r="L734" s="4">
        <f t="shared" si="44"/>
        <v>1278.6443999999999</v>
      </c>
      <c r="M734" s="4">
        <f t="shared" si="45"/>
        <v>0</v>
      </c>
      <c r="N734" s="4">
        <f t="shared" si="46"/>
        <v>2023</v>
      </c>
      <c r="O734" s="4">
        <f t="shared" si="47"/>
        <v>2</v>
      </c>
    </row>
    <row r="735" spans="1:15" x14ac:dyDescent="0.25">
      <c r="A735" t="s">
        <v>1509</v>
      </c>
      <c r="B735" s="2">
        <v>45794</v>
      </c>
      <c r="C735" t="s">
        <v>24</v>
      </c>
      <c r="D735" t="s">
        <v>25</v>
      </c>
      <c r="E735">
        <v>0</v>
      </c>
      <c r="F735">
        <v>1978.42</v>
      </c>
      <c r="G735" t="s">
        <v>12</v>
      </c>
      <c r="H735" t="s">
        <v>62</v>
      </c>
      <c r="I735" t="s">
        <v>1510</v>
      </c>
      <c r="J735" t="s">
        <v>36</v>
      </c>
      <c r="K735" s="4">
        <f>VLOOKUP(J735,Exchange_Rates!A:B,2,FALSE)</f>
        <v>1.08</v>
      </c>
      <c r="L735" s="4">
        <f t="shared" si="44"/>
        <v>0</v>
      </c>
      <c r="M735" s="4">
        <f t="shared" si="45"/>
        <v>2136.6936000000001</v>
      </c>
      <c r="N735" s="4">
        <f t="shared" si="46"/>
        <v>2025</v>
      </c>
      <c r="O735" s="4">
        <f t="shared" si="47"/>
        <v>2</v>
      </c>
    </row>
    <row r="736" spans="1:15" x14ac:dyDescent="0.25">
      <c r="A736" t="s">
        <v>1511</v>
      </c>
      <c r="B736" s="2">
        <v>45445</v>
      </c>
      <c r="C736" t="s">
        <v>38</v>
      </c>
      <c r="D736" t="s">
        <v>39</v>
      </c>
      <c r="E736">
        <v>678.83</v>
      </c>
      <c r="F736">
        <v>0</v>
      </c>
      <c r="G736" t="s">
        <v>8</v>
      </c>
      <c r="H736" t="s">
        <v>51</v>
      </c>
      <c r="I736" t="s">
        <v>1512</v>
      </c>
      <c r="J736" t="s">
        <v>42</v>
      </c>
      <c r="K736" s="4">
        <f>VLOOKUP(J736,Exchange_Rates!A:B,2,FALSE)</f>
        <v>0.66</v>
      </c>
      <c r="L736" s="4">
        <f t="shared" si="44"/>
        <v>448.02780000000007</v>
      </c>
      <c r="M736" s="4">
        <f t="shared" si="45"/>
        <v>0</v>
      </c>
      <c r="N736" s="4">
        <f t="shared" si="46"/>
        <v>2024</v>
      </c>
      <c r="O736" s="4">
        <f t="shared" si="47"/>
        <v>2</v>
      </c>
    </row>
    <row r="737" spans="1:15" x14ac:dyDescent="0.25">
      <c r="A737" t="s">
        <v>1513</v>
      </c>
      <c r="B737" s="2">
        <v>45344</v>
      </c>
      <c r="C737" t="s">
        <v>60</v>
      </c>
      <c r="D737" t="s">
        <v>61</v>
      </c>
      <c r="E737">
        <v>0</v>
      </c>
      <c r="F737">
        <v>463.02</v>
      </c>
      <c r="G737" t="s">
        <v>13</v>
      </c>
      <c r="H737" t="s">
        <v>26</v>
      </c>
      <c r="I737" t="s">
        <v>1514</v>
      </c>
      <c r="J737" t="s">
        <v>28</v>
      </c>
      <c r="K737" s="4">
        <f>VLOOKUP(J737,Exchange_Rates!A:B,2,FALSE)</f>
        <v>1.27</v>
      </c>
      <c r="L737" s="4">
        <f t="shared" si="44"/>
        <v>0</v>
      </c>
      <c r="M737" s="4">
        <f t="shared" si="45"/>
        <v>588.03539999999998</v>
      </c>
      <c r="N737" s="4">
        <f t="shared" si="46"/>
        <v>2024</v>
      </c>
      <c r="O737" s="4">
        <f t="shared" si="47"/>
        <v>1</v>
      </c>
    </row>
    <row r="738" spans="1:15" x14ac:dyDescent="0.25">
      <c r="A738" t="s">
        <v>1515</v>
      </c>
      <c r="B738" s="2">
        <v>45403</v>
      </c>
      <c r="C738" t="s">
        <v>49</v>
      </c>
      <c r="D738" t="s">
        <v>50</v>
      </c>
      <c r="E738">
        <v>1296.07</v>
      </c>
      <c r="F738">
        <v>0</v>
      </c>
      <c r="G738" t="s">
        <v>9</v>
      </c>
      <c r="H738" t="s">
        <v>62</v>
      </c>
      <c r="I738" t="s">
        <v>1516</v>
      </c>
      <c r="J738" t="s">
        <v>42</v>
      </c>
      <c r="K738" s="4">
        <f>VLOOKUP(J738,Exchange_Rates!A:B,2,FALSE)</f>
        <v>0.66</v>
      </c>
      <c r="L738" s="4">
        <f t="shared" si="44"/>
        <v>855.40620000000001</v>
      </c>
      <c r="M738" s="4">
        <f t="shared" si="45"/>
        <v>0</v>
      </c>
      <c r="N738" s="4">
        <f t="shared" si="46"/>
        <v>2024</v>
      </c>
      <c r="O738" s="4">
        <f t="shared" si="47"/>
        <v>2</v>
      </c>
    </row>
    <row r="739" spans="1:15" x14ac:dyDescent="0.25">
      <c r="A739" t="s">
        <v>1517</v>
      </c>
      <c r="B739" s="2">
        <v>45271</v>
      </c>
      <c r="C739" t="s">
        <v>60</v>
      </c>
      <c r="D739" t="s">
        <v>61</v>
      </c>
      <c r="E739">
        <v>0</v>
      </c>
      <c r="F739">
        <v>3270.5</v>
      </c>
      <c r="G739" t="s">
        <v>11</v>
      </c>
      <c r="H739" t="s">
        <v>34</v>
      </c>
      <c r="I739" t="s">
        <v>1518</v>
      </c>
      <c r="J739" t="s">
        <v>36</v>
      </c>
      <c r="K739" s="4">
        <f>VLOOKUP(J739,Exchange_Rates!A:B,2,FALSE)</f>
        <v>1.08</v>
      </c>
      <c r="L739" s="4">
        <f t="shared" si="44"/>
        <v>0</v>
      </c>
      <c r="M739" s="4">
        <f t="shared" si="45"/>
        <v>3532.1400000000003</v>
      </c>
      <c r="N739" s="4">
        <f t="shared" si="46"/>
        <v>2023</v>
      </c>
      <c r="O739" s="4">
        <f t="shared" si="47"/>
        <v>4</v>
      </c>
    </row>
    <row r="740" spans="1:15" x14ac:dyDescent="0.25">
      <c r="A740" t="s">
        <v>1519</v>
      </c>
      <c r="B740" s="2">
        <v>45380</v>
      </c>
      <c r="C740" t="s">
        <v>60</v>
      </c>
      <c r="D740" t="s">
        <v>61</v>
      </c>
      <c r="E740">
        <v>0</v>
      </c>
      <c r="F740">
        <v>2188.77</v>
      </c>
      <c r="G740" t="s">
        <v>8</v>
      </c>
      <c r="H740" t="s">
        <v>51</v>
      </c>
      <c r="I740" t="s">
        <v>1520</v>
      </c>
      <c r="J740" t="s">
        <v>64</v>
      </c>
      <c r="K740" s="4">
        <f>VLOOKUP(J740,Exchange_Rates!A:B,2,FALSE)</f>
        <v>0.73</v>
      </c>
      <c r="L740" s="4">
        <f t="shared" si="44"/>
        <v>0</v>
      </c>
      <c r="M740" s="4">
        <f t="shared" si="45"/>
        <v>1597.8020999999999</v>
      </c>
      <c r="N740" s="4">
        <f t="shared" si="46"/>
        <v>2024</v>
      </c>
      <c r="O740" s="4">
        <f t="shared" si="47"/>
        <v>1</v>
      </c>
    </row>
    <row r="741" spans="1:15" x14ac:dyDescent="0.25">
      <c r="A741" t="s">
        <v>1521</v>
      </c>
      <c r="B741" s="2">
        <v>45569</v>
      </c>
      <c r="C741" t="s">
        <v>30</v>
      </c>
      <c r="D741" t="s">
        <v>31</v>
      </c>
      <c r="E741">
        <v>655.77</v>
      </c>
      <c r="F741">
        <v>0</v>
      </c>
      <c r="G741" t="s">
        <v>9</v>
      </c>
      <c r="H741" t="s">
        <v>62</v>
      </c>
      <c r="I741" t="s">
        <v>1522</v>
      </c>
      <c r="J741" t="s">
        <v>42</v>
      </c>
      <c r="K741" s="4">
        <f>VLOOKUP(J741,Exchange_Rates!A:B,2,FALSE)</f>
        <v>0.66</v>
      </c>
      <c r="L741" s="4">
        <f t="shared" si="44"/>
        <v>432.8082</v>
      </c>
      <c r="M741" s="4">
        <f t="shared" si="45"/>
        <v>0</v>
      </c>
      <c r="N741" s="4">
        <f t="shared" si="46"/>
        <v>2024</v>
      </c>
      <c r="O741" s="4">
        <f t="shared" si="47"/>
        <v>4</v>
      </c>
    </row>
    <row r="742" spans="1:15" x14ac:dyDescent="0.25">
      <c r="A742" t="s">
        <v>1523</v>
      </c>
      <c r="B742" s="2">
        <v>45524</v>
      </c>
      <c r="C742" t="s">
        <v>38</v>
      </c>
      <c r="D742" t="s">
        <v>39</v>
      </c>
      <c r="E742">
        <v>407.27</v>
      </c>
      <c r="F742">
        <v>0</v>
      </c>
      <c r="G742" t="s">
        <v>8</v>
      </c>
      <c r="H742" t="s">
        <v>51</v>
      </c>
      <c r="I742" t="s">
        <v>1524</v>
      </c>
      <c r="J742" t="s">
        <v>28</v>
      </c>
      <c r="K742" s="4">
        <f>VLOOKUP(J742,Exchange_Rates!A:B,2,FALSE)</f>
        <v>1.27</v>
      </c>
      <c r="L742" s="4">
        <f t="shared" si="44"/>
        <v>517.23289999999997</v>
      </c>
      <c r="M742" s="4">
        <f t="shared" si="45"/>
        <v>0</v>
      </c>
      <c r="N742" s="4">
        <f t="shared" si="46"/>
        <v>2024</v>
      </c>
      <c r="O742" s="4">
        <f t="shared" si="47"/>
        <v>3</v>
      </c>
    </row>
    <row r="743" spans="1:15" x14ac:dyDescent="0.25">
      <c r="A743" t="s">
        <v>1525</v>
      </c>
      <c r="B743" s="2">
        <v>45273</v>
      </c>
      <c r="C743" t="s">
        <v>49</v>
      </c>
      <c r="D743" t="s">
        <v>50</v>
      </c>
      <c r="E743">
        <v>744.16</v>
      </c>
      <c r="F743">
        <v>0</v>
      </c>
      <c r="G743" t="s">
        <v>9</v>
      </c>
      <c r="H743" t="s">
        <v>26</v>
      </c>
      <c r="I743" t="s">
        <v>1526</v>
      </c>
      <c r="J743" t="s">
        <v>28</v>
      </c>
      <c r="K743" s="4">
        <f>VLOOKUP(J743,Exchange_Rates!A:B,2,FALSE)</f>
        <v>1.27</v>
      </c>
      <c r="L743" s="4">
        <f t="shared" si="44"/>
        <v>945.08319999999992</v>
      </c>
      <c r="M743" s="4">
        <f t="shared" si="45"/>
        <v>0</v>
      </c>
      <c r="N743" s="4">
        <f t="shared" si="46"/>
        <v>2023</v>
      </c>
      <c r="O743" s="4">
        <f t="shared" si="47"/>
        <v>4</v>
      </c>
    </row>
    <row r="744" spans="1:15" x14ac:dyDescent="0.25">
      <c r="A744" t="s">
        <v>1527</v>
      </c>
      <c r="B744" s="2">
        <v>45139</v>
      </c>
      <c r="C744" t="s">
        <v>60</v>
      </c>
      <c r="D744" t="s">
        <v>61</v>
      </c>
      <c r="E744">
        <v>0</v>
      </c>
      <c r="F744">
        <v>4474.66</v>
      </c>
      <c r="G744" t="s">
        <v>9</v>
      </c>
      <c r="H744" t="s">
        <v>34</v>
      </c>
      <c r="I744" t="s">
        <v>1528</v>
      </c>
      <c r="J744" t="s">
        <v>28</v>
      </c>
      <c r="K744" s="4">
        <f>VLOOKUP(J744,Exchange_Rates!A:B,2,FALSE)</f>
        <v>1.27</v>
      </c>
      <c r="L744" s="4">
        <f t="shared" si="44"/>
        <v>0</v>
      </c>
      <c r="M744" s="4">
        <f t="shared" si="45"/>
        <v>5682.8181999999997</v>
      </c>
      <c r="N744" s="4">
        <f t="shared" si="46"/>
        <v>2023</v>
      </c>
      <c r="O744" s="4">
        <f t="shared" si="47"/>
        <v>3</v>
      </c>
    </row>
    <row r="745" spans="1:15" x14ac:dyDescent="0.25">
      <c r="A745" t="s">
        <v>1529</v>
      </c>
      <c r="B745" s="2">
        <v>45754</v>
      </c>
      <c r="C745" t="s">
        <v>30</v>
      </c>
      <c r="D745" t="s">
        <v>31</v>
      </c>
      <c r="E745">
        <v>75.27</v>
      </c>
      <c r="F745">
        <v>0</v>
      </c>
      <c r="G745" t="s">
        <v>13</v>
      </c>
      <c r="H745" t="s">
        <v>40</v>
      </c>
      <c r="I745" t="s">
        <v>1530</v>
      </c>
      <c r="J745" t="s">
        <v>36</v>
      </c>
      <c r="K745" s="4">
        <f>VLOOKUP(J745,Exchange_Rates!A:B,2,FALSE)</f>
        <v>1.08</v>
      </c>
      <c r="L745" s="4">
        <f t="shared" si="44"/>
        <v>81.291600000000003</v>
      </c>
      <c r="M745" s="4">
        <f t="shared" si="45"/>
        <v>0</v>
      </c>
      <c r="N745" s="4">
        <f t="shared" si="46"/>
        <v>2025</v>
      </c>
      <c r="O745" s="4">
        <f t="shared" si="47"/>
        <v>2</v>
      </c>
    </row>
    <row r="746" spans="1:15" x14ac:dyDescent="0.25">
      <c r="A746" t="s">
        <v>1531</v>
      </c>
      <c r="B746" s="2">
        <v>45663</v>
      </c>
      <c r="C746" t="s">
        <v>30</v>
      </c>
      <c r="D746" t="s">
        <v>31</v>
      </c>
      <c r="E746">
        <v>1164.26</v>
      </c>
      <c r="F746">
        <v>0</v>
      </c>
      <c r="G746" t="s">
        <v>9</v>
      </c>
      <c r="H746" t="s">
        <v>40</v>
      </c>
      <c r="I746" t="s">
        <v>1532</v>
      </c>
      <c r="J746" t="s">
        <v>36</v>
      </c>
      <c r="K746" s="4">
        <f>VLOOKUP(J746,Exchange_Rates!A:B,2,FALSE)</f>
        <v>1.08</v>
      </c>
      <c r="L746" s="4">
        <f t="shared" si="44"/>
        <v>1257.4008000000001</v>
      </c>
      <c r="M746" s="4">
        <f t="shared" si="45"/>
        <v>0</v>
      </c>
      <c r="N746" s="4">
        <f t="shared" si="46"/>
        <v>2025</v>
      </c>
      <c r="O746" s="4">
        <f t="shared" si="47"/>
        <v>1</v>
      </c>
    </row>
    <row r="747" spans="1:15" x14ac:dyDescent="0.25">
      <c r="A747" t="s">
        <v>1533</v>
      </c>
      <c r="B747" s="2">
        <v>44988</v>
      </c>
      <c r="C747" t="s">
        <v>30</v>
      </c>
      <c r="D747" t="s">
        <v>31</v>
      </c>
      <c r="E747">
        <v>937.56</v>
      </c>
      <c r="F747">
        <v>0</v>
      </c>
      <c r="G747" t="s">
        <v>11</v>
      </c>
      <c r="H747" t="s">
        <v>62</v>
      </c>
      <c r="I747" t="s">
        <v>1534</v>
      </c>
      <c r="J747" t="s">
        <v>42</v>
      </c>
      <c r="K747" s="4">
        <f>VLOOKUP(J747,Exchange_Rates!A:B,2,FALSE)</f>
        <v>0.66</v>
      </c>
      <c r="L747" s="4">
        <f t="shared" si="44"/>
        <v>618.78959999999995</v>
      </c>
      <c r="M747" s="4">
        <f t="shared" si="45"/>
        <v>0</v>
      </c>
      <c r="N747" s="4">
        <f t="shared" si="46"/>
        <v>2023</v>
      </c>
      <c r="O747" s="4">
        <f t="shared" si="47"/>
        <v>1</v>
      </c>
    </row>
    <row r="748" spans="1:15" x14ac:dyDescent="0.25">
      <c r="A748" t="s">
        <v>1535</v>
      </c>
      <c r="B748" s="2">
        <v>45578</v>
      </c>
      <c r="C748" t="s">
        <v>60</v>
      </c>
      <c r="D748" t="s">
        <v>61</v>
      </c>
      <c r="E748">
        <v>0</v>
      </c>
      <c r="F748">
        <v>4164.95</v>
      </c>
      <c r="G748" t="s">
        <v>11</v>
      </c>
      <c r="H748" t="s">
        <v>34</v>
      </c>
      <c r="I748" t="s">
        <v>1536</v>
      </c>
      <c r="J748" t="s">
        <v>28</v>
      </c>
      <c r="K748" s="4">
        <f>VLOOKUP(J748,Exchange_Rates!A:B,2,FALSE)</f>
        <v>1.27</v>
      </c>
      <c r="L748" s="4">
        <f t="shared" si="44"/>
        <v>0</v>
      </c>
      <c r="M748" s="4">
        <f t="shared" si="45"/>
        <v>5289.4865</v>
      </c>
      <c r="N748" s="4">
        <f t="shared" si="46"/>
        <v>2024</v>
      </c>
      <c r="O748" s="4">
        <f t="shared" si="47"/>
        <v>4</v>
      </c>
    </row>
    <row r="749" spans="1:15" x14ac:dyDescent="0.25">
      <c r="A749" t="s">
        <v>1537</v>
      </c>
      <c r="B749" s="2">
        <v>44949</v>
      </c>
      <c r="C749" t="s">
        <v>24</v>
      </c>
      <c r="D749" t="s">
        <v>25</v>
      </c>
      <c r="E749">
        <v>0</v>
      </c>
      <c r="F749">
        <v>2820.1</v>
      </c>
      <c r="G749" t="s">
        <v>8</v>
      </c>
      <c r="H749" t="s">
        <v>51</v>
      </c>
      <c r="I749" t="s">
        <v>1538</v>
      </c>
      <c r="J749" t="s">
        <v>28</v>
      </c>
      <c r="K749" s="4">
        <f>VLOOKUP(J749,Exchange_Rates!A:B,2,FALSE)</f>
        <v>1.27</v>
      </c>
      <c r="L749" s="4">
        <f t="shared" si="44"/>
        <v>0</v>
      </c>
      <c r="M749" s="4">
        <f t="shared" si="45"/>
        <v>3581.527</v>
      </c>
      <c r="N749" s="4">
        <f t="shared" si="46"/>
        <v>2023</v>
      </c>
      <c r="O749" s="4">
        <f t="shared" si="47"/>
        <v>1</v>
      </c>
    </row>
    <row r="750" spans="1:15" x14ac:dyDescent="0.25">
      <c r="A750" t="s">
        <v>1539</v>
      </c>
      <c r="B750" s="2">
        <v>45019</v>
      </c>
      <c r="C750" t="s">
        <v>24</v>
      </c>
      <c r="D750" t="s">
        <v>25</v>
      </c>
      <c r="E750">
        <v>0</v>
      </c>
      <c r="F750">
        <v>2983.93</v>
      </c>
      <c r="G750" t="s">
        <v>10</v>
      </c>
      <c r="H750" t="s">
        <v>26</v>
      </c>
      <c r="I750" t="s">
        <v>1540</v>
      </c>
      <c r="J750" t="s">
        <v>42</v>
      </c>
      <c r="K750" s="4">
        <f>VLOOKUP(J750,Exchange_Rates!A:B,2,FALSE)</f>
        <v>0.66</v>
      </c>
      <c r="L750" s="4">
        <f t="shared" si="44"/>
        <v>0</v>
      </c>
      <c r="M750" s="4">
        <f t="shared" si="45"/>
        <v>1969.3938000000001</v>
      </c>
      <c r="N750" s="4">
        <f t="shared" si="46"/>
        <v>2023</v>
      </c>
      <c r="O750" s="4">
        <f t="shared" si="47"/>
        <v>2</v>
      </c>
    </row>
    <row r="751" spans="1:15" x14ac:dyDescent="0.25">
      <c r="A751" t="s">
        <v>1541</v>
      </c>
      <c r="B751" s="2">
        <v>45350</v>
      </c>
      <c r="C751" t="s">
        <v>30</v>
      </c>
      <c r="D751" t="s">
        <v>31</v>
      </c>
      <c r="E751">
        <v>319.47000000000003</v>
      </c>
      <c r="F751">
        <v>0</v>
      </c>
      <c r="G751" t="s">
        <v>10</v>
      </c>
      <c r="H751" t="s">
        <v>62</v>
      </c>
      <c r="I751" t="s">
        <v>1542</v>
      </c>
      <c r="J751" t="s">
        <v>28</v>
      </c>
      <c r="K751" s="4">
        <f>VLOOKUP(J751,Exchange_Rates!A:B,2,FALSE)</f>
        <v>1.27</v>
      </c>
      <c r="L751" s="4">
        <f t="shared" si="44"/>
        <v>405.72690000000006</v>
      </c>
      <c r="M751" s="4">
        <f t="shared" si="45"/>
        <v>0</v>
      </c>
      <c r="N751" s="4">
        <f t="shared" si="46"/>
        <v>2024</v>
      </c>
      <c r="O751" s="4">
        <f t="shared" si="47"/>
        <v>1</v>
      </c>
    </row>
    <row r="752" spans="1:15" x14ac:dyDescent="0.25">
      <c r="A752" t="s">
        <v>1543</v>
      </c>
      <c r="B752" s="2">
        <v>45268</v>
      </c>
      <c r="C752" t="s">
        <v>24</v>
      </c>
      <c r="D752" t="s">
        <v>25</v>
      </c>
      <c r="E752">
        <v>0</v>
      </c>
      <c r="F752">
        <v>1222.08</v>
      </c>
      <c r="G752" t="s">
        <v>9</v>
      </c>
      <c r="H752" t="s">
        <v>26</v>
      </c>
      <c r="I752" t="s">
        <v>1544</v>
      </c>
      <c r="J752" t="s">
        <v>45</v>
      </c>
      <c r="K752" s="4">
        <f>VLOOKUP(J752,Exchange_Rates!A:B,2,FALSE)</f>
        <v>1</v>
      </c>
      <c r="L752" s="4">
        <f t="shared" si="44"/>
        <v>0</v>
      </c>
      <c r="M752" s="4">
        <f t="shared" si="45"/>
        <v>1222.08</v>
      </c>
      <c r="N752" s="4">
        <f t="shared" si="46"/>
        <v>2023</v>
      </c>
      <c r="O752" s="4">
        <f t="shared" si="47"/>
        <v>4</v>
      </c>
    </row>
    <row r="753" spans="1:15" x14ac:dyDescent="0.25">
      <c r="A753" t="s">
        <v>1545</v>
      </c>
      <c r="B753" s="2">
        <v>45161</v>
      </c>
      <c r="C753" t="s">
        <v>49</v>
      </c>
      <c r="D753" t="s">
        <v>50</v>
      </c>
      <c r="E753">
        <v>199.77</v>
      </c>
      <c r="F753">
        <v>0</v>
      </c>
      <c r="G753" t="s">
        <v>13</v>
      </c>
      <c r="H753" t="s">
        <v>34</v>
      </c>
      <c r="I753" t="s">
        <v>1546</v>
      </c>
      <c r="J753" t="s">
        <v>42</v>
      </c>
      <c r="K753" s="4">
        <f>VLOOKUP(J753,Exchange_Rates!A:B,2,FALSE)</f>
        <v>0.66</v>
      </c>
      <c r="L753" s="4">
        <f t="shared" si="44"/>
        <v>131.84820000000002</v>
      </c>
      <c r="M753" s="4">
        <f t="shared" si="45"/>
        <v>0</v>
      </c>
      <c r="N753" s="4">
        <f t="shared" si="46"/>
        <v>2023</v>
      </c>
      <c r="O753" s="4">
        <f t="shared" si="47"/>
        <v>3</v>
      </c>
    </row>
    <row r="754" spans="1:15" x14ac:dyDescent="0.25">
      <c r="A754" t="s">
        <v>1547</v>
      </c>
      <c r="B754" s="2">
        <v>44957</v>
      </c>
      <c r="C754" t="s">
        <v>24</v>
      </c>
      <c r="D754" t="s">
        <v>25</v>
      </c>
      <c r="E754">
        <v>0</v>
      </c>
      <c r="F754">
        <v>4349.28</v>
      </c>
      <c r="G754" t="s">
        <v>9</v>
      </c>
      <c r="H754" t="s">
        <v>34</v>
      </c>
      <c r="I754" t="s">
        <v>1548</v>
      </c>
      <c r="J754" t="s">
        <v>42</v>
      </c>
      <c r="K754" s="4">
        <f>VLOOKUP(J754,Exchange_Rates!A:B,2,FALSE)</f>
        <v>0.66</v>
      </c>
      <c r="L754" s="4">
        <f t="shared" si="44"/>
        <v>0</v>
      </c>
      <c r="M754" s="4">
        <f t="shared" si="45"/>
        <v>2870.5248000000001</v>
      </c>
      <c r="N754" s="4">
        <f t="shared" si="46"/>
        <v>2023</v>
      </c>
      <c r="O754" s="4">
        <f t="shared" si="47"/>
        <v>1</v>
      </c>
    </row>
    <row r="755" spans="1:15" x14ac:dyDescent="0.25">
      <c r="A755" t="s">
        <v>1549</v>
      </c>
      <c r="B755" s="2">
        <v>45702</v>
      </c>
      <c r="C755" t="s">
        <v>49</v>
      </c>
      <c r="D755" t="s">
        <v>50</v>
      </c>
      <c r="E755">
        <v>1496.23</v>
      </c>
      <c r="F755">
        <v>0</v>
      </c>
      <c r="G755" t="s">
        <v>10</v>
      </c>
      <c r="H755" t="s">
        <v>62</v>
      </c>
      <c r="I755" t="s">
        <v>1550</v>
      </c>
      <c r="J755" t="s">
        <v>36</v>
      </c>
      <c r="K755" s="4">
        <f>VLOOKUP(J755,Exchange_Rates!A:B,2,FALSE)</f>
        <v>1.08</v>
      </c>
      <c r="L755" s="4">
        <f t="shared" si="44"/>
        <v>1615.9284000000002</v>
      </c>
      <c r="M755" s="4">
        <f t="shared" si="45"/>
        <v>0</v>
      </c>
      <c r="N755" s="4">
        <f t="shared" si="46"/>
        <v>2025</v>
      </c>
      <c r="O755" s="4">
        <f t="shared" si="47"/>
        <v>1</v>
      </c>
    </row>
    <row r="756" spans="1:15" x14ac:dyDescent="0.25">
      <c r="A756" t="s">
        <v>1551</v>
      </c>
      <c r="B756" s="2">
        <v>45710</v>
      </c>
      <c r="C756" t="s">
        <v>60</v>
      </c>
      <c r="D756" t="s">
        <v>61</v>
      </c>
      <c r="E756">
        <v>0</v>
      </c>
      <c r="F756">
        <v>324.7</v>
      </c>
      <c r="G756" t="s">
        <v>11</v>
      </c>
      <c r="H756" t="s">
        <v>34</v>
      </c>
      <c r="I756" t="s">
        <v>1552</v>
      </c>
      <c r="J756" t="s">
        <v>36</v>
      </c>
      <c r="K756" s="4">
        <f>VLOOKUP(J756,Exchange_Rates!A:B,2,FALSE)</f>
        <v>1.08</v>
      </c>
      <c r="L756" s="4">
        <f t="shared" si="44"/>
        <v>0</v>
      </c>
      <c r="M756" s="4">
        <f t="shared" si="45"/>
        <v>350.67599999999999</v>
      </c>
      <c r="N756" s="4">
        <f t="shared" si="46"/>
        <v>2025</v>
      </c>
      <c r="O756" s="4">
        <f t="shared" si="47"/>
        <v>1</v>
      </c>
    </row>
    <row r="757" spans="1:15" x14ac:dyDescent="0.25">
      <c r="A757" t="s">
        <v>1553</v>
      </c>
      <c r="B757" s="2">
        <v>44947</v>
      </c>
      <c r="C757" t="s">
        <v>30</v>
      </c>
      <c r="D757" t="s">
        <v>31</v>
      </c>
      <c r="E757">
        <v>1504.62</v>
      </c>
      <c r="F757">
        <v>0</v>
      </c>
      <c r="G757" t="s">
        <v>11</v>
      </c>
      <c r="H757" t="s">
        <v>51</v>
      </c>
      <c r="I757" t="s">
        <v>1554</v>
      </c>
      <c r="J757" t="s">
        <v>45</v>
      </c>
      <c r="K757" s="4">
        <f>VLOOKUP(J757,Exchange_Rates!A:B,2,FALSE)</f>
        <v>1</v>
      </c>
      <c r="L757" s="4">
        <f t="shared" si="44"/>
        <v>1504.62</v>
      </c>
      <c r="M757" s="4">
        <f t="shared" si="45"/>
        <v>0</v>
      </c>
      <c r="N757" s="4">
        <f t="shared" si="46"/>
        <v>2023</v>
      </c>
      <c r="O757" s="4">
        <f t="shared" si="47"/>
        <v>1</v>
      </c>
    </row>
    <row r="758" spans="1:15" x14ac:dyDescent="0.25">
      <c r="A758" t="s">
        <v>1555</v>
      </c>
      <c r="B758" s="2">
        <v>45740</v>
      </c>
      <c r="C758" t="s">
        <v>60</v>
      </c>
      <c r="D758" t="s">
        <v>61</v>
      </c>
      <c r="E758">
        <v>0</v>
      </c>
      <c r="F758">
        <v>2507.58</v>
      </c>
      <c r="G758" t="s">
        <v>13</v>
      </c>
      <c r="H758" t="s">
        <v>34</v>
      </c>
      <c r="I758" t="s">
        <v>1556</v>
      </c>
      <c r="J758" t="s">
        <v>42</v>
      </c>
      <c r="K758" s="4">
        <f>VLOOKUP(J758,Exchange_Rates!A:B,2,FALSE)</f>
        <v>0.66</v>
      </c>
      <c r="L758" s="4">
        <f t="shared" si="44"/>
        <v>0</v>
      </c>
      <c r="M758" s="4">
        <f t="shared" si="45"/>
        <v>1655.0028</v>
      </c>
      <c r="N758" s="4">
        <f t="shared" si="46"/>
        <v>2025</v>
      </c>
      <c r="O758" s="4">
        <f t="shared" si="47"/>
        <v>1</v>
      </c>
    </row>
    <row r="759" spans="1:15" x14ac:dyDescent="0.25">
      <c r="A759" t="s">
        <v>1557</v>
      </c>
      <c r="B759" s="2">
        <v>45202</v>
      </c>
      <c r="C759" t="s">
        <v>49</v>
      </c>
      <c r="D759" t="s">
        <v>50</v>
      </c>
      <c r="E759">
        <v>837.65</v>
      </c>
      <c r="F759">
        <v>0</v>
      </c>
      <c r="G759" t="s">
        <v>9</v>
      </c>
      <c r="H759" t="s">
        <v>51</v>
      </c>
      <c r="I759" t="s">
        <v>1558</v>
      </c>
      <c r="J759" t="s">
        <v>36</v>
      </c>
      <c r="K759" s="4">
        <f>VLOOKUP(J759,Exchange_Rates!A:B,2,FALSE)</f>
        <v>1.08</v>
      </c>
      <c r="L759" s="4">
        <f t="shared" si="44"/>
        <v>904.66200000000003</v>
      </c>
      <c r="M759" s="4">
        <f t="shared" si="45"/>
        <v>0</v>
      </c>
      <c r="N759" s="4">
        <f t="shared" si="46"/>
        <v>2023</v>
      </c>
      <c r="O759" s="4">
        <f t="shared" si="47"/>
        <v>4</v>
      </c>
    </row>
    <row r="760" spans="1:15" x14ac:dyDescent="0.25">
      <c r="A760" t="s">
        <v>1559</v>
      </c>
      <c r="B760" s="2">
        <v>45533</v>
      </c>
      <c r="C760" t="s">
        <v>38</v>
      </c>
      <c r="D760" t="s">
        <v>39</v>
      </c>
      <c r="E760">
        <v>787.73</v>
      </c>
      <c r="F760">
        <v>0</v>
      </c>
      <c r="G760" t="s">
        <v>11</v>
      </c>
      <c r="H760" t="s">
        <v>34</v>
      </c>
      <c r="I760" t="s">
        <v>1560</v>
      </c>
      <c r="J760" t="s">
        <v>45</v>
      </c>
      <c r="K760" s="4">
        <f>VLOOKUP(J760,Exchange_Rates!A:B,2,FALSE)</f>
        <v>1</v>
      </c>
      <c r="L760" s="4">
        <f t="shared" si="44"/>
        <v>787.73</v>
      </c>
      <c r="M760" s="4">
        <f t="shared" si="45"/>
        <v>0</v>
      </c>
      <c r="N760" s="4">
        <f t="shared" si="46"/>
        <v>2024</v>
      </c>
      <c r="O760" s="4">
        <f t="shared" si="47"/>
        <v>3</v>
      </c>
    </row>
    <row r="761" spans="1:15" x14ac:dyDescent="0.25">
      <c r="A761" t="s">
        <v>1561</v>
      </c>
      <c r="B761" s="2">
        <v>45609</v>
      </c>
      <c r="C761" t="s">
        <v>38</v>
      </c>
      <c r="D761" t="s">
        <v>39</v>
      </c>
      <c r="E761">
        <v>910.72</v>
      </c>
      <c r="F761">
        <v>0</v>
      </c>
      <c r="G761" t="s">
        <v>12</v>
      </c>
      <c r="H761" t="s">
        <v>26</v>
      </c>
      <c r="I761" t="s">
        <v>1562</v>
      </c>
      <c r="J761" t="s">
        <v>42</v>
      </c>
      <c r="K761" s="4">
        <f>VLOOKUP(J761,Exchange_Rates!A:B,2,FALSE)</f>
        <v>0.66</v>
      </c>
      <c r="L761" s="4">
        <f t="shared" si="44"/>
        <v>601.0752</v>
      </c>
      <c r="M761" s="4">
        <f t="shared" si="45"/>
        <v>0</v>
      </c>
      <c r="N761" s="4">
        <f t="shared" si="46"/>
        <v>2024</v>
      </c>
      <c r="O761" s="4">
        <f t="shared" si="47"/>
        <v>4</v>
      </c>
    </row>
    <row r="762" spans="1:15" x14ac:dyDescent="0.25">
      <c r="A762" t="s">
        <v>1563</v>
      </c>
      <c r="B762" s="2">
        <v>44929</v>
      </c>
      <c r="C762" t="s">
        <v>49</v>
      </c>
      <c r="D762" t="s">
        <v>50</v>
      </c>
      <c r="E762">
        <v>1362.52</v>
      </c>
      <c r="F762">
        <v>0</v>
      </c>
      <c r="G762" t="s">
        <v>12</v>
      </c>
      <c r="H762" t="s">
        <v>26</v>
      </c>
      <c r="I762" t="s">
        <v>1564</v>
      </c>
      <c r="J762" t="s">
        <v>45</v>
      </c>
      <c r="K762" s="4">
        <f>VLOOKUP(J762,Exchange_Rates!A:B,2,FALSE)</f>
        <v>1</v>
      </c>
      <c r="L762" s="4">
        <f t="shared" si="44"/>
        <v>1362.52</v>
      </c>
      <c r="M762" s="4">
        <f t="shared" si="45"/>
        <v>0</v>
      </c>
      <c r="N762" s="4">
        <f t="shared" si="46"/>
        <v>2023</v>
      </c>
      <c r="O762" s="4">
        <f t="shared" si="47"/>
        <v>1</v>
      </c>
    </row>
    <row r="763" spans="1:15" x14ac:dyDescent="0.25">
      <c r="A763" t="s">
        <v>1565</v>
      </c>
      <c r="B763" s="2">
        <v>45661</v>
      </c>
      <c r="C763" t="s">
        <v>30</v>
      </c>
      <c r="D763" t="s">
        <v>31</v>
      </c>
      <c r="E763">
        <v>1261.48</v>
      </c>
      <c r="F763">
        <v>0</v>
      </c>
      <c r="G763" t="s">
        <v>12</v>
      </c>
      <c r="H763" t="s">
        <v>34</v>
      </c>
      <c r="I763" t="s">
        <v>1566</v>
      </c>
      <c r="J763" t="s">
        <v>45</v>
      </c>
      <c r="K763" s="4">
        <f>VLOOKUP(J763,Exchange_Rates!A:B,2,FALSE)</f>
        <v>1</v>
      </c>
      <c r="L763" s="4">
        <f t="shared" si="44"/>
        <v>1261.48</v>
      </c>
      <c r="M763" s="4">
        <f t="shared" si="45"/>
        <v>0</v>
      </c>
      <c r="N763" s="4">
        <f t="shared" si="46"/>
        <v>2025</v>
      </c>
      <c r="O763" s="4">
        <f t="shared" si="47"/>
        <v>1</v>
      </c>
    </row>
    <row r="764" spans="1:15" x14ac:dyDescent="0.25">
      <c r="A764" t="s">
        <v>1567</v>
      </c>
      <c r="B764" s="2">
        <v>45823</v>
      </c>
      <c r="C764" t="s">
        <v>60</v>
      </c>
      <c r="D764" t="s">
        <v>61</v>
      </c>
      <c r="E764">
        <v>0</v>
      </c>
      <c r="F764">
        <v>3519.33</v>
      </c>
      <c r="G764" t="s">
        <v>8</v>
      </c>
      <c r="H764" t="s">
        <v>40</v>
      </c>
      <c r="I764" t="s">
        <v>1568</v>
      </c>
      <c r="J764" t="s">
        <v>28</v>
      </c>
      <c r="K764" s="4">
        <f>VLOOKUP(J764,Exchange_Rates!A:B,2,FALSE)</f>
        <v>1.27</v>
      </c>
      <c r="L764" s="4">
        <f t="shared" si="44"/>
        <v>0</v>
      </c>
      <c r="M764" s="4">
        <f t="shared" si="45"/>
        <v>4469.5491000000002</v>
      </c>
      <c r="N764" s="4">
        <f t="shared" si="46"/>
        <v>2025</v>
      </c>
      <c r="O764" s="4">
        <f t="shared" si="47"/>
        <v>2</v>
      </c>
    </row>
    <row r="765" spans="1:15" x14ac:dyDescent="0.25">
      <c r="A765" t="s">
        <v>1569</v>
      </c>
      <c r="B765" s="2">
        <v>45706</v>
      </c>
      <c r="C765" t="s">
        <v>30</v>
      </c>
      <c r="D765" t="s">
        <v>31</v>
      </c>
      <c r="E765">
        <v>1425.68</v>
      </c>
      <c r="F765">
        <v>0</v>
      </c>
      <c r="G765" t="s">
        <v>10</v>
      </c>
      <c r="H765" t="s">
        <v>34</v>
      </c>
      <c r="I765" t="s">
        <v>1570</v>
      </c>
      <c r="J765" t="s">
        <v>45</v>
      </c>
      <c r="K765" s="4">
        <f>VLOOKUP(J765,Exchange_Rates!A:B,2,FALSE)</f>
        <v>1</v>
      </c>
      <c r="L765" s="4">
        <f t="shared" si="44"/>
        <v>1425.68</v>
      </c>
      <c r="M765" s="4">
        <f t="shared" si="45"/>
        <v>0</v>
      </c>
      <c r="N765" s="4">
        <f t="shared" si="46"/>
        <v>2025</v>
      </c>
      <c r="O765" s="4">
        <f t="shared" si="47"/>
        <v>1</v>
      </c>
    </row>
    <row r="766" spans="1:15" x14ac:dyDescent="0.25">
      <c r="A766" t="s">
        <v>1571</v>
      </c>
      <c r="B766" s="2">
        <v>45492</v>
      </c>
      <c r="C766" t="s">
        <v>60</v>
      </c>
      <c r="D766" t="s">
        <v>61</v>
      </c>
      <c r="E766">
        <v>0</v>
      </c>
      <c r="F766">
        <v>4831.59</v>
      </c>
      <c r="G766" t="s">
        <v>13</v>
      </c>
      <c r="H766" t="s">
        <v>62</v>
      </c>
      <c r="I766" t="s">
        <v>1572</v>
      </c>
      <c r="J766" t="s">
        <v>64</v>
      </c>
      <c r="K766" s="4">
        <f>VLOOKUP(J766,Exchange_Rates!A:B,2,FALSE)</f>
        <v>0.73</v>
      </c>
      <c r="L766" s="4">
        <f t="shared" si="44"/>
        <v>0</v>
      </c>
      <c r="M766" s="4">
        <f t="shared" si="45"/>
        <v>3527.0607</v>
      </c>
      <c r="N766" s="4">
        <f t="shared" si="46"/>
        <v>2024</v>
      </c>
      <c r="O766" s="4">
        <f t="shared" si="47"/>
        <v>3</v>
      </c>
    </row>
    <row r="767" spans="1:15" x14ac:dyDescent="0.25">
      <c r="A767" t="s">
        <v>1573</v>
      </c>
      <c r="B767" s="2">
        <v>45444</v>
      </c>
      <c r="C767" t="s">
        <v>60</v>
      </c>
      <c r="D767" t="s">
        <v>61</v>
      </c>
      <c r="E767">
        <v>0</v>
      </c>
      <c r="F767">
        <v>3282.7</v>
      </c>
      <c r="G767" t="s">
        <v>8</v>
      </c>
      <c r="H767" t="s">
        <v>26</v>
      </c>
      <c r="I767" t="s">
        <v>1574</v>
      </c>
      <c r="J767" t="s">
        <v>42</v>
      </c>
      <c r="K767" s="4">
        <f>VLOOKUP(J767,Exchange_Rates!A:B,2,FALSE)</f>
        <v>0.66</v>
      </c>
      <c r="L767" s="4">
        <f t="shared" si="44"/>
        <v>0</v>
      </c>
      <c r="M767" s="4">
        <f t="shared" si="45"/>
        <v>2166.5819999999999</v>
      </c>
      <c r="N767" s="4">
        <f t="shared" si="46"/>
        <v>2024</v>
      </c>
      <c r="O767" s="4">
        <f t="shared" si="47"/>
        <v>2</v>
      </c>
    </row>
    <row r="768" spans="1:15" x14ac:dyDescent="0.25">
      <c r="A768" t="s">
        <v>1575</v>
      </c>
      <c r="B768" s="2">
        <v>45800</v>
      </c>
      <c r="C768" t="s">
        <v>30</v>
      </c>
      <c r="D768" t="s">
        <v>31</v>
      </c>
      <c r="E768">
        <v>1789.76</v>
      </c>
      <c r="F768">
        <v>0</v>
      </c>
      <c r="G768" t="s">
        <v>10</v>
      </c>
      <c r="H768" t="s">
        <v>40</v>
      </c>
      <c r="I768" t="s">
        <v>1576</v>
      </c>
      <c r="J768" t="s">
        <v>42</v>
      </c>
      <c r="K768" s="4">
        <f>VLOOKUP(J768,Exchange_Rates!A:B,2,FALSE)</f>
        <v>0.66</v>
      </c>
      <c r="L768" s="4">
        <f t="shared" si="44"/>
        <v>1181.2416000000001</v>
      </c>
      <c r="M768" s="4">
        <f t="shared" si="45"/>
        <v>0</v>
      </c>
      <c r="N768" s="4">
        <f t="shared" si="46"/>
        <v>2025</v>
      </c>
      <c r="O768" s="4">
        <f t="shared" si="47"/>
        <v>2</v>
      </c>
    </row>
    <row r="769" spans="1:15" x14ac:dyDescent="0.25">
      <c r="A769" t="s">
        <v>1577</v>
      </c>
      <c r="B769" s="2">
        <v>44992</v>
      </c>
      <c r="C769" t="s">
        <v>30</v>
      </c>
      <c r="D769" t="s">
        <v>31</v>
      </c>
      <c r="E769">
        <v>1557.62</v>
      </c>
      <c r="F769">
        <v>0</v>
      </c>
      <c r="G769" t="s">
        <v>8</v>
      </c>
      <c r="H769" t="s">
        <v>51</v>
      </c>
      <c r="I769" t="s">
        <v>1578</v>
      </c>
      <c r="J769" t="s">
        <v>36</v>
      </c>
      <c r="K769" s="4">
        <f>VLOOKUP(J769,Exchange_Rates!A:B,2,FALSE)</f>
        <v>1.08</v>
      </c>
      <c r="L769" s="4">
        <f t="shared" si="44"/>
        <v>1682.2295999999999</v>
      </c>
      <c r="M769" s="4">
        <f t="shared" si="45"/>
        <v>0</v>
      </c>
      <c r="N769" s="4">
        <f t="shared" si="46"/>
        <v>2023</v>
      </c>
      <c r="O769" s="4">
        <f t="shared" si="47"/>
        <v>1</v>
      </c>
    </row>
    <row r="770" spans="1:15" x14ac:dyDescent="0.25">
      <c r="A770" t="s">
        <v>1579</v>
      </c>
      <c r="B770" s="2">
        <v>45720</v>
      </c>
      <c r="C770" t="s">
        <v>24</v>
      </c>
      <c r="D770" t="s">
        <v>25</v>
      </c>
      <c r="E770">
        <v>0</v>
      </c>
      <c r="F770">
        <v>4262.2299999999996</v>
      </c>
      <c r="G770" t="s">
        <v>13</v>
      </c>
      <c r="H770" t="s">
        <v>34</v>
      </c>
      <c r="I770" t="s">
        <v>1580</v>
      </c>
      <c r="J770" t="s">
        <v>36</v>
      </c>
      <c r="K770" s="4">
        <f>VLOOKUP(J770,Exchange_Rates!A:B,2,FALSE)</f>
        <v>1.08</v>
      </c>
      <c r="L770" s="4">
        <f t="shared" si="44"/>
        <v>0</v>
      </c>
      <c r="M770" s="4">
        <f t="shared" si="45"/>
        <v>4603.2083999999995</v>
      </c>
      <c r="N770" s="4">
        <f t="shared" si="46"/>
        <v>2025</v>
      </c>
      <c r="O770" s="4">
        <f t="shared" si="47"/>
        <v>1</v>
      </c>
    </row>
    <row r="771" spans="1:15" x14ac:dyDescent="0.25">
      <c r="A771" t="s">
        <v>1581</v>
      </c>
      <c r="B771" s="2">
        <v>45445</v>
      </c>
      <c r="C771" t="s">
        <v>30</v>
      </c>
      <c r="D771" t="s">
        <v>31</v>
      </c>
      <c r="E771">
        <v>1754.04</v>
      </c>
      <c r="F771">
        <v>0</v>
      </c>
      <c r="G771" t="s">
        <v>12</v>
      </c>
      <c r="H771" t="s">
        <v>51</v>
      </c>
      <c r="I771" t="s">
        <v>1582</v>
      </c>
      <c r="J771" t="s">
        <v>36</v>
      </c>
      <c r="K771" s="4">
        <f>VLOOKUP(J771,Exchange_Rates!A:B,2,FALSE)</f>
        <v>1.08</v>
      </c>
      <c r="L771" s="4">
        <f t="shared" ref="L771:L834" si="48">E771*K771</f>
        <v>1894.3632</v>
      </c>
      <c r="M771" s="4">
        <f t="shared" ref="M771:M834" si="49">F771*K771</f>
        <v>0</v>
      </c>
      <c r="N771" s="4">
        <f t="shared" ref="N771:N834" si="50">YEAR(B771)</f>
        <v>2024</v>
      </c>
      <c r="O771" s="4">
        <f t="shared" ref="O771:O834" si="51">ROUNDUP(MONTH(B771)/3,0)</f>
        <v>2</v>
      </c>
    </row>
    <row r="772" spans="1:15" x14ac:dyDescent="0.25">
      <c r="A772" t="s">
        <v>1583</v>
      </c>
      <c r="B772" s="2">
        <v>45624</v>
      </c>
      <c r="C772" t="s">
        <v>49</v>
      </c>
      <c r="D772" t="s">
        <v>50</v>
      </c>
      <c r="E772">
        <v>604.27</v>
      </c>
      <c r="F772">
        <v>0</v>
      </c>
      <c r="G772" t="s">
        <v>13</v>
      </c>
      <c r="H772" t="s">
        <v>51</v>
      </c>
      <c r="I772" t="s">
        <v>1584</v>
      </c>
      <c r="J772" t="s">
        <v>36</v>
      </c>
      <c r="K772" s="4">
        <f>VLOOKUP(J772,Exchange_Rates!A:B,2,FALSE)</f>
        <v>1.08</v>
      </c>
      <c r="L772" s="4">
        <f t="shared" si="48"/>
        <v>652.61160000000007</v>
      </c>
      <c r="M772" s="4">
        <f t="shared" si="49"/>
        <v>0</v>
      </c>
      <c r="N772" s="4">
        <f t="shared" si="50"/>
        <v>2024</v>
      </c>
      <c r="O772" s="4">
        <f t="shared" si="51"/>
        <v>4</v>
      </c>
    </row>
    <row r="773" spans="1:15" x14ac:dyDescent="0.25">
      <c r="A773" t="s">
        <v>1585</v>
      </c>
      <c r="B773" s="2">
        <v>45571</v>
      </c>
      <c r="C773" t="s">
        <v>49</v>
      </c>
      <c r="D773" t="s">
        <v>50</v>
      </c>
      <c r="E773">
        <v>788.46</v>
      </c>
      <c r="F773">
        <v>0</v>
      </c>
      <c r="G773" t="s">
        <v>8</v>
      </c>
      <c r="H773" t="s">
        <v>51</v>
      </c>
      <c r="I773" t="s">
        <v>1586</v>
      </c>
      <c r="J773" t="s">
        <v>64</v>
      </c>
      <c r="K773" s="4">
        <f>VLOOKUP(J773,Exchange_Rates!A:B,2,FALSE)</f>
        <v>0.73</v>
      </c>
      <c r="L773" s="4">
        <f t="shared" si="48"/>
        <v>575.57579999999996</v>
      </c>
      <c r="M773" s="4">
        <f t="shared" si="49"/>
        <v>0</v>
      </c>
      <c r="N773" s="4">
        <f t="shared" si="50"/>
        <v>2024</v>
      </c>
      <c r="O773" s="4">
        <f t="shared" si="51"/>
        <v>4</v>
      </c>
    </row>
    <row r="774" spans="1:15" x14ac:dyDescent="0.25">
      <c r="A774" t="s">
        <v>1587</v>
      </c>
      <c r="B774" s="2">
        <v>45166</v>
      </c>
      <c r="C774" t="s">
        <v>24</v>
      </c>
      <c r="D774" t="s">
        <v>25</v>
      </c>
      <c r="E774">
        <v>0</v>
      </c>
      <c r="F774">
        <v>1493.92</v>
      </c>
      <c r="G774" t="s">
        <v>9</v>
      </c>
      <c r="H774" t="s">
        <v>34</v>
      </c>
      <c r="I774" t="s">
        <v>1588</v>
      </c>
      <c r="J774" t="s">
        <v>45</v>
      </c>
      <c r="K774" s="4">
        <f>VLOOKUP(J774,Exchange_Rates!A:B,2,FALSE)</f>
        <v>1</v>
      </c>
      <c r="L774" s="4">
        <f t="shared" si="48"/>
        <v>0</v>
      </c>
      <c r="M774" s="4">
        <f t="shared" si="49"/>
        <v>1493.92</v>
      </c>
      <c r="N774" s="4">
        <f t="shared" si="50"/>
        <v>2023</v>
      </c>
      <c r="O774" s="4">
        <f t="shared" si="51"/>
        <v>3</v>
      </c>
    </row>
    <row r="775" spans="1:15" x14ac:dyDescent="0.25">
      <c r="A775" t="s">
        <v>1589</v>
      </c>
      <c r="B775" s="2">
        <v>45423</v>
      </c>
      <c r="C775" t="s">
        <v>30</v>
      </c>
      <c r="D775" t="s">
        <v>31</v>
      </c>
      <c r="E775">
        <v>588.44000000000005</v>
      </c>
      <c r="F775">
        <v>0</v>
      </c>
      <c r="G775" t="s">
        <v>12</v>
      </c>
      <c r="H775" t="s">
        <v>34</v>
      </c>
      <c r="I775" t="s">
        <v>1590</v>
      </c>
      <c r="J775" t="s">
        <v>64</v>
      </c>
      <c r="K775" s="4">
        <f>VLOOKUP(J775,Exchange_Rates!A:B,2,FALSE)</f>
        <v>0.73</v>
      </c>
      <c r="L775" s="4">
        <f t="shared" si="48"/>
        <v>429.56120000000004</v>
      </c>
      <c r="M775" s="4">
        <f t="shared" si="49"/>
        <v>0</v>
      </c>
      <c r="N775" s="4">
        <f t="shared" si="50"/>
        <v>2024</v>
      </c>
      <c r="O775" s="4">
        <f t="shared" si="51"/>
        <v>2</v>
      </c>
    </row>
    <row r="776" spans="1:15" x14ac:dyDescent="0.25">
      <c r="A776" t="s">
        <v>1591</v>
      </c>
      <c r="B776" s="2">
        <v>45538</v>
      </c>
      <c r="C776" t="s">
        <v>30</v>
      </c>
      <c r="D776" t="s">
        <v>31</v>
      </c>
      <c r="E776">
        <v>1078.52</v>
      </c>
      <c r="F776">
        <v>0</v>
      </c>
      <c r="G776" t="s">
        <v>12</v>
      </c>
      <c r="H776" t="s">
        <v>34</v>
      </c>
      <c r="I776" t="s">
        <v>1592</v>
      </c>
      <c r="J776" t="s">
        <v>42</v>
      </c>
      <c r="K776" s="4">
        <f>VLOOKUP(J776,Exchange_Rates!A:B,2,FALSE)</f>
        <v>0.66</v>
      </c>
      <c r="L776" s="4">
        <f t="shared" si="48"/>
        <v>711.82320000000004</v>
      </c>
      <c r="M776" s="4">
        <f t="shared" si="49"/>
        <v>0</v>
      </c>
      <c r="N776" s="4">
        <f t="shared" si="50"/>
        <v>2024</v>
      </c>
      <c r="O776" s="4">
        <f t="shared" si="51"/>
        <v>3</v>
      </c>
    </row>
    <row r="777" spans="1:15" x14ac:dyDescent="0.25">
      <c r="A777" t="s">
        <v>1593</v>
      </c>
      <c r="B777" s="2">
        <v>45400</v>
      </c>
      <c r="C777" t="s">
        <v>60</v>
      </c>
      <c r="D777" t="s">
        <v>61</v>
      </c>
      <c r="E777">
        <v>0</v>
      </c>
      <c r="F777">
        <v>4324.54</v>
      </c>
      <c r="G777" t="s">
        <v>10</v>
      </c>
      <c r="H777" t="s">
        <v>26</v>
      </c>
      <c r="I777" t="s">
        <v>1594</v>
      </c>
      <c r="J777" t="s">
        <v>36</v>
      </c>
      <c r="K777" s="4">
        <f>VLOOKUP(J777,Exchange_Rates!A:B,2,FALSE)</f>
        <v>1.08</v>
      </c>
      <c r="L777" s="4">
        <f t="shared" si="48"/>
        <v>0</v>
      </c>
      <c r="M777" s="4">
        <f t="shared" si="49"/>
        <v>4670.5032000000001</v>
      </c>
      <c r="N777" s="4">
        <f t="shared" si="50"/>
        <v>2024</v>
      </c>
      <c r="O777" s="4">
        <f t="shared" si="51"/>
        <v>2</v>
      </c>
    </row>
    <row r="778" spans="1:15" x14ac:dyDescent="0.25">
      <c r="A778" t="s">
        <v>1595</v>
      </c>
      <c r="B778" s="2">
        <v>45472</v>
      </c>
      <c r="C778" t="s">
        <v>60</v>
      </c>
      <c r="D778" t="s">
        <v>61</v>
      </c>
      <c r="E778">
        <v>0</v>
      </c>
      <c r="F778">
        <v>2300.21</v>
      </c>
      <c r="G778" t="s">
        <v>8</v>
      </c>
      <c r="H778" t="s">
        <v>34</v>
      </c>
      <c r="I778" t="s">
        <v>1596</v>
      </c>
      <c r="J778" t="s">
        <v>28</v>
      </c>
      <c r="K778" s="4">
        <f>VLOOKUP(J778,Exchange_Rates!A:B,2,FALSE)</f>
        <v>1.27</v>
      </c>
      <c r="L778" s="4">
        <f t="shared" si="48"/>
        <v>0</v>
      </c>
      <c r="M778" s="4">
        <f t="shared" si="49"/>
        <v>2921.2667000000001</v>
      </c>
      <c r="N778" s="4">
        <f t="shared" si="50"/>
        <v>2024</v>
      </c>
      <c r="O778" s="4">
        <f t="shared" si="51"/>
        <v>2</v>
      </c>
    </row>
    <row r="779" spans="1:15" x14ac:dyDescent="0.25">
      <c r="A779" t="s">
        <v>1597</v>
      </c>
      <c r="B779" s="2">
        <v>45170</v>
      </c>
      <c r="C779" t="s">
        <v>38</v>
      </c>
      <c r="D779" t="s">
        <v>39</v>
      </c>
      <c r="E779">
        <v>446.19</v>
      </c>
      <c r="F779">
        <v>0</v>
      </c>
      <c r="G779" t="s">
        <v>13</v>
      </c>
      <c r="H779" t="s">
        <v>51</v>
      </c>
      <c r="I779" t="s">
        <v>1598</v>
      </c>
      <c r="J779" t="s">
        <v>28</v>
      </c>
      <c r="K779" s="4">
        <f>VLOOKUP(J779,Exchange_Rates!A:B,2,FALSE)</f>
        <v>1.27</v>
      </c>
      <c r="L779" s="4">
        <f t="shared" si="48"/>
        <v>566.66129999999998</v>
      </c>
      <c r="M779" s="4">
        <f t="shared" si="49"/>
        <v>0</v>
      </c>
      <c r="N779" s="4">
        <f t="shared" si="50"/>
        <v>2023</v>
      </c>
      <c r="O779" s="4">
        <f t="shared" si="51"/>
        <v>3</v>
      </c>
    </row>
    <row r="780" spans="1:15" x14ac:dyDescent="0.25">
      <c r="A780" t="s">
        <v>1599</v>
      </c>
      <c r="B780" s="2">
        <v>45367</v>
      </c>
      <c r="C780" t="s">
        <v>24</v>
      </c>
      <c r="D780" t="s">
        <v>25</v>
      </c>
      <c r="E780">
        <v>0</v>
      </c>
      <c r="F780">
        <v>1518.24</v>
      </c>
      <c r="G780" t="s">
        <v>12</v>
      </c>
      <c r="H780" t="s">
        <v>51</v>
      </c>
      <c r="I780" t="s">
        <v>1600</v>
      </c>
      <c r="J780" t="s">
        <v>42</v>
      </c>
      <c r="K780" s="4">
        <f>VLOOKUP(J780,Exchange_Rates!A:B,2,FALSE)</f>
        <v>0.66</v>
      </c>
      <c r="L780" s="4">
        <f t="shared" si="48"/>
        <v>0</v>
      </c>
      <c r="M780" s="4">
        <f t="shared" si="49"/>
        <v>1002.0384</v>
      </c>
      <c r="N780" s="4">
        <f t="shared" si="50"/>
        <v>2024</v>
      </c>
      <c r="O780" s="4">
        <f t="shared" si="51"/>
        <v>1</v>
      </c>
    </row>
    <row r="781" spans="1:15" x14ac:dyDescent="0.25">
      <c r="A781" t="s">
        <v>1601</v>
      </c>
      <c r="B781" s="2">
        <v>45386</v>
      </c>
      <c r="C781" t="s">
        <v>38</v>
      </c>
      <c r="D781" t="s">
        <v>39</v>
      </c>
      <c r="E781">
        <v>1385.02</v>
      </c>
      <c r="F781">
        <v>0</v>
      </c>
      <c r="G781" t="s">
        <v>12</v>
      </c>
      <c r="H781" t="s">
        <v>51</v>
      </c>
      <c r="I781" t="s">
        <v>1602</v>
      </c>
      <c r="J781" t="s">
        <v>42</v>
      </c>
      <c r="K781" s="4">
        <f>VLOOKUP(J781,Exchange_Rates!A:B,2,FALSE)</f>
        <v>0.66</v>
      </c>
      <c r="L781" s="4">
        <f t="shared" si="48"/>
        <v>914.11320000000001</v>
      </c>
      <c r="M781" s="4">
        <f t="shared" si="49"/>
        <v>0</v>
      </c>
      <c r="N781" s="4">
        <f t="shared" si="50"/>
        <v>2024</v>
      </c>
      <c r="O781" s="4">
        <f t="shared" si="51"/>
        <v>2</v>
      </c>
    </row>
    <row r="782" spans="1:15" x14ac:dyDescent="0.25">
      <c r="A782" t="s">
        <v>1603</v>
      </c>
      <c r="B782" s="2">
        <v>45446</v>
      </c>
      <c r="C782" t="s">
        <v>38</v>
      </c>
      <c r="D782" t="s">
        <v>39</v>
      </c>
      <c r="E782">
        <v>1887.31</v>
      </c>
      <c r="F782">
        <v>0</v>
      </c>
      <c r="G782" t="s">
        <v>12</v>
      </c>
      <c r="H782" t="s">
        <v>26</v>
      </c>
      <c r="I782" t="s">
        <v>1604</v>
      </c>
      <c r="J782" t="s">
        <v>28</v>
      </c>
      <c r="K782" s="4">
        <f>VLOOKUP(J782,Exchange_Rates!A:B,2,FALSE)</f>
        <v>1.27</v>
      </c>
      <c r="L782" s="4">
        <f t="shared" si="48"/>
        <v>2396.8836999999999</v>
      </c>
      <c r="M782" s="4">
        <f t="shared" si="49"/>
        <v>0</v>
      </c>
      <c r="N782" s="4">
        <f t="shared" si="50"/>
        <v>2024</v>
      </c>
      <c r="O782" s="4">
        <f t="shared" si="51"/>
        <v>2</v>
      </c>
    </row>
    <row r="783" spans="1:15" x14ac:dyDescent="0.25">
      <c r="A783" t="s">
        <v>1605</v>
      </c>
      <c r="B783" s="2">
        <v>45528</v>
      </c>
      <c r="C783" t="s">
        <v>24</v>
      </c>
      <c r="D783" t="s">
        <v>25</v>
      </c>
      <c r="E783">
        <v>0</v>
      </c>
      <c r="F783">
        <v>4476.07</v>
      </c>
      <c r="G783" t="s">
        <v>13</v>
      </c>
      <c r="H783" t="s">
        <v>51</v>
      </c>
      <c r="I783" t="s">
        <v>1606</v>
      </c>
      <c r="J783" t="s">
        <v>42</v>
      </c>
      <c r="K783" s="4">
        <f>VLOOKUP(J783,Exchange_Rates!A:B,2,FALSE)</f>
        <v>0.66</v>
      </c>
      <c r="L783" s="4">
        <f t="shared" si="48"/>
        <v>0</v>
      </c>
      <c r="M783" s="4">
        <f t="shared" si="49"/>
        <v>2954.2062000000001</v>
      </c>
      <c r="N783" s="4">
        <f t="shared" si="50"/>
        <v>2024</v>
      </c>
      <c r="O783" s="4">
        <f t="shared" si="51"/>
        <v>3</v>
      </c>
    </row>
    <row r="784" spans="1:15" x14ac:dyDescent="0.25">
      <c r="A784" t="s">
        <v>1607</v>
      </c>
      <c r="B784" s="2">
        <v>45421</v>
      </c>
      <c r="C784" t="s">
        <v>38</v>
      </c>
      <c r="D784" t="s">
        <v>39</v>
      </c>
      <c r="E784">
        <v>170.41</v>
      </c>
      <c r="F784">
        <v>0</v>
      </c>
      <c r="G784" t="s">
        <v>13</v>
      </c>
      <c r="H784" t="s">
        <v>51</v>
      </c>
      <c r="I784" t="s">
        <v>1608</v>
      </c>
      <c r="J784" t="s">
        <v>45</v>
      </c>
      <c r="K784" s="4">
        <f>VLOOKUP(J784,Exchange_Rates!A:B,2,FALSE)</f>
        <v>1</v>
      </c>
      <c r="L784" s="4">
        <f t="shared" si="48"/>
        <v>170.41</v>
      </c>
      <c r="M784" s="4">
        <f t="shared" si="49"/>
        <v>0</v>
      </c>
      <c r="N784" s="4">
        <f t="shared" si="50"/>
        <v>2024</v>
      </c>
      <c r="O784" s="4">
        <f t="shared" si="51"/>
        <v>2</v>
      </c>
    </row>
    <row r="785" spans="1:15" x14ac:dyDescent="0.25">
      <c r="A785" t="s">
        <v>1609</v>
      </c>
      <c r="B785" s="2">
        <v>45016</v>
      </c>
      <c r="C785" t="s">
        <v>49</v>
      </c>
      <c r="D785" t="s">
        <v>50</v>
      </c>
      <c r="E785">
        <v>1650.02</v>
      </c>
      <c r="F785">
        <v>0</v>
      </c>
      <c r="G785" t="s">
        <v>13</v>
      </c>
      <c r="H785" t="s">
        <v>40</v>
      </c>
      <c r="I785" t="s">
        <v>1610</v>
      </c>
      <c r="J785" t="s">
        <v>28</v>
      </c>
      <c r="K785" s="4">
        <f>VLOOKUP(J785,Exchange_Rates!A:B,2,FALSE)</f>
        <v>1.27</v>
      </c>
      <c r="L785" s="4">
        <f t="shared" si="48"/>
        <v>2095.5254</v>
      </c>
      <c r="M785" s="4">
        <f t="shared" si="49"/>
        <v>0</v>
      </c>
      <c r="N785" s="4">
        <f t="shared" si="50"/>
        <v>2023</v>
      </c>
      <c r="O785" s="4">
        <f t="shared" si="51"/>
        <v>1</v>
      </c>
    </row>
    <row r="786" spans="1:15" x14ac:dyDescent="0.25">
      <c r="A786" t="s">
        <v>1611</v>
      </c>
      <c r="B786" s="2">
        <v>45826</v>
      </c>
      <c r="C786" t="s">
        <v>60</v>
      </c>
      <c r="D786" t="s">
        <v>61</v>
      </c>
      <c r="E786">
        <v>0</v>
      </c>
      <c r="F786">
        <v>3235.44</v>
      </c>
      <c r="G786" t="s">
        <v>11</v>
      </c>
      <c r="H786" t="s">
        <v>26</v>
      </c>
      <c r="I786" t="s">
        <v>1612</v>
      </c>
      <c r="J786" t="s">
        <v>42</v>
      </c>
      <c r="K786" s="4">
        <f>VLOOKUP(J786,Exchange_Rates!A:B,2,FALSE)</f>
        <v>0.66</v>
      </c>
      <c r="L786" s="4">
        <f t="shared" si="48"/>
        <v>0</v>
      </c>
      <c r="M786" s="4">
        <f t="shared" si="49"/>
        <v>2135.3904000000002</v>
      </c>
      <c r="N786" s="4">
        <f t="shared" si="50"/>
        <v>2025</v>
      </c>
      <c r="O786" s="4">
        <f t="shared" si="51"/>
        <v>2</v>
      </c>
    </row>
    <row r="787" spans="1:15" x14ac:dyDescent="0.25">
      <c r="A787" t="s">
        <v>1613</v>
      </c>
      <c r="B787" s="2">
        <v>45312</v>
      </c>
      <c r="C787" t="s">
        <v>30</v>
      </c>
      <c r="D787" t="s">
        <v>31</v>
      </c>
      <c r="E787">
        <v>459.65</v>
      </c>
      <c r="F787">
        <v>0</v>
      </c>
      <c r="G787" t="s">
        <v>11</v>
      </c>
      <c r="H787" t="s">
        <v>26</v>
      </c>
      <c r="I787" t="s">
        <v>1614</v>
      </c>
      <c r="J787" t="s">
        <v>64</v>
      </c>
      <c r="K787" s="4">
        <f>VLOOKUP(J787,Exchange_Rates!A:B,2,FALSE)</f>
        <v>0.73</v>
      </c>
      <c r="L787" s="4">
        <f t="shared" si="48"/>
        <v>335.54449999999997</v>
      </c>
      <c r="M787" s="4">
        <f t="shared" si="49"/>
        <v>0</v>
      </c>
      <c r="N787" s="4">
        <f t="shared" si="50"/>
        <v>2024</v>
      </c>
      <c r="O787" s="4">
        <f t="shared" si="51"/>
        <v>1</v>
      </c>
    </row>
    <row r="788" spans="1:15" x14ac:dyDescent="0.25">
      <c r="A788" t="s">
        <v>1615</v>
      </c>
      <c r="B788" s="2">
        <v>45226</v>
      </c>
      <c r="C788" t="s">
        <v>49</v>
      </c>
      <c r="D788" t="s">
        <v>50</v>
      </c>
      <c r="E788">
        <v>882.11</v>
      </c>
      <c r="F788">
        <v>0</v>
      </c>
      <c r="G788" t="s">
        <v>13</v>
      </c>
      <c r="H788" t="s">
        <v>51</v>
      </c>
      <c r="I788" t="s">
        <v>1616</v>
      </c>
      <c r="J788" t="s">
        <v>64</v>
      </c>
      <c r="K788" s="4">
        <f>VLOOKUP(J788,Exchange_Rates!A:B,2,FALSE)</f>
        <v>0.73</v>
      </c>
      <c r="L788" s="4">
        <f t="shared" si="48"/>
        <v>643.94029999999998</v>
      </c>
      <c r="M788" s="4">
        <f t="shared" si="49"/>
        <v>0</v>
      </c>
      <c r="N788" s="4">
        <f t="shared" si="50"/>
        <v>2023</v>
      </c>
      <c r="O788" s="4">
        <f t="shared" si="51"/>
        <v>4</v>
      </c>
    </row>
    <row r="789" spans="1:15" x14ac:dyDescent="0.25">
      <c r="A789" t="s">
        <v>1617</v>
      </c>
      <c r="B789" s="2">
        <v>45597</v>
      </c>
      <c r="C789" t="s">
        <v>38</v>
      </c>
      <c r="D789" t="s">
        <v>39</v>
      </c>
      <c r="E789">
        <v>1023.17</v>
      </c>
      <c r="F789">
        <v>0</v>
      </c>
      <c r="G789" t="s">
        <v>13</v>
      </c>
      <c r="H789" t="s">
        <v>51</v>
      </c>
      <c r="I789" t="s">
        <v>1618</v>
      </c>
      <c r="J789" t="s">
        <v>28</v>
      </c>
      <c r="K789" s="4">
        <f>VLOOKUP(J789,Exchange_Rates!A:B,2,FALSE)</f>
        <v>1.27</v>
      </c>
      <c r="L789" s="4">
        <f t="shared" si="48"/>
        <v>1299.4259</v>
      </c>
      <c r="M789" s="4">
        <f t="shared" si="49"/>
        <v>0</v>
      </c>
      <c r="N789" s="4">
        <f t="shared" si="50"/>
        <v>2024</v>
      </c>
      <c r="O789" s="4">
        <f t="shared" si="51"/>
        <v>4</v>
      </c>
    </row>
    <row r="790" spans="1:15" x14ac:dyDescent="0.25">
      <c r="A790" t="s">
        <v>1619</v>
      </c>
      <c r="B790" s="2">
        <v>45378</v>
      </c>
      <c r="C790" t="s">
        <v>49</v>
      </c>
      <c r="D790" t="s">
        <v>50</v>
      </c>
      <c r="E790">
        <v>510.05</v>
      </c>
      <c r="F790">
        <v>0</v>
      </c>
      <c r="G790" t="s">
        <v>12</v>
      </c>
      <c r="H790" t="s">
        <v>26</v>
      </c>
      <c r="I790" t="s">
        <v>1620</v>
      </c>
      <c r="J790" t="s">
        <v>64</v>
      </c>
      <c r="K790" s="4">
        <f>VLOOKUP(J790,Exchange_Rates!A:B,2,FALSE)</f>
        <v>0.73</v>
      </c>
      <c r="L790" s="4">
        <f t="shared" si="48"/>
        <v>372.3365</v>
      </c>
      <c r="M790" s="4">
        <f t="shared" si="49"/>
        <v>0</v>
      </c>
      <c r="N790" s="4">
        <f t="shared" si="50"/>
        <v>2024</v>
      </c>
      <c r="O790" s="4">
        <f t="shared" si="51"/>
        <v>1</v>
      </c>
    </row>
    <row r="791" spans="1:15" x14ac:dyDescent="0.25">
      <c r="A791" t="s">
        <v>1621</v>
      </c>
      <c r="B791" s="2">
        <v>45008</v>
      </c>
      <c r="C791" t="s">
        <v>60</v>
      </c>
      <c r="D791" t="s">
        <v>61</v>
      </c>
      <c r="E791">
        <v>0</v>
      </c>
      <c r="F791">
        <v>3848.25</v>
      </c>
      <c r="G791" t="s">
        <v>11</v>
      </c>
      <c r="H791" t="s">
        <v>34</v>
      </c>
      <c r="I791" t="s">
        <v>1622</v>
      </c>
      <c r="J791" t="s">
        <v>42</v>
      </c>
      <c r="K791" s="4">
        <f>VLOOKUP(J791,Exchange_Rates!A:B,2,FALSE)</f>
        <v>0.66</v>
      </c>
      <c r="L791" s="4">
        <f t="shared" si="48"/>
        <v>0</v>
      </c>
      <c r="M791" s="4">
        <f t="shared" si="49"/>
        <v>2539.8450000000003</v>
      </c>
      <c r="N791" s="4">
        <f t="shared" si="50"/>
        <v>2023</v>
      </c>
      <c r="O791" s="4">
        <f t="shared" si="51"/>
        <v>1</v>
      </c>
    </row>
    <row r="792" spans="1:15" x14ac:dyDescent="0.25">
      <c r="A792" t="s">
        <v>1623</v>
      </c>
      <c r="B792" s="2">
        <v>45389</v>
      </c>
      <c r="C792" t="s">
        <v>30</v>
      </c>
      <c r="D792" t="s">
        <v>31</v>
      </c>
      <c r="E792">
        <v>315.25</v>
      </c>
      <c r="F792">
        <v>0</v>
      </c>
      <c r="G792" t="s">
        <v>12</v>
      </c>
      <c r="H792" t="s">
        <v>51</v>
      </c>
      <c r="I792" t="s">
        <v>1624</v>
      </c>
      <c r="J792" t="s">
        <v>42</v>
      </c>
      <c r="K792" s="4">
        <f>VLOOKUP(J792,Exchange_Rates!A:B,2,FALSE)</f>
        <v>0.66</v>
      </c>
      <c r="L792" s="4">
        <f t="shared" si="48"/>
        <v>208.065</v>
      </c>
      <c r="M792" s="4">
        <f t="shared" si="49"/>
        <v>0</v>
      </c>
      <c r="N792" s="4">
        <f t="shared" si="50"/>
        <v>2024</v>
      </c>
      <c r="O792" s="4">
        <f t="shared" si="51"/>
        <v>2</v>
      </c>
    </row>
    <row r="793" spans="1:15" x14ac:dyDescent="0.25">
      <c r="A793" t="s">
        <v>1625</v>
      </c>
      <c r="B793" s="2">
        <v>45385</v>
      </c>
      <c r="C793" t="s">
        <v>60</v>
      </c>
      <c r="D793" t="s">
        <v>61</v>
      </c>
      <c r="E793">
        <v>0</v>
      </c>
      <c r="F793">
        <v>4030.96</v>
      </c>
      <c r="G793" t="s">
        <v>13</v>
      </c>
      <c r="H793" t="s">
        <v>34</v>
      </c>
      <c r="I793" t="s">
        <v>1626</v>
      </c>
      <c r="J793" t="s">
        <v>45</v>
      </c>
      <c r="K793" s="4">
        <f>VLOOKUP(J793,Exchange_Rates!A:B,2,FALSE)</f>
        <v>1</v>
      </c>
      <c r="L793" s="4">
        <f t="shared" si="48"/>
        <v>0</v>
      </c>
      <c r="M793" s="4">
        <f t="shared" si="49"/>
        <v>4030.96</v>
      </c>
      <c r="N793" s="4">
        <f t="shared" si="50"/>
        <v>2024</v>
      </c>
      <c r="O793" s="4">
        <f t="shared" si="51"/>
        <v>2</v>
      </c>
    </row>
    <row r="794" spans="1:15" x14ac:dyDescent="0.25">
      <c r="A794" t="s">
        <v>1627</v>
      </c>
      <c r="B794" s="2">
        <v>44965</v>
      </c>
      <c r="C794" t="s">
        <v>24</v>
      </c>
      <c r="D794" t="s">
        <v>25</v>
      </c>
      <c r="E794">
        <v>0</v>
      </c>
      <c r="F794">
        <v>1965.39</v>
      </c>
      <c r="G794" t="s">
        <v>12</v>
      </c>
      <c r="H794" t="s">
        <v>34</v>
      </c>
      <c r="I794" t="s">
        <v>1628</v>
      </c>
      <c r="J794" t="s">
        <v>64</v>
      </c>
      <c r="K794" s="4">
        <f>VLOOKUP(J794,Exchange_Rates!A:B,2,FALSE)</f>
        <v>0.73</v>
      </c>
      <c r="L794" s="4">
        <f t="shared" si="48"/>
        <v>0</v>
      </c>
      <c r="M794" s="4">
        <f t="shared" si="49"/>
        <v>1434.7347</v>
      </c>
      <c r="N794" s="4">
        <f t="shared" si="50"/>
        <v>2023</v>
      </c>
      <c r="O794" s="4">
        <f t="shared" si="51"/>
        <v>1</v>
      </c>
    </row>
    <row r="795" spans="1:15" x14ac:dyDescent="0.25">
      <c r="A795" t="s">
        <v>1629</v>
      </c>
      <c r="B795" s="2">
        <v>45516</v>
      </c>
      <c r="C795" t="s">
        <v>60</v>
      </c>
      <c r="D795" t="s">
        <v>61</v>
      </c>
      <c r="E795">
        <v>0</v>
      </c>
      <c r="F795">
        <v>3170.84</v>
      </c>
      <c r="G795" t="s">
        <v>8</v>
      </c>
      <c r="H795" t="s">
        <v>62</v>
      </c>
      <c r="I795" t="s">
        <v>1630</v>
      </c>
      <c r="J795" t="s">
        <v>45</v>
      </c>
      <c r="K795" s="4">
        <f>VLOOKUP(J795,Exchange_Rates!A:B,2,FALSE)</f>
        <v>1</v>
      </c>
      <c r="L795" s="4">
        <f t="shared" si="48"/>
        <v>0</v>
      </c>
      <c r="M795" s="4">
        <f t="shared" si="49"/>
        <v>3170.84</v>
      </c>
      <c r="N795" s="4">
        <f t="shared" si="50"/>
        <v>2024</v>
      </c>
      <c r="O795" s="4">
        <f t="shared" si="51"/>
        <v>3</v>
      </c>
    </row>
    <row r="796" spans="1:15" x14ac:dyDescent="0.25">
      <c r="A796" t="s">
        <v>1631</v>
      </c>
      <c r="B796" s="2">
        <v>45397</v>
      </c>
      <c r="C796" t="s">
        <v>60</v>
      </c>
      <c r="D796" t="s">
        <v>61</v>
      </c>
      <c r="E796">
        <v>0</v>
      </c>
      <c r="F796">
        <v>3010.78</v>
      </c>
      <c r="G796" t="s">
        <v>12</v>
      </c>
      <c r="H796" t="s">
        <v>34</v>
      </c>
      <c r="I796" t="s">
        <v>1632</v>
      </c>
      <c r="J796" t="s">
        <v>45</v>
      </c>
      <c r="K796" s="4">
        <f>VLOOKUP(J796,Exchange_Rates!A:B,2,FALSE)</f>
        <v>1</v>
      </c>
      <c r="L796" s="4">
        <f t="shared" si="48"/>
        <v>0</v>
      </c>
      <c r="M796" s="4">
        <f t="shared" si="49"/>
        <v>3010.78</v>
      </c>
      <c r="N796" s="4">
        <f t="shared" si="50"/>
        <v>2024</v>
      </c>
      <c r="O796" s="4">
        <f t="shared" si="51"/>
        <v>2</v>
      </c>
    </row>
    <row r="797" spans="1:15" x14ac:dyDescent="0.25">
      <c r="A797" t="s">
        <v>1633</v>
      </c>
      <c r="B797" s="2">
        <v>45747</v>
      </c>
      <c r="C797" t="s">
        <v>38</v>
      </c>
      <c r="D797" t="s">
        <v>39</v>
      </c>
      <c r="E797">
        <v>1953.3</v>
      </c>
      <c r="F797">
        <v>0</v>
      </c>
      <c r="G797" t="s">
        <v>8</v>
      </c>
      <c r="H797" t="s">
        <v>34</v>
      </c>
      <c r="I797" t="s">
        <v>1634</v>
      </c>
      <c r="J797" t="s">
        <v>64</v>
      </c>
      <c r="K797" s="4">
        <f>VLOOKUP(J797,Exchange_Rates!A:B,2,FALSE)</f>
        <v>0.73</v>
      </c>
      <c r="L797" s="4">
        <f t="shared" si="48"/>
        <v>1425.9089999999999</v>
      </c>
      <c r="M797" s="4">
        <f t="shared" si="49"/>
        <v>0</v>
      </c>
      <c r="N797" s="4">
        <f t="shared" si="50"/>
        <v>2025</v>
      </c>
      <c r="O797" s="4">
        <f t="shared" si="51"/>
        <v>1</v>
      </c>
    </row>
    <row r="798" spans="1:15" x14ac:dyDescent="0.25">
      <c r="A798" t="s">
        <v>1635</v>
      </c>
      <c r="B798" s="2">
        <v>45494</v>
      </c>
      <c r="C798" t="s">
        <v>49</v>
      </c>
      <c r="D798" t="s">
        <v>50</v>
      </c>
      <c r="E798">
        <v>1420.92</v>
      </c>
      <c r="F798">
        <v>0</v>
      </c>
      <c r="G798" t="s">
        <v>8</v>
      </c>
      <c r="H798" t="s">
        <v>26</v>
      </c>
      <c r="I798" t="s">
        <v>1636</v>
      </c>
      <c r="J798" t="s">
        <v>42</v>
      </c>
      <c r="K798" s="4">
        <f>VLOOKUP(J798,Exchange_Rates!A:B,2,FALSE)</f>
        <v>0.66</v>
      </c>
      <c r="L798" s="4">
        <f t="shared" si="48"/>
        <v>937.80720000000008</v>
      </c>
      <c r="M798" s="4">
        <f t="shared" si="49"/>
        <v>0</v>
      </c>
      <c r="N798" s="4">
        <f t="shared" si="50"/>
        <v>2024</v>
      </c>
      <c r="O798" s="4">
        <f t="shared" si="51"/>
        <v>3</v>
      </c>
    </row>
    <row r="799" spans="1:15" x14ac:dyDescent="0.25">
      <c r="A799" t="s">
        <v>1637</v>
      </c>
      <c r="B799" s="2">
        <v>45294</v>
      </c>
      <c r="C799" t="s">
        <v>38</v>
      </c>
      <c r="D799" t="s">
        <v>39</v>
      </c>
      <c r="E799">
        <v>203.96</v>
      </c>
      <c r="F799">
        <v>0</v>
      </c>
      <c r="G799" t="s">
        <v>13</v>
      </c>
      <c r="H799" t="s">
        <v>40</v>
      </c>
      <c r="I799" t="s">
        <v>1638</v>
      </c>
      <c r="J799" t="s">
        <v>45</v>
      </c>
      <c r="K799" s="4">
        <f>VLOOKUP(J799,Exchange_Rates!A:B,2,FALSE)</f>
        <v>1</v>
      </c>
      <c r="L799" s="4">
        <f t="shared" si="48"/>
        <v>203.96</v>
      </c>
      <c r="M799" s="4">
        <f t="shared" si="49"/>
        <v>0</v>
      </c>
      <c r="N799" s="4">
        <f t="shared" si="50"/>
        <v>2024</v>
      </c>
      <c r="O799" s="4">
        <f t="shared" si="51"/>
        <v>1</v>
      </c>
    </row>
    <row r="800" spans="1:15" x14ac:dyDescent="0.25">
      <c r="A800" t="s">
        <v>1639</v>
      </c>
      <c r="B800" s="2">
        <v>45082</v>
      </c>
      <c r="C800" t="s">
        <v>60</v>
      </c>
      <c r="D800" t="s">
        <v>61</v>
      </c>
      <c r="E800">
        <v>0</v>
      </c>
      <c r="F800">
        <v>2860.2</v>
      </c>
      <c r="G800" t="s">
        <v>12</v>
      </c>
      <c r="H800" t="s">
        <v>34</v>
      </c>
      <c r="I800" t="s">
        <v>1640</v>
      </c>
      <c r="J800" t="s">
        <v>64</v>
      </c>
      <c r="K800" s="4">
        <f>VLOOKUP(J800,Exchange_Rates!A:B,2,FALSE)</f>
        <v>0.73</v>
      </c>
      <c r="L800" s="4">
        <f t="shared" si="48"/>
        <v>0</v>
      </c>
      <c r="M800" s="4">
        <f t="shared" si="49"/>
        <v>2087.9459999999999</v>
      </c>
      <c r="N800" s="4">
        <f t="shared" si="50"/>
        <v>2023</v>
      </c>
      <c r="O800" s="4">
        <f t="shared" si="51"/>
        <v>2</v>
      </c>
    </row>
    <row r="801" spans="1:15" x14ac:dyDescent="0.25">
      <c r="A801" t="s">
        <v>1641</v>
      </c>
      <c r="B801" s="2">
        <v>45159</v>
      </c>
      <c r="C801" t="s">
        <v>49</v>
      </c>
      <c r="D801" t="s">
        <v>50</v>
      </c>
      <c r="E801">
        <v>1363.92</v>
      </c>
      <c r="F801">
        <v>0</v>
      </c>
      <c r="G801" t="s">
        <v>13</v>
      </c>
      <c r="H801" t="s">
        <v>34</v>
      </c>
      <c r="I801" t="s">
        <v>1642</v>
      </c>
      <c r="J801" t="s">
        <v>64</v>
      </c>
      <c r="K801" s="4">
        <f>VLOOKUP(J801,Exchange_Rates!A:B,2,FALSE)</f>
        <v>0.73</v>
      </c>
      <c r="L801" s="4">
        <f t="shared" si="48"/>
        <v>995.66160000000002</v>
      </c>
      <c r="M801" s="4">
        <f t="shared" si="49"/>
        <v>0</v>
      </c>
      <c r="N801" s="4">
        <f t="shared" si="50"/>
        <v>2023</v>
      </c>
      <c r="O801" s="4">
        <f t="shared" si="51"/>
        <v>3</v>
      </c>
    </row>
    <row r="802" spans="1:15" x14ac:dyDescent="0.25">
      <c r="A802" t="s">
        <v>1643</v>
      </c>
      <c r="B802" s="2">
        <v>45303</v>
      </c>
      <c r="C802" t="s">
        <v>24</v>
      </c>
      <c r="D802" t="s">
        <v>25</v>
      </c>
      <c r="E802">
        <v>0</v>
      </c>
      <c r="F802">
        <v>4449.82</v>
      </c>
      <c r="G802" t="s">
        <v>12</v>
      </c>
      <c r="H802" t="s">
        <v>34</v>
      </c>
      <c r="I802" t="s">
        <v>1644</v>
      </c>
      <c r="J802" t="s">
        <v>64</v>
      </c>
      <c r="K802" s="4">
        <f>VLOOKUP(J802,Exchange_Rates!A:B,2,FALSE)</f>
        <v>0.73</v>
      </c>
      <c r="L802" s="4">
        <f t="shared" si="48"/>
        <v>0</v>
      </c>
      <c r="M802" s="4">
        <f t="shared" si="49"/>
        <v>3248.3685999999998</v>
      </c>
      <c r="N802" s="4">
        <f t="shared" si="50"/>
        <v>2024</v>
      </c>
      <c r="O802" s="4">
        <f t="shared" si="51"/>
        <v>1</v>
      </c>
    </row>
    <row r="803" spans="1:15" x14ac:dyDescent="0.25">
      <c r="A803" t="s">
        <v>1645</v>
      </c>
      <c r="B803" s="2">
        <v>45056</v>
      </c>
      <c r="C803" t="s">
        <v>49</v>
      </c>
      <c r="D803" t="s">
        <v>50</v>
      </c>
      <c r="E803">
        <v>256.63</v>
      </c>
      <c r="F803">
        <v>0</v>
      </c>
      <c r="G803" t="s">
        <v>12</v>
      </c>
      <c r="H803" t="s">
        <v>51</v>
      </c>
      <c r="I803" t="s">
        <v>1646</v>
      </c>
      <c r="J803" t="s">
        <v>42</v>
      </c>
      <c r="K803" s="4">
        <f>VLOOKUP(J803,Exchange_Rates!A:B,2,FALSE)</f>
        <v>0.66</v>
      </c>
      <c r="L803" s="4">
        <f t="shared" si="48"/>
        <v>169.3758</v>
      </c>
      <c r="M803" s="4">
        <f t="shared" si="49"/>
        <v>0</v>
      </c>
      <c r="N803" s="4">
        <f t="shared" si="50"/>
        <v>2023</v>
      </c>
      <c r="O803" s="4">
        <f t="shared" si="51"/>
        <v>2</v>
      </c>
    </row>
    <row r="804" spans="1:15" x14ac:dyDescent="0.25">
      <c r="A804" t="s">
        <v>1647</v>
      </c>
      <c r="B804" s="2">
        <v>45504</v>
      </c>
      <c r="C804" t="s">
        <v>24</v>
      </c>
      <c r="D804" t="s">
        <v>25</v>
      </c>
      <c r="E804">
        <v>0</v>
      </c>
      <c r="F804">
        <v>303.74</v>
      </c>
      <c r="G804" t="s">
        <v>11</v>
      </c>
      <c r="H804" t="s">
        <v>51</v>
      </c>
      <c r="I804" t="s">
        <v>1648</v>
      </c>
      <c r="J804" t="s">
        <v>36</v>
      </c>
      <c r="K804" s="4">
        <f>VLOOKUP(J804,Exchange_Rates!A:B,2,FALSE)</f>
        <v>1.08</v>
      </c>
      <c r="L804" s="4">
        <f t="shared" si="48"/>
        <v>0</v>
      </c>
      <c r="M804" s="4">
        <f t="shared" si="49"/>
        <v>328.03920000000005</v>
      </c>
      <c r="N804" s="4">
        <f t="shared" si="50"/>
        <v>2024</v>
      </c>
      <c r="O804" s="4">
        <f t="shared" si="51"/>
        <v>3</v>
      </c>
    </row>
    <row r="805" spans="1:15" x14ac:dyDescent="0.25">
      <c r="A805" t="s">
        <v>1649</v>
      </c>
      <c r="B805" s="2">
        <v>45600</v>
      </c>
      <c r="C805" t="s">
        <v>30</v>
      </c>
      <c r="D805" t="s">
        <v>31</v>
      </c>
      <c r="E805">
        <v>1181.69</v>
      </c>
      <c r="F805">
        <v>0</v>
      </c>
      <c r="G805" t="s">
        <v>11</v>
      </c>
      <c r="H805" t="s">
        <v>62</v>
      </c>
      <c r="I805" t="s">
        <v>1650</v>
      </c>
      <c r="J805" t="s">
        <v>28</v>
      </c>
      <c r="K805" s="4">
        <f>VLOOKUP(J805,Exchange_Rates!A:B,2,FALSE)</f>
        <v>1.27</v>
      </c>
      <c r="L805" s="4">
        <f t="shared" si="48"/>
        <v>1500.7463</v>
      </c>
      <c r="M805" s="4">
        <f t="shared" si="49"/>
        <v>0</v>
      </c>
      <c r="N805" s="4">
        <f t="shared" si="50"/>
        <v>2024</v>
      </c>
      <c r="O805" s="4">
        <f t="shared" si="51"/>
        <v>4</v>
      </c>
    </row>
    <row r="806" spans="1:15" x14ac:dyDescent="0.25">
      <c r="A806" t="s">
        <v>1651</v>
      </c>
      <c r="B806" s="2">
        <v>45200</v>
      </c>
      <c r="C806" t="s">
        <v>60</v>
      </c>
      <c r="D806" t="s">
        <v>61</v>
      </c>
      <c r="E806">
        <v>0</v>
      </c>
      <c r="F806">
        <v>2568.02</v>
      </c>
      <c r="G806" t="s">
        <v>13</v>
      </c>
      <c r="H806" t="s">
        <v>26</v>
      </c>
      <c r="I806" t="s">
        <v>1652</v>
      </c>
      <c r="J806" t="s">
        <v>42</v>
      </c>
      <c r="K806" s="4">
        <f>VLOOKUP(J806,Exchange_Rates!A:B,2,FALSE)</f>
        <v>0.66</v>
      </c>
      <c r="L806" s="4">
        <f t="shared" si="48"/>
        <v>0</v>
      </c>
      <c r="M806" s="4">
        <f t="shared" si="49"/>
        <v>1694.8932</v>
      </c>
      <c r="N806" s="4">
        <f t="shared" si="50"/>
        <v>2023</v>
      </c>
      <c r="O806" s="4">
        <f t="shared" si="51"/>
        <v>4</v>
      </c>
    </row>
    <row r="807" spans="1:15" x14ac:dyDescent="0.25">
      <c r="A807" t="s">
        <v>1653</v>
      </c>
      <c r="B807" s="2">
        <v>45209</v>
      </c>
      <c r="C807" t="s">
        <v>30</v>
      </c>
      <c r="D807" t="s">
        <v>31</v>
      </c>
      <c r="E807">
        <v>1567.28</v>
      </c>
      <c r="F807">
        <v>0</v>
      </c>
      <c r="G807" t="s">
        <v>12</v>
      </c>
      <c r="H807" t="s">
        <v>62</v>
      </c>
      <c r="I807" t="s">
        <v>1654</v>
      </c>
      <c r="J807" t="s">
        <v>42</v>
      </c>
      <c r="K807" s="4">
        <f>VLOOKUP(J807,Exchange_Rates!A:B,2,FALSE)</f>
        <v>0.66</v>
      </c>
      <c r="L807" s="4">
        <f t="shared" si="48"/>
        <v>1034.4048</v>
      </c>
      <c r="M807" s="4">
        <f t="shared" si="49"/>
        <v>0</v>
      </c>
      <c r="N807" s="4">
        <f t="shared" si="50"/>
        <v>2023</v>
      </c>
      <c r="O807" s="4">
        <f t="shared" si="51"/>
        <v>4</v>
      </c>
    </row>
    <row r="808" spans="1:15" x14ac:dyDescent="0.25">
      <c r="A808" t="s">
        <v>1655</v>
      </c>
      <c r="B808" s="2">
        <v>45772</v>
      </c>
      <c r="C808" t="s">
        <v>60</v>
      </c>
      <c r="D808" t="s">
        <v>61</v>
      </c>
      <c r="E808">
        <v>0</v>
      </c>
      <c r="F808">
        <v>1614.33</v>
      </c>
      <c r="G808" t="s">
        <v>11</v>
      </c>
      <c r="H808" t="s">
        <v>51</v>
      </c>
      <c r="I808" t="s">
        <v>1656</v>
      </c>
      <c r="J808" t="s">
        <v>28</v>
      </c>
      <c r="K808" s="4">
        <f>VLOOKUP(J808,Exchange_Rates!A:B,2,FALSE)</f>
        <v>1.27</v>
      </c>
      <c r="L808" s="4">
        <f t="shared" si="48"/>
        <v>0</v>
      </c>
      <c r="M808" s="4">
        <f t="shared" si="49"/>
        <v>2050.1990999999998</v>
      </c>
      <c r="N808" s="4">
        <f t="shared" si="50"/>
        <v>2025</v>
      </c>
      <c r="O808" s="4">
        <f t="shared" si="51"/>
        <v>2</v>
      </c>
    </row>
    <row r="809" spans="1:15" x14ac:dyDescent="0.25">
      <c r="A809" t="s">
        <v>1657</v>
      </c>
      <c r="B809" s="2">
        <v>45485</v>
      </c>
      <c r="C809" t="s">
        <v>38</v>
      </c>
      <c r="D809" t="s">
        <v>39</v>
      </c>
      <c r="E809">
        <v>335.31</v>
      </c>
      <c r="F809">
        <v>0</v>
      </c>
      <c r="G809" t="s">
        <v>11</v>
      </c>
      <c r="H809" t="s">
        <v>26</v>
      </c>
      <c r="I809" t="s">
        <v>1658</v>
      </c>
      <c r="J809" t="s">
        <v>28</v>
      </c>
      <c r="K809" s="4">
        <f>VLOOKUP(J809,Exchange_Rates!A:B,2,FALSE)</f>
        <v>1.27</v>
      </c>
      <c r="L809" s="4">
        <f t="shared" si="48"/>
        <v>425.84370000000001</v>
      </c>
      <c r="M809" s="4">
        <f t="shared" si="49"/>
        <v>0</v>
      </c>
      <c r="N809" s="4">
        <f t="shared" si="50"/>
        <v>2024</v>
      </c>
      <c r="O809" s="4">
        <f t="shared" si="51"/>
        <v>3</v>
      </c>
    </row>
    <row r="810" spans="1:15" x14ac:dyDescent="0.25">
      <c r="A810" t="s">
        <v>1659</v>
      </c>
      <c r="B810" s="2">
        <v>45832</v>
      </c>
      <c r="C810" t="s">
        <v>49</v>
      </c>
      <c r="D810" t="s">
        <v>50</v>
      </c>
      <c r="E810">
        <v>1491.54</v>
      </c>
      <c r="F810">
        <v>0</v>
      </c>
      <c r="G810" t="s">
        <v>12</v>
      </c>
      <c r="H810" t="s">
        <v>62</v>
      </c>
      <c r="I810" t="s">
        <v>1660</v>
      </c>
      <c r="J810" t="s">
        <v>45</v>
      </c>
      <c r="K810" s="4">
        <f>VLOOKUP(J810,Exchange_Rates!A:B,2,FALSE)</f>
        <v>1</v>
      </c>
      <c r="L810" s="4">
        <f t="shared" si="48"/>
        <v>1491.54</v>
      </c>
      <c r="M810" s="4">
        <f t="shared" si="49"/>
        <v>0</v>
      </c>
      <c r="N810" s="4">
        <f t="shared" si="50"/>
        <v>2025</v>
      </c>
      <c r="O810" s="4">
        <f t="shared" si="51"/>
        <v>2</v>
      </c>
    </row>
    <row r="811" spans="1:15" x14ac:dyDescent="0.25">
      <c r="A811" t="s">
        <v>1661</v>
      </c>
      <c r="B811" s="2">
        <v>45699</v>
      </c>
      <c r="C811" t="s">
        <v>60</v>
      </c>
      <c r="D811" t="s">
        <v>61</v>
      </c>
      <c r="E811">
        <v>0</v>
      </c>
      <c r="F811">
        <v>2809.76</v>
      </c>
      <c r="G811" t="s">
        <v>8</v>
      </c>
      <c r="H811" t="s">
        <v>34</v>
      </c>
      <c r="I811" t="s">
        <v>1662</v>
      </c>
      <c r="J811" t="s">
        <v>45</v>
      </c>
      <c r="K811" s="4">
        <f>VLOOKUP(J811,Exchange_Rates!A:B,2,FALSE)</f>
        <v>1</v>
      </c>
      <c r="L811" s="4">
        <f t="shared" si="48"/>
        <v>0</v>
      </c>
      <c r="M811" s="4">
        <f t="shared" si="49"/>
        <v>2809.76</v>
      </c>
      <c r="N811" s="4">
        <f t="shared" si="50"/>
        <v>2025</v>
      </c>
      <c r="O811" s="4">
        <f t="shared" si="51"/>
        <v>1</v>
      </c>
    </row>
    <row r="812" spans="1:15" x14ac:dyDescent="0.25">
      <c r="A812" t="s">
        <v>1663</v>
      </c>
      <c r="B812" s="2">
        <v>45229</v>
      </c>
      <c r="C812" t="s">
        <v>24</v>
      </c>
      <c r="D812" t="s">
        <v>25</v>
      </c>
      <c r="E812">
        <v>0</v>
      </c>
      <c r="F812">
        <v>460.23</v>
      </c>
      <c r="G812" t="s">
        <v>10</v>
      </c>
      <c r="H812" t="s">
        <v>51</v>
      </c>
      <c r="I812" t="s">
        <v>1664</v>
      </c>
      <c r="J812" t="s">
        <v>45</v>
      </c>
      <c r="K812" s="4">
        <f>VLOOKUP(J812,Exchange_Rates!A:B,2,FALSE)</f>
        <v>1</v>
      </c>
      <c r="L812" s="4">
        <f t="shared" si="48"/>
        <v>0</v>
      </c>
      <c r="M812" s="4">
        <f t="shared" si="49"/>
        <v>460.23</v>
      </c>
      <c r="N812" s="4">
        <f t="shared" si="50"/>
        <v>2023</v>
      </c>
      <c r="O812" s="4">
        <f t="shared" si="51"/>
        <v>4</v>
      </c>
    </row>
    <row r="813" spans="1:15" x14ac:dyDescent="0.25">
      <c r="A813" t="s">
        <v>1665</v>
      </c>
      <c r="B813" s="2">
        <v>45181</v>
      </c>
      <c r="C813" t="s">
        <v>60</v>
      </c>
      <c r="D813" t="s">
        <v>61</v>
      </c>
      <c r="E813">
        <v>0</v>
      </c>
      <c r="F813">
        <v>2788.91</v>
      </c>
      <c r="G813" t="s">
        <v>13</v>
      </c>
      <c r="H813" t="s">
        <v>51</v>
      </c>
      <c r="I813" t="s">
        <v>1666</v>
      </c>
      <c r="J813" t="s">
        <v>28</v>
      </c>
      <c r="K813" s="4">
        <f>VLOOKUP(J813,Exchange_Rates!A:B,2,FALSE)</f>
        <v>1.27</v>
      </c>
      <c r="L813" s="4">
        <f t="shared" si="48"/>
        <v>0</v>
      </c>
      <c r="M813" s="4">
        <f t="shared" si="49"/>
        <v>3541.9157</v>
      </c>
      <c r="N813" s="4">
        <f t="shared" si="50"/>
        <v>2023</v>
      </c>
      <c r="O813" s="4">
        <f t="shared" si="51"/>
        <v>3</v>
      </c>
    </row>
    <row r="814" spans="1:15" x14ac:dyDescent="0.25">
      <c r="A814" t="s">
        <v>1667</v>
      </c>
      <c r="B814" s="2">
        <v>45775</v>
      </c>
      <c r="C814" t="s">
        <v>38</v>
      </c>
      <c r="D814" t="s">
        <v>39</v>
      </c>
      <c r="E814">
        <v>695.92</v>
      </c>
      <c r="F814">
        <v>0</v>
      </c>
      <c r="G814" t="s">
        <v>9</v>
      </c>
      <c r="H814" t="s">
        <v>40</v>
      </c>
      <c r="I814" t="s">
        <v>1668</v>
      </c>
      <c r="J814" t="s">
        <v>28</v>
      </c>
      <c r="K814" s="4">
        <f>VLOOKUP(J814,Exchange_Rates!A:B,2,FALSE)</f>
        <v>1.27</v>
      </c>
      <c r="L814" s="4">
        <f t="shared" si="48"/>
        <v>883.8184</v>
      </c>
      <c r="M814" s="4">
        <f t="shared" si="49"/>
        <v>0</v>
      </c>
      <c r="N814" s="4">
        <f t="shared" si="50"/>
        <v>2025</v>
      </c>
      <c r="O814" s="4">
        <f t="shared" si="51"/>
        <v>2</v>
      </c>
    </row>
    <row r="815" spans="1:15" x14ac:dyDescent="0.25">
      <c r="A815" t="s">
        <v>1669</v>
      </c>
      <c r="B815" s="2">
        <v>45764</v>
      </c>
      <c r="C815" t="s">
        <v>49</v>
      </c>
      <c r="D815" t="s">
        <v>50</v>
      </c>
      <c r="E815">
        <v>1845.75</v>
      </c>
      <c r="F815">
        <v>0</v>
      </c>
      <c r="G815" t="s">
        <v>11</v>
      </c>
      <c r="H815" t="s">
        <v>51</v>
      </c>
      <c r="I815" t="s">
        <v>1670</v>
      </c>
      <c r="J815" t="s">
        <v>28</v>
      </c>
      <c r="K815" s="4">
        <f>VLOOKUP(J815,Exchange_Rates!A:B,2,FALSE)</f>
        <v>1.27</v>
      </c>
      <c r="L815" s="4">
        <f t="shared" si="48"/>
        <v>2344.1025</v>
      </c>
      <c r="M815" s="4">
        <f t="shared" si="49"/>
        <v>0</v>
      </c>
      <c r="N815" s="4">
        <f t="shared" si="50"/>
        <v>2025</v>
      </c>
      <c r="O815" s="4">
        <f t="shared" si="51"/>
        <v>2</v>
      </c>
    </row>
    <row r="816" spans="1:15" x14ac:dyDescent="0.25">
      <c r="A816" t="s">
        <v>1671</v>
      </c>
      <c r="B816" s="2">
        <v>45687</v>
      </c>
      <c r="C816" t="s">
        <v>30</v>
      </c>
      <c r="D816" t="s">
        <v>31</v>
      </c>
      <c r="E816">
        <v>892.42</v>
      </c>
      <c r="F816">
        <v>0</v>
      </c>
      <c r="G816" t="s">
        <v>8</v>
      </c>
      <c r="H816" t="s">
        <v>26</v>
      </c>
      <c r="I816" t="s">
        <v>1672</v>
      </c>
      <c r="J816" t="s">
        <v>64</v>
      </c>
      <c r="K816" s="4">
        <f>VLOOKUP(J816,Exchange_Rates!A:B,2,FALSE)</f>
        <v>0.73</v>
      </c>
      <c r="L816" s="4">
        <f t="shared" si="48"/>
        <v>651.46659999999997</v>
      </c>
      <c r="M816" s="4">
        <f t="shared" si="49"/>
        <v>0</v>
      </c>
      <c r="N816" s="4">
        <f t="shared" si="50"/>
        <v>2025</v>
      </c>
      <c r="O816" s="4">
        <f t="shared" si="51"/>
        <v>1</v>
      </c>
    </row>
    <row r="817" spans="1:15" x14ac:dyDescent="0.25">
      <c r="A817" t="s">
        <v>1673</v>
      </c>
      <c r="B817" s="2">
        <v>45170</v>
      </c>
      <c r="C817" t="s">
        <v>49</v>
      </c>
      <c r="D817" t="s">
        <v>50</v>
      </c>
      <c r="E817">
        <v>1024.68</v>
      </c>
      <c r="F817">
        <v>0</v>
      </c>
      <c r="G817" t="s">
        <v>9</v>
      </c>
      <c r="H817" t="s">
        <v>26</v>
      </c>
      <c r="I817" t="s">
        <v>1674</v>
      </c>
      <c r="J817" t="s">
        <v>28</v>
      </c>
      <c r="K817" s="4">
        <f>VLOOKUP(J817,Exchange_Rates!A:B,2,FALSE)</f>
        <v>1.27</v>
      </c>
      <c r="L817" s="4">
        <f t="shared" si="48"/>
        <v>1301.3436000000002</v>
      </c>
      <c r="M817" s="4">
        <f t="shared" si="49"/>
        <v>0</v>
      </c>
      <c r="N817" s="4">
        <f t="shared" si="50"/>
        <v>2023</v>
      </c>
      <c r="O817" s="4">
        <f t="shared" si="51"/>
        <v>3</v>
      </c>
    </row>
    <row r="818" spans="1:15" x14ac:dyDescent="0.25">
      <c r="A818" t="s">
        <v>1675</v>
      </c>
      <c r="B818" s="2">
        <v>45231</v>
      </c>
      <c r="C818" t="s">
        <v>38</v>
      </c>
      <c r="D818" t="s">
        <v>39</v>
      </c>
      <c r="E818">
        <v>927.04</v>
      </c>
      <c r="F818">
        <v>0</v>
      </c>
      <c r="G818" t="s">
        <v>12</v>
      </c>
      <c r="H818" t="s">
        <v>51</v>
      </c>
      <c r="I818" t="s">
        <v>1676</v>
      </c>
      <c r="J818" t="s">
        <v>64</v>
      </c>
      <c r="K818" s="4">
        <f>VLOOKUP(J818,Exchange_Rates!A:B,2,FALSE)</f>
        <v>0.73</v>
      </c>
      <c r="L818" s="4">
        <f t="shared" si="48"/>
        <v>676.73919999999998</v>
      </c>
      <c r="M818" s="4">
        <f t="shared" si="49"/>
        <v>0</v>
      </c>
      <c r="N818" s="4">
        <f t="shared" si="50"/>
        <v>2023</v>
      </c>
      <c r="O818" s="4">
        <f t="shared" si="51"/>
        <v>4</v>
      </c>
    </row>
    <row r="819" spans="1:15" x14ac:dyDescent="0.25">
      <c r="A819" t="s">
        <v>1677</v>
      </c>
      <c r="B819" s="2">
        <v>45376</v>
      </c>
      <c r="C819" t="s">
        <v>24</v>
      </c>
      <c r="D819" t="s">
        <v>25</v>
      </c>
      <c r="E819">
        <v>0</v>
      </c>
      <c r="F819">
        <v>3540.18</v>
      </c>
      <c r="G819" t="s">
        <v>12</v>
      </c>
      <c r="H819" t="s">
        <v>26</v>
      </c>
      <c r="I819" t="s">
        <v>1678</v>
      </c>
      <c r="J819" t="s">
        <v>64</v>
      </c>
      <c r="K819" s="4">
        <f>VLOOKUP(J819,Exchange_Rates!A:B,2,FALSE)</f>
        <v>0.73</v>
      </c>
      <c r="L819" s="4">
        <f t="shared" si="48"/>
        <v>0</v>
      </c>
      <c r="M819" s="4">
        <f t="shared" si="49"/>
        <v>2584.3314</v>
      </c>
      <c r="N819" s="4">
        <f t="shared" si="50"/>
        <v>2024</v>
      </c>
      <c r="O819" s="4">
        <f t="shared" si="51"/>
        <v>1</v>
      </c>
    </row>
    <row r="820" spans="1:15" x14ac:dyDescent="0.25">
      <c r="A820" t="s">
        <v>1679</v>
      </c>
      <c r="B820" s="2">
        <v>45635</v>
      </c>
      <c r="C820" t="s">
        <v>60</v>
      </c>
      <c r="D820" t="s">
        <v>61</v>
      </c>
      <c r="E820">
        <v>0</v>
      </c>
      <c r="F820">
        <v>4254.72</v>
      </c>
      <c r="G820" t="s">
        <v>10</v>
      </c>
      <c r="H820" t="s">
        <v>26</v>
      </c>
      <c r="I820" t="s">
        <v>1680</v>
      </c>
      <c r="J820" t="s">
        <v>28</v>
      </c>
      <c r="K820" s="4">
        <f>VLOOKUP(J820,Exchange_Rates!A:B,2,FALSE)</f>
        <v>1.27</v>
      </c>
      <c r="L820" s="4">
        <f t="shared" si="48"/>
        <v>0</v>
      </c>
      <c r="M820" s="4">
        <f t="shared" si="49"/>
        <v>5403.4944000000005</v>
      </c>
      <c r="N820" s="4">
        <f t="shared" si="50"/>
        <v>2024</v>
      </c>
      <c r="O820" s="4">
        <f t="shared" si="51"/>
        <v>4</v>
      </c>
    </row>
    <row r="821" spans="1:15" x14ac:dyDescent="0.25">
      <c r="A821" t="s">
        <v>1681</v>
      </c>
      <c r="B821" s="2">
        <v>45211</v>
      </c>
      <c r="C821" t="s">
        <v>49</v>
      </c>
      <c r="D821" t="s">
        <v>50</v>
      </c>
      <c r="E821">
        <v>1013.65</v>
      </c>
      <c r="F821">
        <v>0</v>
      </c>
      <c r="G821" t="s">
        <v>11</v>
      </c>
      <c r="H821" t="s">
        <v>51</v>
      </c>
      <c r="I821" t="s">
        <v>1682</v>
      </c>
      <c r="J821" t="s">
        <v>42</v>
      </c>
      <c r="K821" s="4">
        <f>VLOOKUP(J821,Exchange_Rates!A:B,2,FALSE)</f>
        <v>0.66</v>
      </c>
      <c r="L821" s="4">
        <f t="shared" si="48"/>
        <v>669.00900000000001</v>
      </c>
      <c r="M821" s="4">
        <f t="shared" si="49"/>
        <v>0</v>
      </c>
      <c r="N821" s="4">
        <f t="shared" si="50"/>
        <v>2023</v>
      </c>
      <c r="O821" s="4">
        <f t="shared" si="51"/>
        <v>4</v>
      </c>
    </row>
    <row r="822" spans="1:15" x14ac:dyDescent="0.25">
      <c r="A822" t="s">
        <v>1683</v>
      </c>
      <c r="B822" s="2">
        <v>45067</v>
      </c>
      <c r="C822" t="s">
        <v>60</v>
      </c>
      <c r="D822" t="s">
        <v>61</v>
      </c>
      <c r="E822">
        <v>0</v>
      </c>
      <c r="F822">
        <v>2994.63</v>
      </c>
      <c r="G822" t="s">
        <v>10</v>
      </c>
      <c r="H822" t="s">
        <v>51</v>
      </c>
      <c r="I822" t="s">
        <v>1684</v>
      </c>
      <c r="J822" t="s">
        <v>45</v>
      </c>
      <c r="K822" s="4">
        <f>VLOOKUP(J822,Exchange_Rates!A:B,2,FALSE)</f>
        <v>1</v>
      </c>
      <c r="L822" s="4">
        <f t="shared" si="48"/>
        <v>0</v>
      </c>
      <c r="M822" s="4">
        <f t="shared" si="49"/>
        <v>2994.63</v>
      </c>
      <c r="N822" s="4">
        <f t="shared" si="50"/>
        <v>2023</v>
      </c>
      <c r="O822" s="4">
        <f t="shared" si="51"/>
        <v>2</v>
      </c>
    </row>
    <row r="823" spans="1:15" x14ac:dyDescent="0.25">
      <c r="A823" t="s">
        <v>1685</v>
      </c>
      <c r="B823" s="2">
        <v>45187</v>
      </c>
      <c r="C823" t="s">
        <v>24</v>
      </c>
      <c r="D823" t="s">
        <v>25</v>
      </c>
      <c r="E823">
        <v>0</v>
      </c>
      <c r="F823">
        <v>4094.14</v>
      </c>
      <c r="G823" t="s">
        <v>8</v>
      </c>
      <c r="H823" t="s">
        <v>26</v>
      </c>
      <c r="I823" t="s">
        <v>1686</v>
      </c>
      <c r="J823" t="s">
        <v>45</v>
      </c>
      <c r="K823" s="4">
        <f>VLOOKUP(J823,Exchange_Rates!A:B,2,FALSE)</f>
        <v>1</v>
      </c>
      <c r="L823" s="4">
        <f t="shared" si="48"/>
        <v>0</v>
      </c>
      <c r="M823" s="4">
        <f t="shared" si="49"/>
        <v>4094.14</v>
      </c>
      <c r="N823" s="4">
        <f t="shared" si="50"/>
        <v>2023</v>
      </c>
      <c r="O823" s="4">
        <f t="shared" si="51"/>
        <v>3</v>
      </c>
    </row>
    <row r="824" spans="1:15" x14ac:dyDescent="0.25">
      <c r="A824" t="s">
        <v>1687</v>
      </c>
      <c r="B824" s="2">
        <v>45174</v>
      </c>
      <c r="C824" t="s">
        <v>38</v>
      </c>
      <c r="D824" t="s">
        <v>39</v>
      </c>
      <c r="E824">
        <v>784.89</v>
      </c>
      <c r="F824">
        <v>0</v>
      </c>
      <c r="G824" t="s">
        <v>9</v>
      </c>
      <c r="H824" t="s">
        <v>34</v>
      </c>
      <c r="I824" t="s">
        <v>1688</v>
      </c>
      <c r="J824" t="s">
        <v>42</v>
      </c>
      <c r="K824" s="4">
        <f>VLOOKUP(J824,Exchange_Rates!A:B,2,FALSE)</f>
        <v>0.66</v>
      </c>
      <c r="L824" s="4">
        <f t="shared" si="48"/>
        <v>518.02740000000006</v>
      </c>
      <c r="M824" s="4">
        <f t="shared" si="49"/>
        <v>0</v>
      </c>
      <c r="N824" s="4">
        <f t="shared" si="50"/>
        <v>2023</v>
      </c>
      <c r="O824" s="4">
        <f t="shared" si="51"/>
        <v>3</v>
      </c>
    </row>
    <row r="825" spans="1:15" x14ac:dyDescent="0.25">
      <c r="A825" t="s">
        <v>1689</v>
      </c>
      <c r="B825" s="2">
        <v>45709</v>
      </c>
      <c r="C825" t="s">
        <v>30</v>
      </c>
      <c r="D825" t="s">
        <v>31</v>
      </c>
      <c r="E825">
        <v>219.41</v>
      </c>
      <c r="F825">
        <v>0</v>
      </c>
      <c r="G825" t="s">
        <v>10</v>
      </c>
      <c r="H825" t="s">
        <v>26</v>
      </c>
      <c r="I825" t="s">
        <v>1690</v>
      </c>
      <c r="J825" t="s">
        <v>42</v>
      </c>
      <c r="K825" s="4">
        <f>VLOOKUP(J825,Exchange_Rates!A:B,2,FALSE)</f>
        <v>0.66</v>
      </c>
      <c r="L825" s="4">
        <f t="shared" si="48"/>
        <v>144.81059999999999</v>
      </c>
      <c r="M825" s="4">
        <f t="shared" si="49"/>
        <v>0</v>
      </c>
      <c r="N825" s="4">
        <f t="shared" si="50"/>
        <v>2025</v>
      </c>
      <c r="O825" s="4">
        <f t="shared" si="51"/>
        <v>1</v>
      </c>
    </row>
    <row r="826" spans="1:15" x14ac:dyDescent="0.25">
      <c r="A826" t="s">
        <v>1691</v>
      </c>
      <c r="B826" s="2">
        <v>45551</v>
      </c>
      <c r="C826" t="s">
        <v>24</v>
      </c>
      <c r="D826" t="s">
        <v>25</v>
      </c>
      <c r="E826">
        <v>0</v>
      </c>
      <c r="F826">
        <v>1558.82</v>
      </c>
      <c r="G826" t="s">
        <v>8</v>
      </c>
      <c r="H826" t="s">
        <v>51</v>
      </c>
      <c r="I826" t="s">
        <v>1692</v>
      </c>
      <c r="J826" t="s">
        <v>36</v>
      </c>
      <c r="K826" s="4">
        <f>VLOOKUP(J826,Exchange_Rates!A:B,2,FALSE)</f>
        <v>1.08</v>
      </c>
      <c r="L826" s="4">
        <f t="shared" si="48"/>
        <v>0</v>
      </c>
      <c r="M826" s="4">
        <f t="shared" si="49"/>
        <v>1683.5255999999999</v>
      </c>
      <c r="N826" s="4">
        <f t="shared" si="50"/>
        <v>2024</v>
      </c>
      <c r="O826" s="4">
        <f t="shared" si="51"/>
        <v>3</v>
      </c>
    </row>
    <row r="827" spans="1:15" x14ac:dyDescent="0.25">
      <c r="A827" t="s">
        <v>1693</v>
      </c>
      <c r="B827" s="2">
        <v>45699</v>
      </c>
      <c r="C827" t="s">
        <v>38</v>
      </c>
      <c r="D827" t="s">
        <v>39</v>
      </c>
      <c r="E827">
        <v>723.9</v>
      </c>
      <c r="F827">
        <v>0</v>
      </c>
      <c r="G827" t="s">
        <v>10</v>
      </c>
      <c r="H827" t="s">
        <v>40</v>
      </c>
      <c r="I827" t="s">
        <v>1694</v>
      </c>
      <c r="J827" t="s">
        <v>64</v>
      </c>
      <c r="K827" s="4">
        <f>VLOOKUP(J827,Exchange_Rates!A:B,2,FALSE)</f>
        <v>0.73</v>
      </c>
      <c r="L827" s="4">
        <f t="shared" si="48"/>
        <v>528.447</v>
      </c>
      <c r="M827" s="4">
        <f t="shared" si="49"/>
        <v>0</v>
      </c>
      <c r="N827" s="4">
        <f t="shared" si="50"/>
        <v>2025</v>
      </c>
      <c r="O827" s="4">
        <f t="shared" si="51"/>
        <v>1</v>
      </c>
    </row>
    <row r="828" spans="1:15" x14ac:dyDescent="0.25">
      <c r="A828" t="s">
        <v>1695</v>
      </c>
      <c r="B828" s="2">
        <v>45613</v>
      </c>
      <c r="C828" t="s">
        <v>60</v>
      </c>
      <c r="D828" t="s">
        <v>61</v>
      </c>
      <c r="E828">
        <v>0</v>
      </c>
      <c r="F828">
        <v>2447.66</v>
      </c>
      <c r="G828" t="s">
        <v>13</v>
      </c>
      <c r="H828" t="s">
        <v>34</v>
      </c>
      <c r="I828" t="s">
        <v>1696</v>
      </c>
      <c r="J828" t="s">
        <v>42</v>
      </c>
      <c r="K828" s="4">
        <f>VLOOKUP(J828,Exchange_Rates!A:B,2,FALSE)</f>
        <v>0.66</v>
      </c>
      <c r="L828" s="4">
        <f t="shared" si="48"/>
        <v>0</v>
      </c>
      <c r="M828" s="4">
        <f t="shared" si="49"/>
        <v>1615.4556</v>
      </c>
      <c r="N828" s="4">
        <f t="shared" si="50"/>
        <v>2024</v>
      </c>
      <c r="O828" s="4">
        <f t="shared" si="51"/>
        <v>4</v>
      </c>
    </row>
    <row r="829" spans="1:15" x14ac:dyDescent="0.25">
      <c r="A829" t="s">
        <v>1697</v>
      </c>
      <c r="B829" s="2">
        <v>45016</v>
      </c>
      <c r="C829" t="s">
        <v>24</v>
      </c>
      <c r="D829" t="s">
        <v>25</v>
      </c>
      <c r="E829">
        <v>0</v>
      </c>
      <c r="F829">
        <v>1067.43</v>
      </c>
      <c r="G829" t="s">
        <v>13</v>
      </c>
      <c r="H829" t="s">
        <v>26</v>
      </c>
      <c r="I829" t="s">
        <v>1698</v>
      </c>
      <c r="J829" t="s">
        <v>36</v>
      </c>
      <c r="K829" s="4">
        <f>VLOOKUP(J829,Exchange_Rates!A:B,2,FALSE)</f>
        <v>1.08</v>
      </c>
      <c r="L829" s="4">
        <f t="shared" si="48"/>
        <v>0</v>
      </c>
      <c r="M829" s="4">
        <f t="shared" si="49"/>
        <v>1152.8244000000002</v>
      </c>
      <c r="N829" s="4">
        <f t="shared" si="50"/>
        <v>2023</v>
      </c>
      <c r="O829" s="4">
        <f t="shared" si="51"/>
        <v>1</v>
      </c>
    </row>
    <row r="830" spans="1:15" x14ac:dyDescent="0.25">
      <c r="A830" t="s">
        <v>1699</v>
      </c>
      <c r="B830" s="2">
        <v>45068</v>
      </c>
      <c r="C830" t="s">
        <v>49</v>
      </c>
      <c r="D830" t="s">
        <v>50</v>
      </c>
      <c r="E830">
        <v>977.48</v>
      </c>
      <c r="F830">
        <v>0</v>
      </c>
      <c r="G830" t="s">
        <v>9</v>
      </c>
      <c r="H830" t="s">
        <v>51</v>
      </c>
      <c r="I830" t="s">
        <v>1700</v>
      </c>
      <c r="J830" t="s">
        <v>42</v>
      </c>
      <c r="K830" s="4">
        <f>VLOOKUP(J830,Exchange_Rates!A:B,2,FALSE)</f>
        <v>0.66</v>
      </c>
      <c r="L830" s="4">
        <f t="shared" si="48"/>
        <v>645.13679999999999</v>
      </c>
      <c r="M830" s="4">
        <f t="shared" si="49"/>
        <v>0</v>
      </c>
      <c r="N830" s="4">
        <f t="shared" si="50"/>
        <v>2023</v>
      </c>
      <c r="O830" s="4">
        <f t="shared" si="51"/>
        <v>2</v>
      </c>
    </row>
    <row r="831" spans="1:15" x14ac:dyDescent="0.25">
      <c r="A831" t="s">
        <v>1701</v>
      </c>
      <c r="B831" s="2">
        <v>45730</v>
      </c>
      <c r="C831" t="s">
        <v>38</v>
      </c>
      <c r="D831" t="s">
        <v>39</v>
      </c>
      <c r="E831">
        <v>1331.39</v>
      </c>
      <c r="F831">
        <v>0</v>
      </c>
      <c r="G831" t="s">
        <v>11</v>
      </c>
      <c r="H831" t="s">
        <v>26</v>
      </c>
      <c r="I831" t="s">
        <v>1702</v>
      </c>
      <c r="J831" t="s">
        <v>45</v>
      </c>
      <c r="K831" s="4">
        <f>VLOOKUP(J831,Exchange_Rates!A:B,2,FALSE)</f>
        <v>1</v>
      </c>
      <c r="L831" s="4">
        <f t="shared" si="48"/>
        <v>1331.39</v>
      </c>
      <c r="M831" s="4">
        <f t="shared" si="49"/>
        <v>0</v>
      </c>
      <c r="N831" s="4">
        <f t="shared" si="50"/>
        <v>2025</v>
      </c>
      <c r="O831" s="4">
        <f t="shared" si="51"/>
        <v>1</v>
      </c>
    </row>
    <row r="832" spans="1:15" x14ac:dyDescent="0.25">
      <c r="A832" t="s">
        <v>1703</v>
      </c>
      <c r="B832" s="2">
        <v>45017</v>
      </c>
      <c r="C832" t="s">
        <v>60</v>
      </c>
      <c r="D832" t="s">
        <v>61</v>
      </c>
      <c r="E832">
        <v>0</v>
      </c>
      <c r="F832">
        <v>4756.54</v>
      </c>
      <c r="G832" t="s">
        <v>9</v>
      </c>
      <c r="H832" t="s">
        <v>40</v>
      </c>
      <c r="I832" t="s">
        <v>1704</v>
      </c>
      <c r="J832" t="s">
        <v>36</v>
      </c>
      <c r="K832" s="4">
        <f>VLOOKUP(J832,Exchange_Rates!A:B,2,FALSE)</f>
        <v>1.08</v>
      </c>
      <c r="L832" s="4">
        <f t="shared" si="48"/>
        <v>0</v>
      </c>
      <c r="M832" s="4">
        <f t="shared" si="49"/>
        <v>5137.0632000000005</v>
      </c>
      <c r="N832" s="4">
        <f t="shared" si="50"/>
        <v>2023</v>
      </c>
      <c r="O832" s="4">
        <f t="shared" si="51"/>
        <v>2</v>
      </c>
    </row>
    <row r="833" spans="1:15" x14ac:dyDescent="0.25">
      <c r="A833" t="s">
        <v>1705</v>
      </c>
      <c r="B833" s="2">
        <v>45134</v>
      </c>
      <c r="C833" t="s">
        <v>30</v>
      </c>
      <c r="D833" t="s">
        <v>31</v>
      </c>
      <c r="E833">
        <v>543</v>
      </c>
      <c r="F833">
        <v>0</v>
      </c>
      <c r="G833" t="s">
        <v>10</v>
      </c>
      <c r="H833" t="s">
        <v>34</v>
      </c>
      <c r="I833" t="s">
        <v>1706</v>
      </c>
      <c r="J833" t="s">
        <v>45</v>
      </c>
      <c r="K833" s="4">
        <f>VLOOKUP(J833,Exchange_Rates!A:B,2,FALSE)</f>
        <v>1</v>
      </c>
      <c r="L833" s="4">
        <f t="shared" si="48"/>
        <v>543</v>
      </c>
      <c r="M833" s="4">
        <f t="shared" si="49"/>
        <v>0</v>
      </c>
      <c r="N833" s="4">
        <f t="shared" si="50"/>
        <v>2023</v>
      </c>
      <c r="O833" s="4">
        <f t="shared" si="51"/>
        <v>3</v>
      </c>
    </row>
    <row r="834" spans="1:15" x14ac:dyDescent="0.25">
      <c r="A834" t="s">
        <v>1707</v>
      </c>
      <c r="B834" s="2">
        <v>45684</v>
      </c>
      <c r="C834" t="s">
        <v>49</v>
      </c>
      <c r="D834" t="s">
        <v>50</v>
      </c>
      <c r="E834">
        <v>635.02</v>
      </c>
      <c r="F834">
        <v>0</v>
      </c>
      <c r="G834" t="s">
        <v>12</v>
      </c>
      <c r="H834" t="s">
        <v>40</v>
      </c>
      <c r="I834" t="s">
        <v>1708</v>
      </c>
      <c r="J834" t="s">
        <v>64</v>
      </c>
      <c r="K834" s="4">
        <f>VLOOKUP(J834,Exchange_Rates!A:B,2,FALSE)</f>
        <v>0.73</v>
      </c>
      <c r="L834" s="4">
        <f t="shared" si="48"/>
        <v>463.56459999999998</v>
      </c>
      <c r="M834" s="4">
        <f t="shared" si="49"/>
        <v>0</v>
      </c>
      <c r="N834" s="4">
        <f t="shared" si="50"/>
        <v>2025</v>
      </c>
      <c r="O834" s="4">
        <f t="shared" si="51"/>
        <v>1</v>
      </c>
    </row>
    <row r="835" spans="1:15" x14ac:dyDescent="0.25">
      <c r="A835" t="s">
        <v>1709</v>
      </c>
      <c r="B835" s="2">
        <v>45342</v>
      </c>
      <c r="C835" t="s">
        <v>38</v>
      </c>
      <c r="D835" t="s">
        <v>39</v>
      </c>
      <c r="E835">
        <v>1114.53</v>
      </c>
      <c r="F835">
        <v>0</v>
      </c>
      <c r="G835" t="s">
        <v>12</v>
      </c>
      <c r="H835" t="s">
        <v>34</v>
      </c>
      <c r="I835" t="s">
        <v>1710</v>
      </c>
      <c r="J835" t="s">
        <v>42</v>
      </c>
      <c r="K835" s="4">
        <f>VLOOKUP(J835,Exchange_Rates!A:B,2,FALSE)</f>
        <v>0.66</v>
      </c>
      <c r="L835" s="4">
        <f t="shared" ref="L835:L898" si="52">E835*K835</f>
        <v>735.58979999999997</v>
      </c>
      <c r="M835" s="4">
        <f t="shared" ref="M835:M898" si="53">F835*K835</f>
        <v>0</v>
      </c>
      <c r="N835" s="4">
        <f t="shared" ref="N835:N898" si="54">YEAR(B835)</f>
        <v>2024</v>
      </c>
      <c r="O835" s="4">
        <f t="shared" ref="O835:O898" si="55">ROUNDUP(MONTH(B835)/3,0)</f>
        <v>1</v>
      </c>
    </row>
    <row r="836" spans="1:15" x14ac:dyDescent="0.25">
      <c r="A836" t="s">
        <v>1711</v>
      </c>
      <c r="B836" s="2">
        <v>45626</v>
      </c>
      <c r="C836" t="s">
        <v>24</v>
      </c>
      <c r="D836" t="s">
        <v>25</v>
      </c>
      <c r="E836">
        <v>0</v>
      </c>
      <c r="F836">
        <v>1484.62</v>
      </c>
      <c r="G836" t="s">
        <v>12</v>
      </c>
      <c r="H836" t="s">
        <v>51</v>
      </c>
      <c r="I836" t="s">
        <v>1712</v>
      </c>
      <c r="J836" t="s">
        <v>28</v>
      </c>
      <c r="K836" s="4">
        <f>VLOOKUP(J836,Exchange_Rates!A:B,2,FALSE)</f>
        <v>1.27</v>
      </c>
      <c r="L836" s="4">
        <f t="shared" si="52"/>
        <v>0</v>
      </c>
      <c r="M836" s="4">
        <f t="shared" si="53"/>
        <v>1885.4674</v>
      </c>
      <c r="N836" s="4">
        <f t="shared" si="54"/>
        <v>2024</v>
      </c>
      <c r="O836" s="4">
        <f t="shared" si="55"/>
        <v>4</v>
      </c>
    </row>
    <row r="837" spans="1:15" x14ac:dyDescent="0.25">
      <c r="A837" t="s">
        <v>1713</v>
      </c>
      <c r="B837" s="2">
        <v>45505</v>
      </c>
      <c r="C837" t="s">
        <v>38</v>
      </c>
      <c r="D837" t="s">
        <v>39</v>
      </c>
      <c r="E837">
        <v>742.51</v>
      </c>
      <c r="F837">
        <v>0</v>
      </c>
      <c r="G837" t="s">
        <v>8</v>
      </c>
      <c r="H837" t="s">
        <v>40</v>
      </c>
      <c r="I837" t="s">
        <v>1714</v>
      </c>
      <c r="J837" t="s">
        <v>28</v>
      </c>
      <c r="K837" s="4">
        <f>VLOOKUP(J837,Exchange_Rates!A:B,2,FALSE)</f>
        <v>1.27</v>
      </c>
      <c r="L837" s="4">
        <f t="shared" si="52"/>
        <v>942.98770000000002</v>
      </c>
      <c r="M837" s="4">
        <f t="shared" si="53"/>
        <v>0</v>
      </c>
      <c r="N837" s="4">
        <f t="shared" si="54"/>
        <v>2024</v>
      </c>
      <c r="O837" s="4">
        <f t="shared" si="55"/>
        <v>3</v>
      </c>
    </row>
    <row r="838" spans="1:15" x14ac:dyDescent="0.25">
      <c r="A838" t="s">
        <v>1715</v>
      </c>
      <c r="B838" s="2">
        <v>45465</v>
      </c>
      <c r="C838" t="s">
        <v>24</v>
      </c>
      <c r="D838" t="s">
        <v>25</v>
      </c>
      <c r="E838">
        <v>0</v>
      </c>
      <c r="F838">
        <v>3933.89</v>
      </c>
      <c r="G838" t="s">
        <v>9</v>
      </c>
      <c r="H838" t="s">
        <v>51</v>
      </c>
      <c r="I838" t="s">
        <v>1716</v>
      </c>
      <c r="J838" t="s">
        <v>64</v>
      </c>
      <c r="K838" s="4">
        <f>VLOOKUP(J838,Exchange_Rates!A:B,2,FALSE)</f>
        <v>0.73</v>
      </c>
      <c r="L838" s="4">
        <f t="shared" si="52"/>
        <v>0</v>
      </c>
      <c r="M838" s="4">
        <f t="shared" si="53"/>
        <v>2871.7396999999996</v>
      </c>
      <c r="N838" s="4">
        <f t="shared" si="54"/>
        <v>2024</v>
      </c>
      <c r="O838" s="4">
        <f t="shared" si="55"/>
        <v>2</v>
      </c>
    </row>
    <row r="839" spans="1:15" x14ac:dyDescent="0.25">
      <c r="A839" t="s">
        <v>1717</v>
      </c>
      <c r="B839" s="2">
        <v>45370</v>
      </c>
      <c r="C839" t="s">
        <v>60</v>
      </c>
      <c r="D839" t="s">
        <v>61</v>
      </c>
      <c r="E839">
        <v>0</v>
      </c>
      <c r="F839">
        <v>4092.61</v>
      </c>
      <c r="G839" t="s">
        <v>13</v>
      </c>
      <c r="H839" t="s">
        <v>40</v>
      </c>
      <c r="I839" t="s">
        <v>1718</v>
      </c>
      <c r="J839" t="s">
        <v>36</v>
      </c>
      <c r="K839" s="4">
        <f>VLOOKUP(J839,Exchange_Rates!A:B,2,FALSE)</f>
        <v>1.08</v>
      </c>
      <c r="L839" s="4">
        <f t="shared" si="52"/>
        <v>0</v>
      </c>
      <c r="M839" s="4">
        <f t="shared" si="53"/>
        <v>4420.0188000000007</v>
      </c>
      <c r="N839" s="4">
        <f t="shared" si="54"/>
        <v>2024</v>
      </c>
      <c r="O839" s="4">
        <f t="shared" si="55"/>
        <v>1</v>
      </c>
    </row>
    <row r="840" spans="1:15" x14ac:dyDescent="0.25">
      <c r="A840" t="s">
        <v>1719</v>
      </c>
      <c r="B840" s="2">
        <v>45198</v>
      </c>
      <c r="C840" t="s">
        <v>60</v>
      </c>
      <c r="D840" t="s">
        <v>61</v>
      </c>
      <c r="E840">
        <v>0</v>
      </c>
      <c r="F840">
        <v>4772.83</v>
      </c>
      <c r="G840" t="s">
        <v>12</v>
      </c>
      <c r="H840" t="s">
        <v>40</v>
      </c>
      <c r="I840" t="s">
        <v>1720</v>
      </c>
      <c r="J840" t="s">
        <v>45</v>
      </c>
      <c r="K840" s="4">
        <f>VLOOKUP(J840,Exchange_Rates!A:B,2,FALSE)</f>
        <v>1</v>
      </c>
      <c r="L840" s="4">
        <f t="shared" si="52"/>
        <v>0</v>
      </c>
      <c r="M840" s="4">
        <f t="shared" si="53"/>
        <v>4772.83</v>
      </c>
      <c r="N840" s="4">
        <f t="shared" si="54"/>
        <v>2023</v>
      </c>
      <c r="O840" s="4">
        <f t="shared" si="55"/>
        <v>3</v>
      </c>
    </row>
    <row r="841" spans="1:15" x14ac:dyDescent="0.25">
      <c r="A841" t="s">
        <v>1721</v>
      </c>
      <c r="B841" s="2">
        <v>45836</v>
      </c>
      <c r="C841" t="s">
        <v>49</v>
      </c>
      <c r="D841" t="s">
        <v>50</v>
      </c>
      <c r="E841">
        <v>1965.5</v>
      </c>
      <c r="F841">
        <v>0</v>
      </c>
      <c r="G841" t="s">
        <v>12</v>
      </c>
      <c r="H841" t="s">
        <v>40</v>
      </c>
      <c r="I841" t="s">
        <v>1722</v>
      </c>
      <c r="J841" t="s">
        <v>45</v>
      </c>
      <c r="K841" s="4">
        <f>VLOOKUP(J841,Exchange_Rates!A:B,2,FALSE)</f>
        <v>1</v>
      </c>
      <c r="L841" s="4">
        <f t="shared" si="52"/>
        <v>1965.5</v>
      </c>
      <c r="M841" s="4">
        <f t="shared" si="53"/>
        <v>0</v>
      </c>
      <c r="N841" s="4">
        <f t="shared" si="54"/>
        <v>2025</v>
      </c>
      <c r="O841" s="4">
        <f t="shared" si="55"/>
        <v>2</v>
      </c>
    </row>
    <row r="842" spans="1:15" x14ac:dyDescent="0.25">
      <c r="A842" t="s">
        <v>1723</v>
      </c>
      <c r="B842" s="2">
        <v>45498</v>
      </c>
      <c r="C842" t="s">
        <v>38</v>
      </c>
      <c r="D842" t="s">
        <v>39</v>
      </c>
      <c r="E842">
        <v>1386.65</v>
      </c>
      <c r="F842">
        <v>0</v>
      </c>
      <c r="G842" t="s">
        <v>8</v>
      </c>
      <c r="H842" t="s">
        <v>34</v>
      </c>
      <c r="I842" t="s">
        <v>1724</v>
      </c>
      <c r="J842" t="s">
        <v>45</v>
      </c>
      <c r="K842" s="4">
        <f>VLOOKUP(J842,Exchange_Rates!A:B,2,FALSE)</f>
        <v>1</v>
      </c>
      <c r="L842" s="4">
        <f t="shared" si="52"/>
        <v>1386.65</v>
      </c>
      <c r="M842" s="4">
        <f t="shared" si="53"/>
        <v>0</v>
      </c>
      <c r="N842" s="4">
        <f t="shared" si="54"/>
        <v>2024</v>
      </c>
      <c r="O842" s="4">
        <f t="shared" si="55"/>
        <v>3</v>
      </c>
    </row>
    <row r="843" spans="1:15" x14ac:dyDescent="0.25">
      <c r="A843" t="s">
        <v>1725</v>
      </c>
      <c r="B843" s="2">
        <v>45052</v>
      </c>
      <c r="C843" t="s">
        <v>60</v>
      </c>
      <c r="D843" t="s">
        <v>61</v>
      </c>
      <c r="E843">
        <v>0</v>
      </c>
      <c r="F843">
        <v>872.06</v>
      </c>
      <c r="G843" t="s">
        <v>9</v>
      </c>
      <c r="H843" t="s">
        <v>26</v>
      </c>
      <c r="I843" t="s">
        <v>1726</v>
      </c>
      <c r="J843" t="s">
        <v>28</v>
      </c>
      <c r="K843" s="4">
        <f>VLOOKUP(J843,Exchange_Rates!A:B,2,FALSE)</f>
        <v>1.27</v>
      </c>
      <c r="L843" s="4">
        <f t="shared" si="52"/>
        <v>0</v>
      </c>
      <c r="M843" s="4">
        <f t="shared" si="53"/>
        <v>1107.5162</v>
      </c>
      <c r="N843" s="4">
        <f t="shared" si="54"/>
        <v>2023</v>
      </c>
      <c r="O843" s="4">
        <f t="shared" si="55"/>
        <v>2</v>
      </c>
    </row>
    <row r="844" spans="1:15" x14ac:dyDescent="0.25">
      <c r="A844" t="s">
        <v>1727</v>
      </c>
      <c r="B844" s="2">
        <v>45574</v>
      </c>
      <c r="C844" t="s">
        <v>49</v>
      </c>
      <c r="D844" t="s">
        <v>50</v>
      </c>
      <c r="E844">
        <v>1801.16</v>
      </c>
      <c r="F844">
        <v>0</v>
      </c>
      <c r="G844" t="s">
        <v>13</v>
      </c>
      <c r="H844" t="s">
        <v>62</v>
      </c>
      <c r="I844" t="s">
        <v>1728</v>
      </c>
      <c r="J844" t="s">
        <v>36</v>
      </c>
      <c r="K844" s="4">
        <f>VLOOKUP(J844,Exchange_Rates!A:B,2,FALSE)</f>
        <v>1.08</v>
      </c>
      <c r="L844" s="4">
        <f t="shared" si="52"/>
        <v>1945.2528000000002</v>
      </c>
      <c r="M844" s="4">
        <f t="shared" si="53"/>
        <v>0</v>
      </c>
      <c r="N844" s="4">
        <f t="shared" si="54"/>
        <v>2024</v>
      </c>
      <c r="O844" s="4">
        <f t="shared" si="55"/>
        <v>4</v>
      </c>
    </row>
    <row r="845" spans="1:15" x14ac:dyDescent="0.25">
      <c r="A845" t="s">
        <v>1729</v>
      </c>
      <c r="B845" s="2">
        <v>45082</v>
      </c>
      <c r="C845" t="s">
        <v>49</v>
      </c>
      <c r="D845" t="s">
        <v>50</v>
      </c>
      <c r="E845">
        <v>1990.94</v>
      </c>
      <c r="F845">
        <v>0</v>
      </c>
      <c r="G845" t="s">
        <v>12</v>
      </c>
      <c r="H845" t="s">
        <v>62</v>
      </c>
      <c r="I845" t="s">
        <v>1730</v>
      </c>
      <c r="J845" t="s">
        <v>42</v>
      </c>
      <c r="K845" s="4">
        <f>VLOOKUP(J845,Exchange_Rates!A:B,2,FALSE)</f>
        <v>0.66</v>
      </c>
      <c r="L845" s="4">
        <f t="shared" si="52"/>
        <v>1314.0204000000001</v>
      </c>
      <c r="M845" s="4">
        <f t="shared" si="53"/>
        <v>0</v>
      </c>
      <c r="N845" s="4">
        <f t="shared" si="54"/>
        <v>2023</v>
      </c>
      <c r="O845" s="4">
        <f t="shared" si="55"/>
        <v>2</v>
      </c>
    </row>
    <row r="846" spans="1:15" x14ac:dyDescent="0.25">
      <c r="A846" t="s">
        <v>1731</v>
      </c>
      <c r="B846" s="2">
        <v>45538</v>
      </c>
      <c r="C846" t="s">
        <v>24</v>
      </c>
      <c r="D846" t="s">
        <v>25</v>
      </c>
      <c r="E846">
        <v>0</v>
      </c>
      <c r="F846">
        <v>1372.78</v>
      </c>
      <c r="G846" t="s">
        <v>9</v>
      </c>
      <c r="H846" t="s">
        <v>40</v>
      </c>
      <c r="I846" t="s">
        <v>1732</v>
      </c>
      <c r="J846" t="s">
        <v>42</v>
      </c>
      <c r="K846" s="4">
        <f>VLOOKUP(J846,Exchange_Rates!A:B,2,FALSE)</f>
        <v>0.66</v>
      </c>
      <c r="L846" s="4">
        <f t="shared" si="52"/>
        <v>0</v>
      </c>
      <c r="M846" s="4">
        <f t="shared" si="53"/>
        <v>906.03480000000002</v>
      </c>
      <c r="N846" s="4">
        <f t="shared" si="54"/>
        <v>2024</v>
      </c>
      <c r="O846" s="4">
        <f t="shared" si="55"/>
        <v>3</v>
      </c>
    </row>
    <row r="847" spans="1:15" x14ac:dyDescent="0.25">
      <c r="A847" t="s">
        <v>1733</v>
      </c>
      <c r="B847" s="2">
        <v>45552</v>
      </c>
      <c r="C847" t="s">
        <v>30</v>
      </c>
      <c r="D847" t="s">
        <v>31</v>
      </c>
      <c r="E847">
        <v>1600.28</v>
      </c>
      <c r="F847">
        <v>0</v>
      </c>
      <c r="G847" t="s">
        <v>9</v>
      </c>
      <c r="H847" t="s">
        <v>40</v>
      </c>
      <c r="I847" t="s">
        <v>1734</v>
      </c>
      <c r="J847" t="s">
        <v>45</v>
      </c>
      <c r="K847" s="4">
        <f>VLOOKUP(J847,Exchange_Rates!A:B,2,FALSE)</f>
        <v>1</v>
      </c>
      <c r="L847" s="4">
        <f t="shared" si="52"/>
        <v>1600.28</v>
      </c>
      <c r="M847" s="4">
        <f t="shared" si="53"/>
        <v>0</v>
      </c>
      <c r="N847" s="4">
        <f t="shared" si="54"/>
        <v>2024</v>
      </c>
      <c r="O847" s="4">
        <f t="shared" si="55"/>
        <v>3</v>
      </c>
    </row>
    <row r="848" spans="1:15" x14ac:dyDescent="0.25">
      <c r="A848" t="s">
        <v>1735</v>
      </c>
      <c r="B848" s="2">
        <v>45419</v>
      </c>
      <c r="C848" t="s">
        <v>49</v>
      </c>
      <c r="D848" t="s">
        <v>50</v>
      </c>
      <c r="E848">
        <v>618.05999999999995</v>
      </c>
      <c r="F848">
        <v>0</v>
      </c>
      <c r="G848" t="s">
        <v>8</v>
      </c>
      <c r="H848" t="s">
        <v>26</v>
      </c>
      <c r="I848" t="s">
        <v>1736</v>
      </c>
      <c r="J848" t="s">
        <v>64</v>
      </c>
      <c r="K848" s="4">
        <f>VLOOKUP(J848,Exchange_Rates!A:B,2,FALSE)</f>
        <v>0.73</v>
      </c>
      <c r="L848" s="4">
        <f t="shared" si="52"/>
        <v>451.18379999999996</v>
      </c>
      <c r="M848" s="4">
        <f t="shared" si="53"/>
        <v>0</v>
      </c>
      <c r="N848" s="4">
        <f t="shared" si="54"/>
        <v>2024</v>
      </c>
      <c r="O848" s="4">
        <f t="shared" si="55"/>
        <v>2</v>
      </c>
    </row>
    <row r="849" spans="1:15" x14ac:dyDescent="0.25">
      <c r="A849" t="s">
        <v>1737</v>
      </c>
      <c r="B849" s="2">
        <v>45416</v>
      </c>
      <c r="C849" t="s">
        <v>24</v>
      </c>
      <c r="D849" t="s">
        <v>25</v>
      </c>
      <c r="E849">
        <v>0</v>
      </c>
      <c r="F849">
        <v>3150.6</v>
      </c>
      <c r="G849" t="s">
        <v>12</v>
      </c>
      <c r="H849" t="s">
        <v>51</v>
      </c>
      <c r="I849" t="s">
        <v>1738</v>
      </c>
      <c r="J849" t="s">
        <v>45</v>
      </c>
      <c r="K849" s="4">
        <f>VLOOKUP(J849,Exchange_Rates!A:B,2,FALSE)</f>
        <v>1</v>
      </c>
      <c r="L849" s="4">
        <f t="shared" si="52"/>
        <v>0</v>
      </c>
      <c r="M849" s="4">
        <f t="shared" si="53"/>
        <v>3150.6</v>
      </c>
      <c r="N849" s="4">
        <f t="shared" si="54"/>
        <v>2024</v>
      </c>
      <c r="O849" s="4">
        <f t="shared" si="55"/>
        <v>2</v>
      </c>
    </row>
    <row r="850" spans="1:15" x14ac:dyDescent="0.25">
      <c r="A850" t="s">
        <v>1739</v>
      </c>
      <c r="B850" s="2">
        <v>45754</v>
      </c>
      <c r="C850" t="s">
        <v>38</v>
      </c>
      <c r="D850" t="s">
        <v>39</v>
      </c>
      <c r="E850">
        <v>1288.25</v>
      </c>
      <c r="F850">
        <v>0</v>
      </c>
      <c r="G850" t="s">
        <v>10</v>
      </c>
      <c r="H850" t="s">
        <v>34</v>
      </c>
      <c r="I850" t="s">
        <v>1740</v>
      </c>
      <c r="J850" t="s">
        <v>36</v>
      </c>
      <c r="K850" s="4">
        <f>VLOOKUP(J850,Exchange_Rates!A:B,2,FALSE)</f>
        <v>1.08</v>
      </c>
      <c r="L850" s="4">
        <f t="shared" si="52"/>
        <v>1391.3100000000002</v>
      </c>
      <c r="M850" s="4">
        <f t="shared" si="53"/>
        <v>0</v>
      </c>
      <c r="N850" s="4">
        <f t="shared" si="54"/>
        <v>2025</v>
      </c>
      <c r="O850" s="4">
        <f t="shared" si="55"/>
        <v>2</v>
      </c>
    </row>
    <row r="851" spans="1:15" x14ac:dyDescent="0.25">
      <c r="A851" t="s">
        <v>1741</v>
      </c>
      <c r="B851" s="2">
        <v>45495</v>
      </c>
      <c r="C851" t="s">
        <v>49</v>
      </c>
      <c r="D851" t="s">
        <v>50</v>
      </c>
      <c r="E851">
        <v>1629.27</v>
      </c>
      <c r="F851">
        <v>0</v>
      </c>
      <c r="G851" t="s">
        <v>13</v>
      </c>
      <c r="H851" t="s">
        <v>51</v>
      </c>
      <c r="I851" t="s">
        <v>1742</v>
      </c>
      <c r="J851" t="s">
        <v>64</v>
      </c>
      <c r="K851" s="4">
        <f>VLOOKUP(J851,Exchange_Rates!A:B,2,FALSE)</f>
        <v>0.73</v>
      </c>
      <c r="L851" s="4">
        <f t="shared" si="52"/>
        <v>1189.3670999999999</v>
      </c>
      <c r="M851" s="4">
        <f t="shared" si="53"/>
        <v>0</v>
      </c>
      <c r="N851" s="4">
        <f t="shared" si="54"/>
        <v>2024</v>
      </c>
      <c r="O851" s="4">
        <f t="shared" si="55"/>
        <v>3</v>
      </c>
    </row>
    <row r="852" spans="1:15" x14ac:dyDescent="0.25">
      <c r="A852" t="s">
        <v>1743</v>
      </c>
      <c r="B852" s="2">
        <v>45687</v>
      </c>
      <c r="C852" t="s">
        <v>30</v>
      </c>
      <c r="D852" t="s">
        <v>31</v>
      </c>
      <c r="E852">
        <v>436.4</v>
      </c>
      <c r="F852">
        <v>0</v>
      </c>
      <c r="G852" t="s">
        <v>11</v>
      </c>
      <c r="H852" t="s">
        <v>62</v>
      </c>
      <c r="I852" t="s">
        <v>1744</v>
      </c>
      <c r="J852" t="s">
        <v>45</v>
      </c>
      <c r="K852" s="4">
        <f>VLOOKUP(J852,Exchange_Rates!A:B,2,FALSE)</f>
        <v>1</v>
      </c>
      <c r="L852" s="4">
        <f t="shared" si="52"/>
        <v>436.4</v>
      </c>
      <c r="M852" s="4">
        <f t="shared" si="53"/>
        <v>0</v>
      </c>
      <c r="N852" s="4">
        <f t="shared" si="54"/>
        <v>2025</v>
      </c>
      <c r="O852" s="4">
        <f t="shared" si="55"/>
        <v>1</v>
      </c>
    </row>
    <row r="853" spans="1:15" x14ac:dyDescent="0.25">
      <c r="A853" t="s">
        <v>1745</v>
      </c>
      <c r="B853" s="2">
        <v>45241</v>
      </c>
      <c r="C853" t="s">
        <v>49</v>
      </c>
      <c r="D853" t="s">
        <v>50</v>
      </c>
      <c r="E853">
        <v>186.27</v>
      </c>
      <c r="F853">
        <v>0</v>
      </c>
      <c r="G853" t="s">
        <v>9</v>
      </c>
      <c r="H853" t="s">
        <v>40</v>
      </c>
      <c r="I853" t="s">
        <v>1746</v>
      </c>
      <c r="J853" t="s">
        <v>42</v>
      </c>
      <c r="K853" s="4">
        <f>VLOOKUP(J853,Exchange_Rates!A:B,2,FALSE)</f>
        <v>0.66</v>
      </c>
      <c r="L853" s="4">
        <f t="shared" si="52"/>
        <v>122.93820000000001</v>
      </c>
      <c r="M853" s="4">
        <f t="shared" si="53"/>
        <v>0</v>
      </c>
      <c r="N853" s="4">
        <f t="shared" si="54"/>
        <v>2023</v>
      </c>
      <c r="O853" s="4">
        <f t="shared" si="55"/>
        <v>4</v>
      </c>
    </row>
    <row r="854" spans="1:15" x14ac:dyDescent="0.25">
      <c r="A854" t="s">
        <v>1747</v>
      </c>
      <c r="B854" s="2">
        <v>45218</v>
      </c>
      <c r="C854" t="s">
        <v>24</v>
      </c>
      <c r="D854" t="s">
        <v>25</v>
      </c>
      <c r="E854">
        <v>0</v>
      </c>
      <c r="F854">
        <v>3025.08</v>
      </c>
      <c r="G854" t="s">
        <v>12</v>
      </c>
      <c r="H854" t="s">
        <v>62</v>
      </c>
      <c r="I854" t="s">
        <v>1748</v>
      </c>
      <c r="J854" t="s">
        <v>42</v>
      </c>
      <c r="K854" s="4">
        <f>VLOOKUP(J854,Exchange_Rates!A:B,2,FALSE)</f>
        <v>0.66</v>
      </c>
      <c r="L854" s="4">
        <f t="shared" si="52"/>
        <v>0</v>
      </c>
      <c r="M854" s="4">
        <f t="shared" si="53"/>
        <v>1996.5527999999999</v>
      </c>
      <c r="N854" s="4">
        <f t="shared" si="54"/>
        <v>2023</v>
      </c>
      <c r="O854" s="4">
        <f t="shared" si="55"/>
        <v>4</v>
      </c>
    </row>
    <row r="855" spans="1:15" x14ac:dyDescent="0.25">
      <c r="A855" t="s">
        <v>1749</v>
      </c>
      <c r="B855" s="2">
        <v>44943</v>
      </c>
      <c r="C855" t="s">
        <v>30</v>
      </c>
      <c r="D855" t="s">
        <v>31</v>
      </c>
      <c r="E855">
        <v>793.16</v>
      </c>
      <c r="F855">
        <v>0</v>
      </c>
      <c r="G855" t="s">
        <v>8</v>
      </c>
      <c r="H855" t="s">
        <v>51</v>
      </c>
      <c r="I855" t="s">
        <v>1750</v>
      </c>
      <c r="J855" t="s">
        <v>45</v>
      </c>
      <c r="K855" s="4">
        <f>VLOOKUP(J855,Exchange_Rates!A:B,2,FALSE)</f>
        <v>1</v>
      </c>
      <c r="L855" s="4">
        <f t="shared" si="52"/>
        <v>793.16</v>
      </c>
      <c r="M855" s="4">
        <f t="shared" si="53"/>
        <v>0</v>
      </c>
      <c r="N855" s="4">
        <f t="shared" si="54"/>
        <v>2023</v>
      </c>
      <c r="O855" s="4">
        <f t="shared" si="55"/>
        <v>1</v>
      </c>
    </row>
    <row r="856" spans="1:15" x14ac:dyDescent="0.25">
      <c r="A856" t="s">
        <v>1751</v>
      </c>
      <c r="B856" s="2">
        <v>45033</v>
      </c>
      <c r="C856" t="s">
        <v>49</v>
      </c>
      <c r="D856" t="s">
        <v>50</v>
      </c>
      <c r="E856">
        <v>1753.87</v>
      </c>
      <c r="F856">
        <v>0</v>
      </c>
      <c r="G856" t="s">
        <v>13</v>
      </c>
      <c r="H856" t="s">
        <v>40</v>
      </c>
      <c r="I856" t="s">
        <v>1752</v>
      </c>
      <c r="J856" t="s">
        <v>42</v>
      </c>
      <c r="K856" s="4">
        <f>VLOOKUP(J856,Exchange_Rates!A:B,2,FALSE)</f>
        <v>0.66</v>
      </c>
      <c r="L856" s="4">
        <f t="shared" si="52"/>
        <v>1157.5542</v>
      </c>
      <c r="M856" s="4">
        <f t="shared" si="53"/>
        <v>0</v>
      </c>
      <c r="N856" s="4">
        <f t="shared" si="54"/>
        <v>2023</v>
      </c>
      <c r="O856" s="4">
        <f t="shared" si="55"/>
        <v>2</v>
      </c>
    </row>
    <row r="857" spans="1:15" x14ac:dyDescent="0.25">
      <c r="A857" t="s">
        <v>1753</v>
      </c>
      <c r="B857" s="2">
        <v>45448</v>
      </c>
      <c r="C857" t="s">
        <v>24</v>
      </c>
      <c r="D857" t="s">
        <v>25</v>
      </c>
      <c r="E857">
        <v>0</v>
      </c>
      <c r="F857">
        <v>915.77</v>
      </c>
      <c r="G857" t="s">
        <v>11</v>
      </c>
      <c r="H857" t="s">
        <v>34</v>
      </c>
      <c r="I857" t="s">
        <v>1754</v>
      </c>
      <c r="J857" t="s">
        <v>42</v>
      </c>
      <c r="K857" s="4">
        <f>VLOOKUP(J857,Exchange_Rates!A:B,2,FALSE)</f>
        <v>0.66</v>
      </c>
      <c r="L857" s="4">
        <f t="shared" si="52"/>
        <v>0</v>
      </c>
      <c r="M857" s="4">
        <f t="shared" si="53"/>
        <v>604.40819999999997</v>
      </c>
      <c r="N857" s="4">
        <f t="shared" si="54"/>
        <v>2024</v>
      </c>
      <c r="O857" s="4">
        <f t="shared" si="55"/>
        <v>2</v>
      </c>
    </row>
    <row r="858" spans="1:15" x14ac:dyDescent="0.25">
      <c r="A858" t="s">
        <v>1755</v>
      </c>
      <c r="B858" s="2">
        <v>45038</v>
      </c>
      <c r="C858" t="s">
        <v>30</v>
      </c>
      <c r="D858" t="s">
        <v>31</v>
      </c>
      <c r="E858">
        <v>1083.5899999999999</v>
      </c>
      <c r="F858">
        <v>0</v>
      </c>
      <c r="G858" t="s">
        <v>11</v>
      </c>
      <c r="H858" t="s">
        <v>34</v>
      </c>
      <c r="I858" t="s">
        <v>1756</v>
      </c>
      <c r="J858" t="s">
        <v>45</v>
      </c>
      <c r="K858" s="4">
        <f>VLOOKUP(J858,Exchange_Rates!A:B,2,FALSE)</f>
        <v>1</v>
      </c>
      <c r="L858" s="4">
        <f t="shared" si="52"/>
        <v>1083.5899999999999</v>
      </c>
      <c r="M858" s="4">
        <f t="shared" si="53"/>
        <v>0</v>
      </c>
      <c r="N858" s="4">
        <f t="shared" si="54"/>
        <v>2023</v>
      </c>
      <c r="O858" s="4">
        <f t="shared" si="55"/>
        <v>2</v>
      </c>
    </row>
    <row r="859" spans="1:15" x14ac:dyDescent="0.25">
      <c r="A859" t="s">
        <v>1757</v>
      </c>
      <c r="B859" s="2">
        <v>45779</v>
      </c>
      <c r="C859" t="s">
        <v>60</v>
      </c>
      <c r="D859" t="s">
        <v>61</v>
      </c>
      <c r="E859">
        <v>0</v>
      </c>
      <c r="F859">
        <v>889.07</v>
      </c>
      <c r="G859" t="s">
        <v>11</v>
      </c>
      <c r="H859" t="s">
        <v>51</v>
      </c>
      <c r="I859" t="s">
        <v>1758</v>
      </c>
      <c r="J859" t="s">
        <v>36</v>
      </c>
      <c r="K859" s="4">
        <f>VLOOKUP(J859,Exchange_Rates!A:B,2,FALSE)</f>
        <v>1.08</v>
      </c>
      <c r="L859" s="4">
        <f t="shared" si="52"/>
        <v>0</v>
      </c>
      <c r="M859" s="4">
        <f t="shared" si="53"/>
        <v>960.19560000000013</v>
      </c>
      <c r="N859" s="4">
        <f t="shared" si="54"/>
        <v>2025</v>
      </c>
      <c r="O859" s="4">
        <f t="shared" si="55"/>
        <v>2</v>
      </c>
    </row>
    <row r="860" spans="1:15" x14ac:dyDescent="0.25">
      <c r="A860" t="s">
        <v>1759</v>
      </c>
      <c r="B860" s="2">
        <v>45407</v>
      </c>
      <c r="C860" t="s">
        <v>38</v>
      </c>
      <c r="D860" t="s">
        <v>39</v>
      </c>
      <c r="E860">
        <v>1620.36</v>
      </c>
      <c r="F860">
        <v>0</v>
      </c>
      <c r="G860" t="s">
        <v>11</v>
      </c>
      <c r="H860" t="s">
        <v>40</v>
      </c>
      <c r="I860" t="s">
        <v>1760</v>
      </c>
      <c r="J860" t="s">
        <v>36</v>
      </c>
      <c r="K860" s="4">
        <f>VLOOKUP(J860,Exchange_Rates!A:B,2,FALSE)</f>
        <v>1.08</v>
      </c>
      <c r="L860" s="4">
        <f t="shared" si="52"/>
        <v>1749.9888000000001</v>
      </c>
      <c r="M860" s="4">
        <f t="shared" si="53"/>
        <v>0</v>
      </c>
      <c r="N860" s="4">
        <f t="shared" si="54"/>
        <v>2024</v>
      </c>
      <c r="O860" s="4">
        <f t="shared" si="55"/>
        <v>2</v>
      </c>
    </row>
    <row r="861" spans="1:15" x14ac:dyDescent="0.25">
      <c r="A861" t="s">
        <v>1761</v>
      </c>
      <c r="B861" s="2">
        <v>45807</v>
      </c>
      <c r="C861" t="s">
        <v>24</v>
      </c>
      <c r="D861" t="s">
        <v>25</v>
      </c>
      <c r="E861">
        <v>0</v>
      </c>
      <c r="F861">
        <v>549.91999999999996</v>
      </c>
      <c r="G861" t="s">
        <v>8</v>
      </c>
      <c r="H861" t="s">
        <v>34</v>
      </c>
      <c r="I861" t="s">
        <v>1762</v>
      </c>
      <c r="J861" t="s">
        <v>28</v>
      </c>
      <c r="K861" s="4">
        <f>VLOOKUP(J861,Exchange_Rates!A:B,2,FALSE)</f>
        <v>1.27</v>
      </c>
      <c r="L861" s="4">
        <f t="shared" si="52"/>
        <v>0</v>
      </c>
      <c r="M861" s="4">
        <f t="shared" si="53"/>
        <v>698.39839999999992</v>
      </c>
      <c r="N861" s="4">
        <f t="shared" si="54"/>
        <v>2025</v>
      </c>
      <c r="O861" s="4">
        <f t="shared" si="55"/>
        <v>2</v>
      </c>
    </row>
    <row r="862" spans="1:15" x14ac:dyDescent="0.25">
      <c r="A862" t="s">
        <v>1763</v>
      </c>
      <c r="B862" s="2">
        <v>45769</v>
      </c>
      <c r="C862" t="s">
        <v>60</v>
      </c>
      <c r="D862" t="s">
        <v>61</v>
      </c>
      <c r="E862">
        <v>0</v>
      </c>
      <c r="F862">
        <v>4103.1000000000004</v>
      </c>
      <c r="G862" t="s">
        <v>10</v>
      </c>
      <c r="H862" t="s">
        <v>40</v>
      </c>
      <c r="I862" t="s">
        <v>1764</v>
      </c>
      <c r="J862" t="s">
        <v>45</v>
      </c>
      <c r="K862" s="4">
        <f>VLOOKUP(J862,Exchange_Rates!A:B,2,FALSE)</f>
        <v>1</v>
      </c>
      <c r="L862" s="4">
        <f t="shared" si="52"/>
        <v>0</v>
      </c>
      <c r="M862" s="4">
        <f t="shared" si="53"/>
        <v>4103.1000000000004</v>
      </c>
      <c r="N862" s="4">
        <f t="shared" si="54"/>
        <v>2025</v>
      </c>
      <c r="O862" s="4">
        <f t="shared" si="55"/>
        <v>2</v>
      </c>
    </row>
    <row r="863" spans="1:15" x14ac:dyDescent="0.25">
      <c r="A863" t="s">
        <v>1765</v>
      </c>
      <c r="B863" s="2">
        <v>45443</v>
      </c>
      <c r="C863" t="s">
        <v>49</v>
      </c>
      <c r="D863" t="s">
        <v>50</v>
      </c>
      <c r="E863">
        <v>316.45</v>
      </c>
      <c r="F863">
        <v>0</v>
      </c>
      <c r="G863" t="s">
        <v>8</v>
      </c>
      <c r="H863" t="s">
        <v>51</v>
      </c>
      <c r="I863" t="s">
        <v>1766</v>
      </c>
      <c r="J863" t="s">
        <v>45</v>
      </c>
      <c r="K863" s="4">
        <f>VLOOKUP(J863,Exchange_Rates!A:B,2,FALSE)</f>
        <v>1</v>
      </c>
      <c r="L863" s="4">
        <f t="shared" si="52"/>
        <v>316.45</v>
      </c>
      <c r="M863" s="4">
        <f t="shared" si="53"/>
        <v>0</v>
      </c>
      <c r="N863" s="4">
        <f t="shared" si="54"/>
        <v>2024</v>
      </c>
      <c r="O863" s="4">
        <f t="shared" si="55"/>
        <v>2</v>
      </c>
    </row>
    <row r="864" spans="1:15" x14ac:dyDescent="0.25">
      <c r="A864" t="s">
        <v>1767</v>
      </c>
      <c r="B864" s="2">
        <v>45387</v>
      </c>
      <c r="C864" t="s">
        <v>38</v>
      </c>
      <c r="D864" t="s">
        <v>39</v>
      </c>
      <c r="E864">
        <v>1384.87</v>
      </c>
      <c r="F864">
        <v>0</v>
      </c>
      <c r="G864" t="s">
        <v>9</v>
      </c>
      <c r="H864" t="s">
        <v>51</v>
      </c>
      <c r="I864" t="s">
        <v>1768</v>
      </c>
      <c r="J864" t="s">
        <v>42</v>
      </c>
      <c r="K864" s="4">
        <f>VLOOKUP(J864,Exchange_Rates!A:B,2,FALSE)</f>
        <v>0.66</v>
      </c>
      <c r="L864" s="4">
        <f t="shared" si="52"/>
        <v>914.01419999999996</v>
      </c>
      <c r="M864" s="4">
        <f t="shared" si="53"/>
        <v>0</v>
      </c>
      <c r="N864" s="4">
        <f t="shared" si="54"/>
        <v>2024</v>
      </c>
      <c r="O864" s="4">
        <f t="shared" si="55"/>
        <v>2</v>
      </c>
    </row>
    <row r="865" spans="1:15" x14ac:dyDescent="0.25">
      <c r="A865" t="s">
        <v>1769</v>
      </c>
      <c r="B865" s="2">
        <v>45446</v>
      </c>
      <c r="C865" t="s">
        <v>38</v>
      </c>
      <c r="D865" t="s">
        <v>39</v>
      </c>
      <c r="E865">
        <v>932.11</v>
      </c>
      <c r="F865">
        <v>0</v>
      </c>
      <c r="G865" t="s">
        <v>10</v>
      </c>
      <c r="H865" t="s">
        <v>26</v>
      </c>
      <c r="I865" t="s">
        <v>1770</v>
      </c>
      <c r="J865" t="s">
        <v>28</v>
      </c>
      <c r="K865" s="4">
        <f>VLOOKUP(J865,Exchange_Rates!A:B,2,FALSE)</f>
        <v>1.27</v>
      </c>
      <c r="L865" s="4">
        <f t="shared" si="52"/>
        <v>1183.7797</v>
      </c>
      <c r="M865" s="4">
        <f t="shared" si="53"/>
        <v>0</v>
      </c>
      <c r="N865" s="4">
        <f t="shared" si="54"/>
        <v>2024</v>
      </c>
      <c r="O865" s="4">
        <f t="shared" si="55"/>
        <v>2</v>
      </c>
    </row>
    <row r="866" spans="1:15" x14ac:dyDescent="0.25">
      <c r="A866" t="s">
        <v>1771</v>
      </c>
      <c r="B866" s="2">
        <v>45491</v>
      </c>
      <c r="C866" t="s">
        <v>24</v>
      </c>
      <c r="D866" t="s">
        <v>25</v>
      </c>
      <c r="E866">
        <v>0</v>
      </c>
      <c r="F866">
        <v>2355.54</v>
      </c>
      <c r="G866" t="s">
        <v>13</v>
      </c>
      <c r="H866" t="s">
        <v>40</v>
      </c>
      <c r="I866" t="s">
        <v>1772</v>
      </c>
      <c r="J866" t="s">
        <v>64</v>
      </c>
      <c r="K866" s="4">
        <f>VLOOKUP(J866,Exchange_Rates!A:B,2,FALSE)</f>
        <v>0.73</v>
      </c>
      <c r="L866" s="4">
        <f t="shared" si="52"/>
        <v>0</v>
      </c>
      <c r="M866" s="4">
        <f t="shared" si="53"/>
        <v>1719.5441999999998</v>
      </c>
      <c r="N866" s="4">
        <f t="shared" si="54"/>
        <v>2024</v>
      </c>
      <c r="O866" s="4">
        <f t="shared" si="55"/>
        <v>3</v>
      </c>
    </row>
    <row r="867" spans="1:15" x14ac:dyDescent="0.25">
      <c r="A867" t="s">
        <v>1773</v>
      </c>
      <c r="B867" s="2">
        <v>45530</v>
      </c>
      <c r="C867" t="s">
        <v>30</v>
      </c>
      <c r="D867" t="s">
        <v>31</v>
      </c>
      <c r="E867">
        <v>1327.52</v>
      </c>
      <c r="F867">
        <v>0</v>
      </c>
      <c r="G867" t="s">
        <v>13</v>
      </c>
      <c r="H867" t="s">
        <v>40</v>
      </c>
      <c r="I867" t="s">
        <v>1774</v>
      </c>
      <c r="J867" t="s">
        <v>45</v>
      </c>
      <c r="K867" s="4">
        <f>VLOOKUP(J867,Exchange_Rates!A:B,2,FALSE)</f>
        <v>1</v>
      </c>
      <c r="L867" s="4">
        <f t="shared" si="52"/>
        <v>1327.52</v>
      </c>
      <c r="M867" s="4">
        <f t="shared" si="53"/>
        <v>0</v>
      </c>
      <c r="N867" s="4">
        <f t="shared" si="54"/>
        <v>2024</v>
      </c>
      <c r="O867" s="4">
        <f t="shared" si="55"/>
        <v>3</v>
      </c>
    </row>
    <row r="868" spans="1:15" x14ac:dyDescent="0.25">
      <c r="A868" t="s">
        <v>1775</v>
      </c>
      <c r="B868" s="2">
        <v>45044</v>
      </c>
      <c r="C868" t="s">
        <v>38</v>
      </c>
      <c r="D868" t="s">
        <v>39</v>
      </c>
      <c r="E868">
        <v>77.790000000000006</v>
      </c>
      <c r="F868">
        <v>0</v>
      </c>
      <c r="G868" t="s">
        <v>12</v>
      </c>
      <c r="H868" t="s">
        <v>51</v>
      </c>
      <c r="I868" t="s">
        <v>1776</v>
      </c>
      <c r="J868" t="s">
        <v>45</v>
      </c>
      <c r="K868" s="4">
        <f>VLOOKUP(J868,Exchange_Rates!A:B,2,FALSE)</f>
        <v>1</v>
      </c>
      <c r="L868" s="4">
        <f t="shared" si="52"/>
        <v>77.790000000000006</v>
      </c>
      <c r="M868" s="4">
        <f t="shared" si="53"/>
        <v>0</v>
      </c>
      <c r="N868" s="4">
        <f t="shared" si="54"/>
        <v>2023</v>
      </c>
      <c r="O868" s="4">
        <f t="shared" si="55"/>
        <v>2</v>
      </c>
    </row>
    <row r="869" spans="1:15" x14ac:dyDescent="0.25">
      <c r="A869" t="s">
        <v>1777</v>
      </c>
      <c r="B869" s="2">
        <v>45756</v>
      </c>
      <c r="C869" t="s">
        <v>24</v>
      </c>
      <c r="D869" t="s">
        <v>25</v>
      </c>
      <c r="E869">
        <v>0</v>
      </c>
      <c r="F869">
        <v>2100.39</v>
      </c>
      <c r="G869" t="s">
        <v>10</v>
      </c>
      <c r="H869" t="s">
        <v>40</v>
      </c>
      <c r="I869" t="s">
        <v>1778</v>
      </c>
      <c r="J869" t="s">
        <v>28</v>
      </c>
      <c r="K869" s="4">
        <f>VLOOKUP(J869,Exchange_Rates!A:B,2,FALSE)</f>
        <v>1.27</v>
      </c>
      <c r="L869" s="4">
        <f t="shared" si="52"/>
        <v>0</v>
      </c>
      <c r="M869" s="4">
        <f t="shared" si="53"/>
        <v>2667.4953</v>
      </c>
      <c r="N869" s="4">
        <f t="shared" si="54"/>
        <v>2025</v>
      </c>
      <c r="O869" s="4">
        <f t="shared" si="55"/>
        <v>2</v>
      </c>
    </row>
    <row r="870" spans="1:15" x14ac:dyDescent="0.25">
      <c r="A870" t="s">
        <v>1779</v>
      </c>
      <c r="B870" s="2">
        <v>45556</v>
      </c>
      <c r="C870" t="s">
        <v>49</v>
      </c>
      <c r="D870" t="s">
        <v>50</v>
      </c>
      <c r="E870">
        <v>882.8</v>
      </c>
      <c r="F870">
        <v>0</v>
      </c>
      <c r="G870" t="s">
        <v>13</v>
      </c>
      <c r="H870" t="s">
        <v>40</v>
      </c>
      <c r="I870" t="s">
        <v>1780</v>
      </c>
      <c r="J870" t="s">
        <v>42</v>
      </c>
      <c r="K870" s="4">
        <f>VLOOKUP(J870,Exchange_Rates!A:B,2,FALSE)</f>
        <v>0.66</v>
      </c>
      <c r="L870" s="4">
        <f t="shared" si="52"/>
        <v>582.64800000000002</v>
      </c>
      <c r="M870" s="4">
        <f t="shared" si="53"/>
        <v>0</v>
      </c>
      <c r="N870" s="4">
        <f t="shared" si="54"/>
        <v>2024</v>
      </c>
      <c r="O870" s="4">
        <f t="shared" si="55"/>
        <v>3</v>
      </c>
    </row>
    <row r="871" spans="1:15" x14ac:dyDescent="0.25">
      <c r="A871" t="s">
        <v>1781</v>
      </c>
      <c r="B871" s="2">
        <v>45137</v>
      </c>
      <c r="C871" t="s">
        <v>60</v>
      </c>
      <c r="D871" t="s">
        <v>61</v>
      </c>
      <c r="E871">
        <v>0</v>
      </c>
      <c r="F871">
        <v>3194.96</v>
      </c>
      <c r="G871" t="s">
        <v>8</v>
      </c>
      <c r="H871" t="s">
        <v>26</v>
      </c>
      <c r="I871" t="s">
        <v>1782</v>
      </c>
      <c r="J871" t="s">
        <v>45</v>
      </c>
      <c r="K871" s="4">
        <f>VLOOKUP(J871,Exchange_Rates!A:B,2,FALSE)</f>
        <v>1</v>
      </c>
      <c r="L871" s="4">
        <f t="shared" si="52"/>
        <v>0</v>
      </c>
      <c r="M871" s="4">
        <f t="shared" si="53"/>
        <v>3194.96</v>
      </c>
      <c r="N871" s="4">
        <f t="shared" si="54"/>
        <v>2023</v>
      </c>
      <c r="O871" s="4">
        <f t="shared" si="55"/>
        <v>3</v>
      </c>
    </row>
    <row r="872" spans="1:15" x14ac:dyDescent="0.25">
      <c r="A872" t="s">
        <v>1783</v>
      </c>
      <c r="B872" s="2">
        <v>45662</v>
      </c>
      <c r="C872" t="s">
        <v>38</v>
      </c>
      <c r="D872" t="s">
        <v>39</v>
      </c>
      <c r="E872">
        <v>981.76</v>
      </c>
      <c r="F872">
        <v>0</v>
      </c>
      <c r="G872" t="s">
        <v>8</v>
      </c>
      <c r="H872" t="s">
        <v>51</v>
      </c>
      <c r="I872" t="s">
        <v>1784</v>
      </c>
      <c r="J872" t="s">
        <v>36</v>
      </c>
      <c r="K872" s="4">
        <f>VLOOKUP(J872,Exchange_Rates!A:B,2,FALSE)</f>
        <v>1.08</v>
      </c>
      <c r="L872" s="4">
        <f t="shared" si="52"/>
        <v>1060.3008</v>
      </c>
      <c r="M872" s="4">
        <f t="shared" si="53"/>
        <v>0</v>
      </c>
      <c r="N872" s="4">
        <f t="shared" si="54"/>
        <v>2025</v>
      </c>
      <c r="O872" s="4">
        <f t="shared" si="55"/>
        <v>1</v>
      </c>
    </row>
    <row r="873" spans="1:15" x14ac:dyDescent="0.25">
      <c r="A873" t="s">
        <v>1785</v>
      </c>
      <c r="B873" s="2">
        <v>45080</v>
      </c>
      <c r="C873" t="s">
        <v>60</v>
      </c>
      <c r="D873" t="s">
        <v>61</v>
      </c>
      <c r="E873">
        <v>0</v>
      </c>
      <c r="F873">
        <v>1322.78</v>
      </c>
      <c r="G873" t="s">
        <v>9</v>
      </c>
      <c r="H873" t="s">
        <v>51</v>
      </c>
      <c r="I873" t="s">
        <v>1786</v>
      </c>
      <c r="J873" t="s">
        <v>45</v>
      </c>
      <c r="K873" s="4">
        <f>VLOOKUP(J873,Exchange_Rates!A:B,2,FALSE)</f>
        <v>1</v>
      </c>
      <c r="L873" s="4">
        <f t="shared" si="52"/>
        <v>0</v>
      </c>
      <c r="M873" s="4">
        <f t="shared" si="53"/>
        <v>1322.78</v>
      </c>
      <c r="N873" s="4">
        <f t="shared" si="54"/>
        <v>2023</v>
      </c>
      <c r="O873" s="4">
        <f t="shared" si="55"/>
        <v>2</v>
      </c>
    </row>
    <row r="874" spans="1:15" x14ac:dyDescent="0.25">
      <c r="A874" t="s">
        <v>1787</v>
      </c>
      <c r="B874" s="2">
        <v>45300</v>
      </c>
      <c r="C874" t="s">
        <v>38</v>
      </c>
      <c r="D874" t="s">
        <v>39</v>
      </c>
      <c r="E874">
        <v>508.47</v>
      </c>
      <c r="F874">
        <v>0</v>
      </c>
      <c r="G874" t="s">
        <v>10</v>
      </c>
      <c r="H874" t="s">
        <v>26</v>
      </c>
      <c r="I874" t="s">
        <v>1788</v>
      </c>
      <c r="J874" t="s">
        <v>45</v>
      </c>
      <c r="K874" s="4">
        <f>VLOOKUP(J874,Exchange_Rates!A:B,2,FALSE)</f>
        <v>1</v>
      </c>
      <c r="L874" s="4">
        <f t="shared" si="52"/>
        <v>508.47</v>
      </c>
      <c r="M874" s="4">
        <f t="shared" si="53"/>
        <v>0</v>
      </c>
      <c r="N874" s="4">
        <f t="shared" si="54"/>
        <v>2024</v>
      </c>
      <c r="O874" s="4">
        <f t="shared" si="55"/>
        <v>1</v>
      </c>
    </row>
    <row r="875" spans="1:15" x14ac:dyDescent="0.25">
      <c r="A875" t="s">
        <v>1789</v>
      </c>
      <c r="B875" s="2">
        <v>45771</v>
      </c>
      <c r="C875" t="s">
        <v>38</v>
      </c>
      <c r="D875" t="s">
        <v>39</v>
      </c>
      <c r="E875">
        <v>1587.23</v>
      </c>
      <c r="F875">
        <v>0</v>
      </c>
      <c r="G875" t="s">
        <v>8</v>
      </c>
      <c r="H875" t="s">
        <v>51</v>
      </c>
      <c r="I875" t="s">
        <v>1790</v>
      </c>
      <c r="J875" t="s">
        <v>42</v>
      </c>
      <c r="K875" s="4">
        <f>VLOOKUP(J875,Exchange_Rates!A:B,2,FALSE)</f>
        <v>0.66</v>
      </c>
      <c r="L875" s="4">
        <f t="shared" si="52"/>
        <v>1047.5718000000002</v>
      </c>
      <c r="M875" s="4">
        <f t="shared" si="53"/>
        <v>0</v>
      </c>
      <c r="N875" s="4">
        <f t="shared" si="54"/>
        <v>2025</v>
      </c>
      <c r="O875" s="4">
        <f t="shared" si="55"/>
        <v>2</v>
      </c>
    </row>
    <row r="876" spans="1:15" x14ac:dyDescent="0.25">
      <c r="A876" t="s">
        <v>1791</v>
      </c>
      <c r="B876" s="2">
        <v>45678</v>
      </c>
      <c r="C876" t="s">
        <v>24</v>
      </c>
      <c r="D876" t="s">
        <v>25</v>
      </c>
      <c r="E876">
        <v>0</v>
      </c>
      <c r="F876">
        <v>2067.5700000000002</v>
      </c>
      <c r="G876" t="s">
        <v>8</v>
      </c>
      <c r="H876" t="s">
        <v>62</v>
      </c>
      <c r="I876" t="s">
        <v>1792</v>
      </c>
      <c r="J876" t="s">
        <v>28</v>
      </c>
      <c r="K876" s="4">
        <f>VLOOKUP(J876,Exchange_Rates!A:B,2,FALSE)</f>
        <v>1.27</v>
      </c>
      <c r="L876" s="4">
        <f t="shared" si="52"/>
        <v>0</v>
      </c>
      <c r="M876" s="4">
        <f t="shared" si="53"/>
        <v>2625.8139000000001</v>
      </c>
      <c r="N876" s="4">
        <f t="shared" si="54"/>
        <v>2025</v>
      </c>
      <c r="O876" s="4">
        <f t="shared" si="55"/>
        <v>1</v>
      </c>
    </row>
    <row r="877" spans="1:15" x14ac:dyDescent="0.25">
      <c r="A877" t="s">
        <v>1793</v>
      </c>
      <c r="B877" s="2">
        <v>45138</v>
      </c>
      <c r="C877" t="s">
        <v>24</v>
      </c>
      <c r="D877" t="s">
        <v>25</v>
      </c>
      <c r="E877">
        <v>0</v>
      </c>
      <c r="F877">
        <v>1379.98</v>
      </c>
      <c r="G877" t="s">
        <v>12</v>
      </c>
      <c r="H877" t="s">
        <v>40</v>
      </c>
      <c r="I877" t="s">
        <v>1794</v>
      </c>
      <c r="J877" t="s">
        <v>64</v>
      </c>
      <c r="K877" s="4">
        <f>VLOOKUP(J877,Exchange_Rates!A:B,2,FALSE)</f>
        <v>0.73</v>
      </c>
      <c r="L877" s="4">
        <f t="shared" si="52"/>
        <v>0</v>
      </c>
      <c r="M877" s="4">
        <f t="shared" si="53"/>
        <v>1007.3854</v>
      </c>
      <c r="N877" s="4">
        <f t="shared" si="54"/>
        <v>2023</v>
      </c>
      <c r="O877" s="4">
        <f t="shared" si="55"/>
        <v>3</v>
      </c>
    </row>
    <row r="878" spans="1:15" x14ac:dyDescent="0.25">
      <c r="A878" t="s">
        <v>1795</v>
      </c>
      <c r="B878" s="2">
        <v>45626</v>
      </c>
      <c r="C878" t="s">
        <v>60</v>
      </c>
      <c r="D878" t="s">
        <v>61</v>
      </c>
      <c r="E878">
        <v>0</v>
      </c>
      <c r="F878">
        <v>4346.96</v>
      </c>
      <c r="G878" t="s">
        <v>8</v>
      </c>
      <c r="H878" t="s">
        <v>40</v>
      </c>
      <c r="I878" t="s">
        <v>1796</v>
      </c>
      <c r="J878" t="s">
        <v>64</v>
      </c>
      <c r="K878" s="4">
        <f>VLOOKUP(J878,Exchange_Rates!A:B,2,FALSE)</f>
        <v>0.73</v>
      </c>
      <c r="L878" s="4">
        <f t="shared" si="52"/>
        <v>0</v>
      </c>
      <c r="M878" s="4">
        <f t="shared" si="53"/>
        <v>3173.2808</v>
      </c>
      <c r="N878" s="4">
        <f t="shared" si="54"/>
        <v>2024</v>
      </c>
      <c r="O878" s="4">
        <f t="shared" si="55"/>
        <v>4</v>
      </c>
    </row>
    <row r="879" spans="1:15" x14ac:dyDescent="0.25">
      <c r="A879" t="s">
        <v>1797</v>
      </c>
      <c r="B879" s="2">
        <v>45095</v>
      </c>
      <c r="C879" t="s">
        <v>24</v>
      </c>
      <c r="D879" t="s">
        <v>25</v>
      </c>
      <c r="E879">
        <v>0</v>
      </c>
      <c r="F879">
        <v>525.34</v>
      </c>
      <c r="G879" t="s">
        <v>9</v>
      </c>
      <c r="H879" t="s">
        <v>51</v>
      </c>
      <c r="I879" t="s">
        <v>1798</v>
      </c>
      <c r="J879" t="s">
        <v>28</v>
      </c>
      <c r="K879" s="4">
        <f>VLOOKUP(J879,Exchange_Rates!A:B,2,FALSE)</f>
        <v>1.27</v>
      </c>
      <c r="L879" s="4">
        <f t="shared" si="52"/>
        <v>0</v>
      </c>
      <c r="M879" s="4">
        <f t="shared" si="53"/>
        <v>667.18180000000007</v>
      </c>
      <c r="N879" s="4">
        <f t="shared" si="54"/>
        <v>2023</v>
      </c>
      <c r="O879" s="4">
        <f t="shared" si="55"/>
        <v>2</v>
      </c>
    </row>
    <row r="880" spans="1:15" x14ac:dyDescent="0.25">
      <c r="A880" t="s">
        <v>1799</v>
      </c>
      <c r="B880" s="2">
        <v>45270</v>
      </c>
      <c r="C880" t="s">
        <v>49</v>
      </c>
      <c r="D880" t="s">
        <v>50</v>
      </c>
      <c r="E880">
        <v>275.32</v>
      </c>
      <c r="F880">
        <v>0</v>
      </c>
      <c r="G880" t="s">
        <v>9</v>
      </c>
      <c r="H880" t="s">
        <v>51</v>
      </c>
      <c r="I880" t="s">
        <v>1800</v>
      </c>
      <c r="J880" t="s">
        <v>45</v>
      </c>
      <c r="K880" s="4">
        <f>VLOOKUP(J880,Exchange_Rates!A:B,2,FALSE)</f>
        <v>1</v>
      </c>
      <c r="L880" s="4">
        <f t="shared" si="52"/>
        <v>275.32</v>
      </c>
      <c r="M880" s="4">
        <f t="shared" si="53"/>
        <v>0</v>
      </c>
      <c r="N880" s="4">
        <f t="shared" si="54"/>
        <v>2023</v>
      </c>
      <c r="O880" s="4">
        <f t="shared" si="55"/>
        <v>4</v>
      </c>
    </row>
    <row r="881" spans="1:15" x14ac:dyDescent="0.25">
      <c r="A881" t="s">
        <v>1801</v>
      </c>
      <c r="B881" s="2">
        <v>45475</v>
      </c>
      <c r="C881" t="s">
        <v>38</v>
      </c>
      <c r="D881" t="s">
        <v>39</v>
      </c>
      <c r="E881">
        <v>1408.29</v>
      </c>
      <c r="F881">
        <v>0</v>
      </c>
      <c r="G881" t="s">
        <v>11</v>
      </c>
      <c r="H881" t="s">
        <v>34</v>
      </c>
      <c r="I881" t="s">
        <v>1802</v>
      </c>
      <c r="J881" t="s">
        <v>64</v>
      </c>
      <c r="K881" s="4">
        <f>VLOOKUP(J881,Exchange_Rates!A:B,2,FALSE)</f>
        <v>0.73</v>
      </c>
      <c r="L881" s="4">
        <f t="shared" si="52"/>
        <v>1028.0517</v>
      </c>
      <c r="M881" s="4">
        <f t="shared" si="53"/>
        <v>0</v>
      </c>
      <c r="N881" s="4">
        <f t="shared" si="54"/>
        <v>2024</v>
      </c>
      <c r="O881" s="4">
        <f t="shared" si="55"/>
        <v>3</v>
      </c>
    </row>
    <row r="882" spans="1:15" x14ac:dyDescent="0.25">
      <c r="A882" t="s">
        <v>1803</v>
      </c>
      <c r="B882" s="2">
        <v>45479</v>
      </c>
      <c r="C882" t="s">
        <v>60</v>
      </c>
      <c r="D882" t="s">
        <v>61</v>
      </c>
      <c r="E882">
        <v>0</v>
      </c>
      <c r="F882">
        <v>2640.87</v>
      </c>
      <c r="G882" t="s">
        <v>10</v>
      </c>
      <c r="H882" t="s">
        <v>26</v>
      </c>
      <c r="I882" t="s">
        <v>1804</v>
      </c>
      <c r="J882" t="s">
        <v>45</v>
      </c>
      <c r="K882" s="4">
        <f>VLOOKUP(J882,Exchange_Rates!A:B,2,FALSE)</f>
        <v>1</v>
      </c>
      <c r="L882" s="4">
        <f t="shared" si="52"/>
        <v>0</v>
      </c>
      <c r="M882" s="4">
        <f t="shared" si="53"/>
        <v>2640.87</v>
      </c>
      <c r="N882" s="4">
        <f t="shared" si="54"/>
        <v>2024</v>
      </c>
      <c r="O882" s="4">
        <f t="shared" si="55"/>
        <v>3</v>
      </c>
    </row>
    <row r="883" spans="1:15" x14ac:dyDescent="0.25">
      <c r="A883" t="s">
        <v>1805</v>
      </c>
      <c r="B883" s="2">
        <v>45754</v>
      </c>
      <c r="C883" t="s">
        <v>24</v>
      </c>
      <c r="D883" t="s">
        <v>25</v>
      </c>
      <c r="E883">
        <v>0</v>
      </c>
      <c r="F883">
        <v>2978.56</v>
      </c>
      <c r="G883" t="s">
        <v>13</v>
      </c>
      <c r="H883" t="s">
        <v>51</v>
      </c>
      <c r="I883" t="s">
        <v>1806</v>
      </c>
      <c r="J883" t="s">
        <v>28</v>
      </c>
      <c r="K883" s="4">
        <f>VLOOKUP(J883,Exchange_Rates!A:B,2,FALSE)</f>
        <v>1.27</v>
      </c>
      <c r="L883" s="4">
        <f t="shared" si="52"/>
        <v>0</v>
      </c>
      <c r="M883" s="4">
        <f t="shared" si="53"/>
        <v>3782.7712000000001</v>
      </c>
      <c r="N883" s="4">
        <f t="shared" si="54"/>
        <v>2025</v>
      </c>
      <c r="O883" s="4">
        <f t="shared" si="55"/>
        <v>2</v>
      </c>
    </row>
    <row r="884" spans="1:15" x14ac:dyDescent="0.25">
      <c r="A884" t="s">
        <v>1807</v>
      </c>
      <c r="B884" s="2">
        <v>45282</v>
      </c>
      <c r="C884" t="s">
        <v>49</v>
      </c>
      <c r="D884" t="s">
        <v>50</v>
      </c>
      <c r="E884">
        <v>100.56</v>
      </c>
      <c r="F884">
        <v>0</v>
      </c>
      <c r="G884" t="s">
        <v>9</v>
      </c>
      <c r="H884" t="s">
        <v>26</v>
      </c>
      <c r="I884" t="s">
        <v>1808</v>
      </c>
      <c r="J884" t="s">
        <v>64</v>
      </c>
      <c r="K884" s="4">
        <f>VLOOKUP(J884,Exchange_Rates!A:B,2,FALSE)</f>
        <v>0.73</v>
      </c>
      <c r="L884" s="4">
        <f t="shared" si="52"/>
        <v>73.408799999999999</v>
      </c>
      <c r="M884" s="4">
        <f t="shared" si="53"/>
        <v>0</v>
      </c>
      <c r="N884" s="4">
        <f t="shared" si="54"/>
        <v>2023</v>
      </c>
      <c r="O884" s="4">
        <f t="shared" si="55"/>
        <v>4</v>
      </c>
    </row>
    <row r="885" spans="1:15" x14ac:dyDescent="0.25">
      <c r="A885" t="s">
        <v>1809</v>
      </c>
      <c r="B885" s="2">
        <v>45323</v>
      </c>
      <c r="C885" t="s">
        <v>49</v>
      </c>
      <c r="D885" t="s">
        <v>50</v>
      </c>
      <c r="E885">
        <v>581.4</v>
      </c>
      <c r="F885">
        <v>0</v>
      </c>
      <c r="G885" t="s">
        <v>10</v>
      </c>
      <c r="H885" t="s">
        <v>40</v>
      </c>
      <c r="I885" t="s">
        <v>1810</v>
      </c>
      <c r="J885" t="s">
        <v>42</v>
      </c>
      <c r="K885" s="4">
        <f>VLOOKUP(J885,Exchange_Rates!A:B,2,FALSE)</f>
        <v>0.66</v>
      </c>
      <c r="L885" s="4">
        <f t="shared" si="52"/>
        <v>383.72399999999999</v>
      </c>
      <c r="M885" s="4">
        <f t="shared" si="53"/>
        <v>0</v>
      </c>
      <c r="N885" s="4">
        <f t="shared" si="54"/>
        <v>2024</v>
      </c>
      <c r="O885" s="4">
        <f t="shared" si="55"/>
        <v>1</v>
      </c>
    </row>
    <row r="886" spans="1:15" x14ac:dyDescent="0.25">
      <c r="A886" t="s">
        <v>1811</v>
      </c>
      <c r="B886" s="2">
        <v>44950</v>
      </c>
      <c r="C886" t="s">
        <v>38</v>
      </c>
      <c r="D886" t="s">
        <v>39</v>
      </c>
      <c r="E886">
        <v>176.17</v>
      </c>
      <c r="F886">
        <v>0</v>
      </c>
      <c r="G886" t="s">
        <v>11</v>
      </c>
      <c r="H886" t="s">
        <v>62</v>
      </c>
      <c r="I886" t="s">
        <v>1812</v>
      </c>
      <c r="J886" t="s">
        <v>45</v>
      </c>
      <c r="K886" s="4">
        <f>VLOOKUP(J886,Exchange_Rates!A:B,2,FALSE)</f>
        <v>1</v>
      </c>
      <c r="L886" s="4">
        <f t="shared" si="52"/>
        <v>176.17</v>
      </c>
      <c r="M886" s="4">
        <f t="shared" si="53"/>
        <v>0</v>
      </c>
      <c r="N886" s="4">
        <f t="shared" si="54"/>
        <v>2023</v>
      </c>
      <c r="O886" s="4">
        <f t="shared" si="55"/>
        <v>1</v>
      </c>
    </row>
    <row r="887" spans="1:15" x14ac:dyDescent="0.25">
      <c r="A887" t="s">
        <v>1813</v>
      </c>
      <c r="B887" s="2">
        <v>44966</v>
      </c>
      <c r="C887" t="s">
        <v>49</v>
      </c>
      <c r="D887" t="s">
        <v>50</v>
      </c>
      <c r="E887">
        <v>482.67</v>
      </c>
      <c r="F887">
        <v>0</v>
      </c>
      <c r="G887" t="s">
        <v>10</v>
      </c>
      <c r="H887" t="s">
        <v>62</v>
      </c>
      <c r="I887" t="s">
        <v>1814</v>
      </c>
      <c r="J887" t="s">
        <v>45</v>
      </c>
      <c r="K887" s="4">
        <f>VLOOKUP(J887,Exchange_Rates!A:B,2,FALSE)</f>
        <v>1</v>
      </c>
      <c r="L887" s="4">
        <f t="shared" si="52"/>
        <v>482.67</v>
      </c>
      <c r="M887" s="4">
        <f t="shared" si="53"/>
        <v>0</v>
      </c>
      <c r="N887" s="4">
        <f t="shared" si="54"/>
        <v>2023</v>
      </c>
      <c r="O887" s="4">
        <f t="shared" si="55"/>
        <v>1</v>
      </c>
    </row>
    <row r="888" spans="1:15" x14ac:dyDescent="0.25">
      <c r="A888" t="s">
        <v>1815</v>
      </c>
      <c r="B888" s="2">
        <v>45572</v>
      </c>
      <c r="C888" t="s">
        <v>38</v>
      </c>
      <c r="D888" t="s">
        <v>39</v>
      </c>
      <c r="E888">
        <v>1072.33</v>
      </c>
      <c r="F888">
        <v>0</v>
      </c>
      <c r="G888" t="s">
        <v>13</v>
      </c>
      <c r="H888" t="s">
        <v>62</v>
      </c>
      <c r="I888" t="s">
        <v>1816</v>
      </c>
      <c r="J888" t="s">
        <v>28</v>
      </c>
      <c r="K888" s="4">
        <f>VLOOKUP(J888,Exchange_Rates!A:B,2,FALSE)</f>
        <v>1.27</v>
      </c>
      <c r="L888" s="4">
        <f t="shared" si="52"/>
        <v>1361.8590999999999</v>
      </c>
      <c r="M888" s="4">
        <f t="shared" si="53"/>
        <v>0</v>
      </c>
      <c r="N888" s="4">
        <f t="shared" si="54"/>
        <v>2024</v>
      </c>
      <c r="O888" s="4">
        <f t="shared" si="55"/>
        <v>4</v>
      </c>
    </row>
    <row r="889" spans="1:15" x14ac:dyDescent="0.25">
      <c r="A889" t="s">
        <v>1817</v>
      </c>
      <c r="B889" s="2">
        <v>45468</v>
      </c>
      <c r="C889" t="s">
        <v>24</v>
      </c>
      <c r="D889" t="s">
        <v>25</v>
      </c>
      <c r="E889">
        <v>0</v>
      </c>
      <c r="F889">
        <v>1700.49</v>
      </c>
      <c r="G889" t="s">
        <v>8</v>
      </c>
      <c r="H889" t="s">
        <v>62</v>
      </c>
      <c r="I889" t="s">
        <v>1818</v>
      </c>
      <c r="J889" t="s">
        <v>36</v>
      </c>
      <c r="K889" s="4">
        <f>VLOOKUP(J889,Exchange_Rates!A:B,2,FALSE)</f>
        <v>1.08</v>
      </c>
      <c r="L889" s="4">
        <f t="shared" si="52"/>
        <v>0</v>
      </c>
      <c r="M889" s="4">
        <f t="shared" si="53"/>
        <v>1836.5292000000002</v>
      </c>
      <c r="N889" s="4">
        <f t="shared" si="54"/>
        <v>2024</v>
      </c>
      <c r="O889" s="4">
        <f t="shared" si="55"/>
        <v>2</v>
      </c>
    </row>
    <row r="890" spans="1:15" x14ac:dyDescent="0.25">
      <c r="A890" t="s">
        <v>1819</v>
      </c>
      <c r="B890" s="2">
        <v>45574</v>
      </c>
      <c r="C890" t="s">
        <v>49</v>
      </c>
      <c r="D890" t="s">
        <v>50</v>
      </c>
      <c r="E890">
        <v>1915.1</v>
      </c>
      <c r="F890">
        <v>0</v>
      </c>
      <c r="G890" t="s">
        <v>10</v>
      </c>
      <c r="H890" t="s">
        <v>62</v>
      </c>
      <c r="I890" t="s">
        <v>1820</v>
      </c>
      <c r="J890" t="s">
        <v>36</v>
      </c>
      <c r="K890" s="4">
        <f>VLOOKUP(J890,Exchange_Rates!A:B,2,FALSE)</f>
        <v>1.08</v>
      </c>
      <c r="L890" s="4">
        <f t="shared" si="52"/>
        <v>2068.308</v>
      </c>
      <c r="M890" s="4">
        <f t="shared" si="53"/>
        <v>0</v>
      </c>
      <c r="N890" s="4">
        <f t="shared" si="54"/>
        <v>2024</v>
      </c>
      <c r="O890" s="4">
        <f t="shared" si="55"/>
        <v>4</v>
      </c>
    </row>
    <row r="891" spans="1:15" x14ac:dyDescent="0.25">
      <c r="A891" t="s">
        <v>1821</v>
      </c>
      <c r="B891" s="2">
        <v>45821</v>
      </c>
      <c r="C891" t="s">
        <v>30</v>
      </c>
      <c r="D891" t="s">
        <v>31</v>
      </c>
      <c r="E891">
        <v>1632.24</v>
      </c>
      <c r="F891">
        <v>0</v>
      </c>
      <c r="G891" t="s">
        <v>13</v>
      </c>
      <c r="H891" t="s">
        <v>40</v>
      </c>
      <c r="I891" t="s">
        <v>1822</v>
      </c>
      <c r="J891" t="s">
        <v>64</v>
      </c>
      <c r="K891" s="4">
        <f>VLOOKUP(J891,Exchange_Rates!A:B,2,FALSE)</f>
        <v>0.73</v>
      </c>
      <c r="L891" s="4">
        <f t="shared" si="52"/>
        <v>1191.5352</v>
      </c>
      <c r="M891" s="4">
        <f t="shared" si="53"/>
        <v>0</v>
      </c>
      <c r="N891" s="4">
        <f t="shared" si="54"/>
        <v>2025</v>
      </c>
      <c r="O891" s="4">
        <f t="shared" si="55"/>
        <v>2</v>
      </c>
    </row>
    <row r="892" spans="1:15" x14ac:dyDescent="0.25">
      <c r="A892" t="s">
        <v>1823</v>
      </c>
      <c r="B892" s="2">
        <v>45718</v>
      </c>
      <c r="C892" t="s">
        <v>60</v>
      </c>
      <c r="D892" t="s">
        <v>61</v>
      </c>
      <c r="E892">
        <v>0</v>
      </c>
      <c r="F892">
        <v>2334.77</v>
      </c>
      <c r="G892" t="s">
        <v>9</v>
      </c>
      <c r="H892" t="s">
        <v>62</v>
      </c>
      <c r="I892" t="s">
        <v>1824</v>
      </c>
      <c r="J892" t="s">
        <v>28</v>
      </c>
      <c r="K892" s="4">
        <f>VLOOKUP(J892,Exchange_Rates!A:B,2,FALSE)</f>
        <v>1.27</v>
      </c>
      <c r="L892" s="4">
        <f t="shared" si="52"/>
        <v>0</v>
      </c>
      <c r="M892" s="4">
        <f t="shared" si="53"/>
        <v>2965.1579000000002</v>
      </c>
      <c r="N892" s="4">
        <f t="shared" si="54"/>
        <v>2025</v>
      </c>
      <c r="O892" s="4">
        <f t="shared" si="55"/>
        <v>1</v>
      </c>
    </row>
    <row r="893" spans="1:15" x14ac:dyDescent="0.25">
      <c r="A893" t="s">
        <v>1825</v>
      </c>
      <c r="B893" s="2">
        <v>45068</v>
      </c>
      <c r="C893" t="s">
        <v>24</v>
      </c>
      <c r="D893" t="s">
        <v>25</v>
      </c>
      <c r="E893">
        <v>0</v>
      </c>
      <c r="F893">
        <v>2655.46</v>
      </c>
      <c r="G893" t="s">
        <v>11</v>
      </c>
      <c r="H893" t="s">
        <v>26</v>
      </c>
      <c r="I893" t="s">
        <v>1826</v>
      </c>
      <c r="J893" t="s">
        <v>64</v>
      </c>
      <c r="K893" s="4">
        <f>VLOOKUP(J893,Exchange_Rates!A:B,2,FALSE)</f>
        <v>0.73</v>
      </c>
      <c r="L893" s="4">
        <f t="shared" si="52"/>
        <v>0</v>
      </c>
      <c r="M893" s="4">
        <f t="shared" si="53"/>
        <v>1938.4857999999999</v>
      </c>
      <c r="N893" s="4">
        <f t="shared" si="54"/>
        <v>2023</v>
      </c>
      <c r="O893" s="4">
        <f t="shared" si="55"/>
        <v>2</v>
      </c>
    </row>
    <row r="894" spans="1:15" x14ac:dyDescent="0.25">
      <c r="A894" t="s">
        <v>1827</v>
      </c>
      <c r="B894" s="2">
        <v>45288</v>
      </c>
      <c r="C894" t="s">
        <v>24</v>
      </c>
      <c r="D894" t="s">
        <v>25</v>
      </c>
      <c r="E894">
        <v>0</v>
      </c>
      <c r="F894">
        <v>4082.31</v>
      </c>
      <c r="G894" t="s">
        <v>10</v>
      </c>
      <c r="H894" t="s">
        <v>51</v>
      </c>
      <c r="I894" t="s">
        <v>1828</v>
      </c>
      <c r="J894" t="s">
        <v>45</v>
      </c>
      <c r="K894" s="4">
        <f>VLOOKUP(J894,Exchange_Rates!A:B,2,FALSE)</f>
        <v>1</v>
      </c>
      <c r="L894" s="4">
        <f t="shared" si="52"/>
        <v>0</v>
      </c>
      <c r="M894" s="4">
        <f t="shared" si="53"/>
        <v>4082.31</v>
      </c>
      <c r="N894" s="4">
        <f t="shared" si="54"/>
        <v>2023</v>
      </c>
      <c r="O894" s="4">
        <f t="shared" si="55"/>
        <v>4</v>
      </c>
    </row>
    <row r="895" spans="1:15" x14ac:dyDescent="0.25">
      <c r="A895" t="s">
        <v>1829</v>
      </c>
      <c r="B895" s="2">
        <v>45280</v>
      </c>
      <c r="C895" t="s">
        <v>49</v>
      </c>
      <c r="D895" t="s">
        <v>50</v>
      </c>
      <c r="E895">
        <v>1204.8499999999999</v>
      </c>
      <c r="F895">
        <v>0</v>
      </c>
      <c r="G895" t="s">
        <v>10</v>
      </c>
      <c r="H895" t="s">
        <v>34</v>
      </c>
      <c r="I895" t="s">
        <v>1830</v>
      </c>
      <c r="J895" t="s">
        <v>64</v>
      </c>
      <c r="K895" s="4">
        <f>VLOOKUP(J895,Exchange_Rates!A:B,2,FALSE)</f>
        <v>0.73</v>
      </c>
      <c r="L895" s="4">
        <f t="shared" si="52"/>
        <v>879.54049999999995</v>
      </c>
      <c r="M895" s="4">
        <f t="shared" si="53"/>
        <v>0</v>
      </c>
      <c r="N895" s="4">
        <f t="shared" si="54"/>
        <v>2023</v>
      </c>
      <c r="O895" s="4">
        <f t="shared" si="55"/>
        <v>4</v>
      </c>
    </row>
    <row r="896" spans="1:15" x14ac:dyDescent="0.25">
      <c r="A896" t="s">
        <v>1831</v>
      </c>
      <c r="B896" s="2">
        <v>45648</v>
      </c>
      <c r="C896" t="s">
        <v>24</v>
      </c>
      <c r="D896" t="s">
        <v>25</v>
      </c>
      <c r="E896">
        <v>0</v>
      </c>
      <c r="F896">
        <v>4496.12</v>
      </c>
      <c r="G896" t="s">
        <v>9</v>
      </c>
      <c r="H896" t="s">
        <v>34</v>
      </c>
      <c r="I896" t="s">
        <v>1832</v>
      </c>
      <c r="J896" t="s">
        <v>36</v>
      </c>
      <c r="K896" s="4">
        <f>VLOOKUP(J896,Exchange_Rates!A:B,2,FALSE)</f>
        <v>1.08</v>
      </c>
      <c r="L896" s="4">
        <f t="shared" si="52"/>
        <v>0</v>
      </c>
      <c r="M896" s="4">
        <f t="shared" si="53"/>
        <v>4855.8096000000005</v>
      </c>
      <c r="N896" s="4">
        <f t="shared" si="54"/>
        <v>2024</v>
      </c>
      <c r="O896" s="4">
        <f t="shared" si="55"/>
        <v>4</v>
      </c>
    </row>
    <row r="897" spans="1:15" x14ac:dyDescent="0.25">
      <c r="A897" t="s">
        <v>1833</v>
      </c>
      <c r="B897" s="2">
        <v>45679</v>
      </c>
      <c r="C897" t="s">
        <v>60</v>
      </c>
      <c r="D897" t="s">
        <v>61</v>
      </c>
      <c r="E897">
        <v>0</v>
      </c>
      <c r="F897">
        <v>2776.15</v>
      </c>
      <c r="G897" t="s">
        <v>10</v>
      </c>
      <c r="H897" t="s">
        <v>62</v>
      </c>
      <c r="I897" t="s">
        <v>1834</v>
      </c>
      <c r="J897" t="s">
        <v>36</v>
      </c>
      <c r="K897" s="4">
        <f>VLOOKUP(J897,Exchange_Rates!A:B,2,FALSE)</f>
        <v>1.08</v>
      </c>
      <c r="L897" s="4">
        <f t="shared" si="52"/>
        <v>0</v>
      </c>
      <c r="M897" s="4">
        <f t="shared" si="53"/>
        <v>2998.2420000000002</v>
      </c>
      <c r="N897" s="4">
        <f t="shared" si="54"/>
        <v>2025</v>
      </c>
      <c r="O897" s="4">
        <f t="shared" si="55"/>
        <v>1</v>
      </c>
    </row>
    <row r="898" spans="1:15" x14ac:dyDescent="0.25">
      <c r="A898" t="s">
        <v>1835</v>
      </c>
      <c r="B898" s="2">
        <v>45046</v>
      </c>
      <c r="C898" t="s">
        <v>60</v>
      </c>
      <c r="D898" t="s">
        <v>61</v>
      </c>
      <c r="E898">
        <v>0</v>
      </c>
      <c r="F898">
        <v>3598.62</v>
      </c>
      <c r="G898" t="s">
        <v>8</v>
      </c>
      <c r="H898" t="s">
        <v>40</v>
      </c>
      <c r="I898" t="s">
        <v>1836</v>
      </c>
      <c r="J898" t="s">
        <v>36</v>
      </c>
      <c r="K898" s="4">
        <f>VLOOKUP(J898,Exchange_Rates!A:B,2,FALSE)</f>
        <v>1.08</v>
      </c>
      <c r="L898" s="4">
        <f t="shared" si="52"/>
        <v>0</v>
      </c>
      <c r="M898" s="4">
        <f t="shared" si="53"/>
        <v>3886.5096000000003</v>
      </c>
      <c r="N898" s="4">
        <f t="shared" si="54"/>
        <v>2023</v>
      </c>
      <c r="O898" s="4">
        <f t="shared" si="55"/>
        <v>2</v>
      </c>
    </row>
    <row r="899" spans="1:15" x14ac:dyDescent="0.25">
      <c r="A899" t="s">
        <v>1837</v>
      </c>
      <c r="B899" s="2">
        <v>45490</v>
      </c>
      <c r="C899" t="s">
        <v>49</v>
      </c>
      <c r="D899" t="s">
        <v>50</v>
      </c>
      <c r="E899">
        <v>1433.77</v>
      </c>
      <c r="F899">
        <v>0</v>
      </c>
      <c r="G899" t="s">
        <v>11</v>
      </c>
      <c r="H899" t="s">
        <v>26</v>
      </c>
      <c r="I899" t="s">
        <v>1838</v>
      </c>
      <c r="J899" t="s">
        <v>36</v>
      </c>
      <c r="K899" s="4">
        <f>VLOOKUP(J899,Exchange_Rates!A:B,2,FALSE)</f>
        <v>1.08</v>
      </c>
      <c r="L899" s="4">
        <f t="shared" ref="L899:L962" si="56">E899*K899</f>
        <v>1548.4716000000001</v>
      </c>
      <c r="M899" s="4">
        <f t="shared" ref="M899:M962" si="57">F899*K899</f>
        <v>0</v>
      </c>
      <c r="N899" s="4">
        <f t="shared" ref="N899:N962" si="58">YEAR(B899)</f>
        <v>2024</v>
      </c>
      <c r="O899" s="4">
        <f t="shared" ref="O899:O962" si="59">ROUNDUP(MONTH(B899)/3,0)</f>
        <v>3</v>
      </c>
    </row>
    <row r="900" spans="1:15" x14ac:dyDescent="0.25">
      <c r="A900" t="s">
        <v>1839</v>
      </c>
      <c r="B900" s="2">
        <v>45435</v>
      </c>
      <c r="C900" t="s">
        <v>49</v>
      </c>
      <c r="D900" t="s">
        <v>50</v>
      </c>
      <c r="E900">
        <v>244.58</v>
      </c>
      <c r="F900">
        <v>0</v>
      </c>
      <c r="G900" t="s">
        <v>11</v>
      </c>
      <c r="H900" t="s">
        <v>40</v>
      </c>
      <c r="I900" t="s">
        <v>1840</v>
      </c>
      <c r="J900" t="s">
        <v>42</v>
      </c>
      <c r="K900" s="4">
        <f>VLOOKUP(J900,Exchange_Rates!A:B,2,FALSE)</f>
        <v>0.66</v>
      </c>
      <c r="L900" s="4">
        <f t="shared" si="56"/>
        <v>161.42280000000002</v>
      </c>
      <c r="M900" s="4">
        <f t="shared" si="57"/>
        <v>0</v>
      </c>
      <c r="N900" s="4">
        <f t="shared" si="58"/>
        <v>2024</v>
      </c>
      <c r="O900" s="4">
        <f t="shared" si="59"/>
        <v>2</v>
      </c>
    </row>
    <row r="901" spans="1:15" x14ac:dyDescent="0.25">
      <c r="A901" t="s">
        <v>1841</v>
      </c>
      <c r="B901" s="2">
        <v>44934</v>
      </c>
      <c r="C901" t="s">
        <v>38</v>
      </c>
      <c r="D901" t="s">
        <v>39</v>
      </c>
      <c r="E901">
        <v>958.53</v>
      </c>
      <c r="F901">
        <v>0</v>
      </c>
      <c r="G901" t="s">
        <v>13</v>
      </c>
      <c r="H901" t="s">
        <v>34</v>
      </c>
      <c r="I901" t="s">
        <v>1842</v>
      </c>
      <c r="J901" t="s">
        <v>42</v>
      </c>
      <c r="K901" s="4">
        <f>VLOOKUP(J901,Exchange_Rates!A:B,2,FALSE)</f>
        <v>0.66</v>
      </c>
      <c r="L901" s="4">
        <f t="shared" si="56"/>
        <v>632.62980000000005</v>
      </c>
      <c r="M901" s="4">
        <f t="shared" si="57"/>
        <v>0</v>
      </c>
      <c r="N901" s="4">
        <f t="shared" si="58"/>
        <v>2023</v>
      </c>
      <c r="O901" s="4">
        <f t="shared" si="59"/>
        <v>1</v>
      </c>
    </row>
    <row r="902" spans="1:15" x14ac:dyDescent="0.25">
      <c r="A902" t="s">
        <v>1843</v>
      </c>
      <c r="B902" s="2">
        <v>45115</v>
      </c>
      <c r="C902" t="s">
        <v>38</v>
      </c>
      <c r="D902" t="s">
        <v>39</v>
      </c>
      <c r="E902">
        <v>1312.28</v>
      </c>
      <c r="F902">
        <v>0</v>
      </c>
      <c r="G902" t="s">
        <v>10</v>
      </c>
      <c r="H902" t="s">
        <v>26</v>
      </c>
      <c r="I902" t="s">
        <v>1844</v>
      </c>
      <c r="J902" t="s">
        <v>28</v>
      </c>
      <c r="K902" s="4">
        <f>VLOOKUP(J902,Exchange_Rates!A:B,2,FALSE)</f>
        <v>1.27</v>
      </c>
      <c r="L902" s="4">
        <f t="shared" si="56"/>
        <v>1666.5955999999999</v>
      </c>
      <c r="M902" s="4">
        <f t="shared" si="57"/>
        <v>0</v>
      </c>
      <c r="N902" s="4">
        <f t="shared" si="58"/>
        <v>2023</v>
      </c>
      <c r="O902" s="4">
        <f t="shared" si="59"/>
        <v>3</v>
      </c>
    </row>
    <row r="903" spans="1:15" x14ac:dyDescent="0.25">
      <c r="A903" t="s">
        <v>1845</v>
      </c>
      <c r="B903" s="2">
        <v>44997</v>
      </c>
      <c r="C903" t="s">
        <v>24</v>
      </c>
      <c r="D903" t="s">
        <v>25</v>
      </c>
      <c r="E903">
        <v>0</v>
      </c>
      <c r="F903">
        <v>4549.33</v>
      </c>
      <c r="G903" t="s">
        <v>13</v>
      </c>
      <c r="H903" t="s">
        <v>26</v>
      </c>
      <c r="I903" t="s">
        <v>1846</v>
      </c>
      <c r="J903" t="s">
        <v>28</v>
      </c>
      <c r="K903" s="4">
        <f>VLOOKUP(J903,Exchange_Rates!A:B,2,FALSE)</f>
        <v>1.27</v>
      </c>
      <c r="L903" s="4">
        <f t="shared" si="56"/>
        <v>0</v>
      </c>
      <c r="M903" s="4">
        <f t="shared" si="57"/>
        <v>5777.6490999999996</v>
      </c>
      <c r="N903" s="4">
        <f t="shared" si="58"/>
        <v>2023</v>
      </c>
      <c r="O903" s="4">
        <f t="shared" si="59"/>
        <v>1</v>
      </c>
    </row>
    <row r="904" spans="1:15" x14ac:dyDescent="0.25">
      <c r="A904" t="s">
        <v>1847</v>
      </c>
      <c r="B904" s="2">
        <v>45643</v>
      </c>
      <c r="C904" t="s">
        <v>38</v>
      </c>
      <c r="D904" t="s">
        <v>39</v>
      </c>
      <c r="E904">
        <v>1965.36</v>
      </c>
      <c r="F904">
        <v>0</v>
      </c>
      <c r="G904" t="s">
        <v>10</v>
      </c>
      <c r="H904" t="s">
        <v>51</v>
      </c>
      <c r="I904" t="s">
        <v>1848</v>
      </c>
      <c r="J904" t="s">
        <v>64</v>
      </c>
      <c r="K904" s="4">
        <f>VLOOKUP(J904,Exchange_Rates!A:B,2,FALSE)</f>
        <v>0.73</v>
      </c>
      <c r="L904" s="4">
        <f t="shared" si="56"/>
        <v>1434.7127999999998</v>
      </c>
      <c r="M904" s="4">
        <f t="shared" si="57"/>
        <v>0</v>
      </c>
      <c r="N904" s="4">
        <f t="shared" si="58"/>
        <v>2024</v>
      </c>
      <c r="O904" s="4">
        <f t="shared" si="59"/>
        <v>4</v>
      </c>
    </row>
    <row r="905" spans="1:15" x14ac:dyDescent="0.25">
      <c r="A905" t="s">
        <v>1849</v>
      </c>
      <c r="B905" s="2">
        <v>45159</v>
      </c>
      <c r="C905" t="s">
        <v>49</v>
      </c>
      <c r="D905" t="s">
        <v>50</v>
      </c>
      <c r="E905">
        <v>769.49</v>
      </c>
      <c r="F905">
        <v>0</v>
      </c>
      <c r="G905" t="s">
        <v>10</v>
      </c>
      <c r="H905" t="s">
        <v>62</v>
      </c>
      <c r="I905" t="s">
        <v>1850</v>
      </c>
      <c r="J905" t="s">
        <v>28</v>
      </c>
      <c r="K905" s="4">
        <f>VLOOKUP(J905,Exchange_Rates!A:B,2,FALSE)</f>
        <v>1.27</v>
      </c>
      <c r="L905" s="4">
        <f t="shared" si="56"/>
        <v>977.25229999999999</v>
      </c>
      <c r="M905" s="4">
        <f t="shared" si="57"/>
        <v>0</v>
      </c>
      <c r="N905" s="4">
        <f t="shared" si="58"/>
        <v>2023</v>
      </c>
      <c r="O905" s="4">
        <f t="shared" si="59"/>
        <v>3</v>
      </c>
    </row>
    <row r="906" spans="1:15" x14ac:dyDescent="0.25">
      <c r="A906" t="s">
        <v>1851</v>
      </c>
      <c r="B906" s="2">
        <v>45601</v>
      </c>
      <c r="C906" t="s">
        <v>30</v>
      </c>
      <c r="D906" t="s">
        <v>31</v>
      </c>
      <c r="E906">
        <v>743.08</v>
      </c>
      <c r="F906">
        <v>0</v>
      </c>
      <c r="G906" t="s">
        <v>8</v>
      </c>
      <c r="H906" t="s">
        <v>40</v>
      </c>
      <c r="I906" t="s">
        <v>1852</v>
      </c>
      <c r="J906" t="s">
        <v>28</v>
      </c>
      <c r="K906" s="4">
        <f>VLOOKUP(J906,Exchange_Rates!A:B,2,FALSE)</f>
        <v>1.27</v>
      </c>
      <c r="L906" s="4">
        <f t="shared" si="56"/>
        <v>943.71160000000009</v>
      </c>
      <c r="M906" s="4">
        <f t="shared" si="57"/>
        <v>0</v>
      </c>
      <c r="N906" s="4">
        <f t="shared" si="58"/>
        <v>2024</v>
      </c>
      <c r="O906" s="4">
        <f t="shared" si="59"/>
        <v>4</v>
      </c>
    </row>
    <row r="907" spans="1:15" x14ac:dyDescent="0.25">
      <c r="A907" t="s">
        <v>1853</v>
      </c>
      <c r="B907" s="2">
        <v>45145</v>
      </c>
      <c r="C907" t="s">
        <v>38</v>
      </c>
      <c r="D907" t="s">
        <v>39</v>
      </c>
      <c r="E907">
        <v>586.1</v>
      </c>
      <c r="F907">
        <v>0</v>
      </c>
      <c r="G907" t="s">
        <v>13</v>
      </c>
      <c r="H907" t="s">
        <v>62</v>
      </c>
      <c r="I907" t="s">
        <v>1854</v>
      </c>
      <c r="J907" t="s">
        <v>64</v>
      </c>
      <c r="K907" s="4">
        <f>VLOOKUP(J907,Exchange_Rates!A:B,2,FALSE)</f>
        <v>0.73</v>
      </c>
      <c r="L907" s="4">
        <f t="shared" si="56"/>
        <v>427.85300000000001</v>
      </c>
      <c r="M907" s="4">
        <f t="shared" si="57"/>
        <v>0</v>
      </c>
      <c r="N907" s="4">
        <f t="shared" si="58"/>
        <v>2023</v>
      </c>
      <c r="O907" s="4">
        <f t="shared" si="59"/>
        <v>3</v>
      </c>
    </row>
    <row r="908" spans="1:15" x14ac:dyDescent="0.25">
      <c r="A908" t="s">
        <v>1855</v>
      </c>
      <c r="B908" s="2">
        <v>45830</v>
      </c>
      <c r="C908" t="s">
        <v>38</v>
      </c>
      <c r="D908" t="s">
        <v>39</v>
      </c>
      <c r="E908">
        <v>1912.35</v>
      </c>
      <c r="F908">
        <v>0</v>
      </c>
      <c r="G908" t="s">
        <v>11</v>
      </c>
      <c r="H908" t="s">
        <v>26</v>
      </c>
      <c r="I908" t="s">
        <v>1856</v>
      </c>
      <c r="J908" t="s">
        <v>45</v>
      </c>
      <c r="K908" s="4">
        <f>VLOOKUP(J908,Exchange_Rates!A:B,2,FALSE)</f>
        <v>1</v>
      </c>
      <c r="L908" s="4">
        <f t="shared" si="56"/>
        <v>1912.35</v>
      </c>
      <c r="M908" s="4">
        <f t="shared" si="57"/>
        <v>0</v>
      </c>
      <c r="N908" s="4">
        <f t="shared" si="58"/>
        <v>2025</v>
      </c>
      <c r="O908" s="4">
        <f t="shared" si="59"/>
        <v>2</v>
      </c>
    </row>
    <row r="909" spans="1:15" x14ac:dyDescent="0.25">
      <c r="A909" t="s">
        <v>1857</v>
      </c>
      <c r="B909" s="2">
        <v>45054</v>
      </c>
      <c r="C909" t="s">
        <v>38</v>
      </c>
      <c r="D909" t="s">
        <v>39</v>
      </c>
      <c r="E909">
        <v>819.96</v>
      </c>
      <c r="F909">
        <v>0</v>
      </c>
      <c r="G909" t="s">
        <v>12</v>
      </c>
      <c r="H909" t="s">
        <v>34</v>
      </c>
      <c r="I909" t="s">
        <v>1858</v>
      </c>
      <c r="J909" t="s">
        <v>45</v>
      </c>
      <c r="K909" s="4">
        <f>VLOOKUP(J909,Exchange_Rates!A:B,2,FALSE)</f>
        <v>1</v>
      </c>
      <c r="L909" s="4">
        <f t="shared" si="56"/>
        <v>819.96</v>
      </c>
      <c r="M909" s="4">
        <f t="shared" si="57"/>
        <v>0</v>
      </c>
      <c r="N909" s="4">
        <f t="shared" si="58"/>
        <v>2023</v>
      </c>
      <c r="O909" s="4">
        <f t="shared" si="59"/>
        <v>2</v>
      </c>
    </row>
    <row r="910" spans="1:15" x14ac:dyDescent="0.25">
      <c r="A910" t="s">
        <v>1859</v>
      </c>
      <c r="B910" s="2">
        <v>45718</v>
      </c>
      <c r="C910" t="s">
        <v>30</v>
      </c>
      <c r="D910" t="s">
        <v>31</v>
      </c>
      <c r="E910">
        <v>1880.1</v>
      </c>
      <c r="F910">
        <v>0</v>
      </c>
      <c r="G910" t="s">
        <v>10</v>
      </c>
      <c r="H910" t="s">
        <v>34</v>
      </c>
      <c r="I910" t="s">
        <v>1860</v>
      </c>
      <c r="J910" t="s">
        <v>42</v>
      </c>
      <c r="K910" s="4">
        <f>VLOOKUP(J910,Exchange_Rates!A:B,2,FALSE)</f>
        <v>0.66</v>
      </c>
      <c r="L910" s="4">
        <f t="shared" si="56"/>
        <v>1240.866</v>
      </c>
      <c r="M910" s="4">
        <f t="shared" si="57"/>
        <v>0</v>
      </c>
      <c r="N910" s="4">
        <f t="shared" si="58"/>
        <v>2025</v>
      </c>
      <c r="O910" s="4">
        <f t="shared" si="59"/>
        <v>1</v>
      </c>
    </row>
    <row r="911" spans="1:15" x14ac:dyDescent="0.25">
      <c r="A911" t="s">
        <v>1861</v>
      </c>
      <c r="B911" s="2">
        <v>45754</v>
      </c>
      <c r="C911" t="s">
        <v>38</v>
      </c>
      <c r="D911" t="s">
        <v>39</v>
      </c>
      <c r="E911">
        <v>1255.8499999999999</v>
      </c>
      <c r="F911">
        <v>0</v>
      </c>
      <c r="G911" t="s">
        <v>10</v>
      </c>
      <c r="H911" t="s">
        <v>62</v>
      </c>
      <c r="I911" t="s">
        <v>1862</v>
      </c>
      <c r="J911" t="s">
        <v>36</v>
      </c>
      <c r="K911" s="4">
        <f>VLOOKUP(J911,Exchange_Rates!A:B,2,FALSE)</f>
        <v>1.08</v>
      </c>
      <c r="L911" s="4">
        <f t="shared" si="56"/>
        <v>1356.318</v>
      </c>
      <c r="M911" s="4">
        <f t="shared" si="57"/>
        <v>0</v>
      </c>
      <c r="N911" s="4">
        <f t="shared" si="58"/>
        <v>2025</v>
      </c>
      <c r="O911" s="4">
        <f t="shared" si="59"/>
        <v>2</v>
      </c>
    </row>
    <row r="912" spans="1:15" x14ac:dyDescent="0.25">
      <c r="A912" t="s">
        <v>1863</v>
      </c>
      <c r="B912" s="2">
        <v>44954</v>
      </c>
      <c r="C912" t="s">
        <v>60</v>
      </c>
      <c r="D912" t="s">
        <v>61</v>
      </c>
      <c r="E912">
        <v>0</v>
      </c>
      <c r="F912">
        <v>3738.97</v>
      </c>
      <c r="G912" t="s">
        <v>13</v>
      </c>
      <c r="H912" t="s">
        <v>51</v>
      </c>
      <c r="I912" t="s">
        <v>1864</v>
      </c>
      <c r="J912" t="s">
        <v>64</v>
      </c>
      <c r="K912" s="4">
        <f>VLOOKUP(J912,Exchange_Rates!A:B,2,FALSE)</f>
        <v>0.73</v>
      </c>
      <c r="L912" s="4">
        <f t="shared" si="56"/>
        <v>0</v>
      </c>
      <c r="M912" s="4">
        <f t="shared" si="57"/>
        <v>2729.4480999999996</v>
      </c>
      <c r="N912" s="4">
        <f t="shared" si="58"/>
        <v>2023</v>
      </c>
      <c r="O912" s="4">
        <f t="shared" si="59"/>
        <v>1</v>
      </c>
    </row>
    <row r="913" spans="1:15" x14ac:dyDescent="0.25">
      <c r="A913" t="s">
        <v>1865</v>
      </c>
      <c r="B913" s="2">
        <v>45792</v>
      </c>
      <c r="C913" t="s">
        <v>30</v>
      </c>
      <c r="D913" t="s">
        <v>31</v>
      </c>
      <c r="E913">
        <v>50.19</v>
      </c>
      <c r="F913">
        <v>0</v>
      </c>
      <c r="G913" t="s">
        <v>8</v>
      </c>
      <c r="H913" t="s">
        <v>34</v>
      </c>
      <c r="I913" t="s">
        <v>1866</v>
      </c>
      <c r="J913" t="s">
        <v>36</v>
      </c>
      <c r="K913" s="4">
        <f>VLOOKUP(J913,Exchange_Rates!A:B,2,FALSE)</f>
        <v>1.08</v>
      </c>
      <c r="L913" s="4">
        <f t="shared" si="56"/>
        <v>54.205199999999998</v>
      </c>
      <c r="M913" s="4">
        <f t="shared" si="57"/>
        <v>0</v>
      </c>
      <c r="N913" s="4">
        <f t="shared" si="58"/>
        <v>2025</v>
      </c>
      <c r="O913" s="4">
        <f t="shared" si="59"/>
        <v>2</v>
      </c>
    </row>
    <row r="914" spans="1:15" x14ac:dyDescent="0.25">
      <c r="A914" t="s">
        <v>1867</v>
      </c>
      <c r="B914" s="2">
        <v>45549</v>
      </c>
      <c r="C914" t="s">
        <v>49</v>
      </c>
      <c r="D914" t="s">
        <v>50</v>
      </c>
      <c r="E914">
        <v>608.52</v>
      </c>
      <c r="F914">
        <v>0</v>
      </c>
      <c r="G914" t="s">
        <v>11</v>
      </c>
      <c r="H914" t="s">
        <v>34</v>
      </c>
      <c r="I914" t="s">
        <v>1868</v>
      </c>
      <c r="J914" t="s">
        <v>36</v>
      </c>
      <c r="K914" s="4">
        <f>VLOOKUP(J914,Exchange_Rates!A:B,2,FALSE)</f>
        <v>1.08</v>
      </c>
      <c r="L914" s="4">
        <f t="shared" si="56"/>
        <v>657.20159999999998</v>
      </c>
      <c r="M914" s="4">
        <f t="shared" si="57"/>
        <v>0</v>
      </c>
      <c r="N914" s="4">
        <f t="shared" si="58"/>
        <v>2024</v>
      </c>
      <c r="O914" s="4">
        <f t="shared" si="59"/>
        <v>3</v>
      </c>
    </row>
    <row r="915" spans="1:15" x14ac:dyDescent="0.25">
      <c r="A915" t="s">
        <v>1869</v>
      </c>
      <c r="B915" s="2">
        <v>45560</v>
      </c>
      <c r="C915" t="s">
        <v>49</v>
      </c>
      <c r="D915" t="s">
        <v>50</v>
      </c>
      <c r="E915">
        <v>287.52</v>
      </c>
      <c r="F915">
        <v>0</v>
      </c>
      <c r="G915" t="s">
        <v>8</v>
      </c>
      <c r="H915" t="s">
        <v>62</v>
      </c>
      <c r="I915" t="s">
        <v>1870</v>
      </c>
      <c r="J915" t="s">
        <v>45</v>
      </c>
      <c r="K915" s="4">
        <f>VLOOKUP(J915,Exchange_Rates!A:B,2,FALSE)</f>
        <v>1</v>
      </c>
      <c r="L915" s="4">
        <f t="shared" si="56"/>
        <v>287.52</v>
      </c>
      <c r="M915" s="4">
        <f t="shared" si="57"/>
        <v>0</v>
      </c>
      <c r="N915" s="4">
        <f t="shared" si="58"/>
        <v>2024</v>
      </c>
      <c r="O915" s="4">
        <f t="shared" si="59"/>
        <v>3</v>
      </c>
    </row>
    <row r="916" spans="1:15" x14ac:dyDescent="0.25">
      <c r="A916" t="s">
        <v>1871</v>
      </c>
      <c r="B916" s="2">
        <v>45288</v>
      </c>
      <c r="C916" t="s">
        <v>38</v>
      </c>
      <c r="D916" t="s">
        <v>39</v>
      </c>
      <c r="E916">
        <v>1749.98</v>
      </c>
      <c r="F916">
        <v>0</v>
      </c>
      <c r="G916" t="s">
        <v>8</v>
      </c>
      <c r="H916" t="s">
        <v>40</v>
      </c>
      <c r="I916" t="s">
        <v>1872</v>
      </c>
      <c r="J916" t="s">
        <v>64</v>
      </c>
      <c r="K916" s="4">
        <f>VLOOKUP(J916,Exchange_Rates!A:B,2,FALSE)</f>
        <v>0.73</v>
      </c>
      <c r="L916" s="4">
        <f t="shared" si="56"/>
        <v>1277.4854</v>
      </c>
      <c r="M916" s="4">
        <f t="shared" si="57"/>
        <v>0</v>
      </c>
      <c r="N916" s="4">
        <f t="shared" si="58"/>
        <v>2023</v>
      </c>
      <c r="O916" s="4">
        <f t="shared" si="59"/>
        <v>4</v>
      </c>
    </row>
    <row r="917" spans="1:15" x14ac:dyDescent="0.25">
      <c r="A917" t="s">
        <v>1873</v>
      </c>
      <c r="B917" s="2">
        <v>45650</v>
      </c>
      <c r="C917" t="s">
        <v>30</v>
      </c>
      <c r="D917" t="s">
        <v>31</v>
      </c>
      <c r="E917">
        <v>221.12</v>
      </c>
      <c r="F917">
        <v>0</v>
      </c>
      <c r="G917" t="s">
        <v>12</v>
      </c>
      <c r="H917" t="s">
        <v>34</v>
      </c>
      <c r="I917" t="s">
        <v>1874</v>
      </c>
      <c r="J917" t="s">
        <v>42</v>
      </c>
      <c r="K917" s="4">
        <f>VLOOKUP(J917,Exchange_Rates!A:B,2,FALSE)</f>
        <v>0.66</v>
      </c>
      <c r="L917" s="4">
        <f t="shared" si="56"/>
        <v>145.9392</v>
      </c>
      <c r="M917" s="4">
        <f t="shared" si="57"/>
        <v>0</v>
      </c>
      <c r="N917" s="4">
        <f t="shared" si="58"/>
        <v>2024</v>
      </c>
      <c r="O917" s="4">
        <f t="shared" si="59"/>
        <v>4</v>
      </c>
    </row>
    <row r="918" spans="1:15" x14ac:dyDescent="0.25">
      <c r="A918" t="s">
        <v>1875</v>
      </c>
      <c r="B918" s="2">
        <v>45594</v>
      </c>
      <c r="C918" t="s">
        <v>30</v>
      </c>
      <c r="D918" t="s">
        <v>31</v>
      </c>
      <c r="E918">
        <v>1012.53</v>
      </c>
      <c r="F918">
        <v>0</v>
      </c>
      <c r="G918" t="s">
        <v>9</v>
      </c>
      <c r="H918" t="s">
        <v>40</v>
      </c>
      <c r="I918" t="s">
        <v>1876</v>
      </c>
      <c r="J918" t="s">
        <v>64</v>
      </c>
      <c r="K918" s="4">
        <f>VLOOKUP(J918,Exchange_Rates!A:B,2,FALSE)</f>
        <v>0.73</v>
      </c>
      <c r="L918" s="4">
        <f t="shared" si="56"/>
        <v>739.14689999999996</v>
      </c>
      <c r="M918" s="4">
        <f t="shared" si="57"/>
        <v>0</v>
      </c>
      <c r="N918" s="4">
        <f t="shared" si="58"/>
        <v>2024</v>
      </c>
      <c r="O918" s="4">
        <f t="shared" si="59"/>
        <v>4</v>
      </c>
    </row>
    <row r="919" spans="1:15" x14ac:dyDescent="0.25">
      <c r="A919" t="s">
        <v>1877</v>
      </c>
      <c r="B919" s="2">
        <v>45134</v>
      </c>
      <c r="C919" t="s">
        <v>60</v>
      </c>
      <c r="D919" t="s">
        <v>61</v>
      </c>
      <c r="E919">
        <v>0</v>
      </c>
      <c r="F919">
        <v>542.16999999999996</v>
      </c>
      <c r="G919" t="s">
        <v>13</v>
      </c>
      <c r="H919" t="s">
        <v>34</v>
      </c>
      <c r="I919" t="s">
        <v>1878</v>
      </c>
      <c r="J919" t="s">
        <v>28</v>
      </c>
      <c r="K919" s="4">
        <f>VLOOKUP(J919,Exchange_Rates!A:B,2,FALSE)</f>
        <v>1.27</v>
      </c>
      <c r="L919" s="4">
        <f t="shared" si="56"/>
        <v>0</v>
      </c>
      <c r="M919" s="4">
        <f t="shared" si="57"/>
        <v>688.55589999999995</v>
      </c>
      <c r="N919" s="4">
        <f t="shared" si="58"/>
        <v>2023</v>
      </c>
      <c r="O919" s="4">
        <f t="shared" si="59"/>
        <v>3</v>
      </c>
    </row>
    <row r="920" spans="1:15" x14ac:dyDescent="0.25">
      <c r="A920" t="s">
        <v>1879</v>
      </c>
      <c r="B920" s="2">
        <v>45739</v>
      </c>
      <c r="C920" t="s">
        <v>49</v>
      </c>
      <c r="D920" t="s">
        <v>50</v>
      </c>
      <c r="E920">
        <v>580.21</v>
      </c>
      <c r="F920">
        <v>0</v>
      </c>
      <c r="G920" t="s">
        <v>11</v>
      </c>
      <c r="H920" t="s">
        <v>62</v>
      </c>
      <c r="I920" t="s">
        <v>1880</v>
      </c>
      <c r="J920" t="s">
        <v>36</v>
      </c>
      <c r="K920" s="4">
        <f>VLOOKUP(J920,Exchange_Rates!A:B,2,FALSE)</f>
        <v>1.08</v>
      </c>
      <c r="L920" s="4">
        <f t="shared" si="56"/>
        <v>626.62680000000012</v>
      </c>
      <c r="M920" s="4">
        <f t="shared" si="57"/>
        <v>0</v>
      </c>
      <c r="N920" s="4">
        <f t="shared" si="58"/>
        <v>2025</v>
      </c>
      <c r="O920" s="4">
        <f t="shared" si="59"/>
        <v>1</v>
      </c>
    </row>
    <row r="921" spans="1:15" x14ac:dyDescent="0.25">
      <c r="A921" t="s">
        <v>1881</v>
      </c>
      <c r="B921" s="2">
        <v>44930</v>
      </c>
      <c r="C921" t="s">
        <v>49</v>
      </c>
      <c r="D921" t="s">
        <v>50</v>
      </c>
      <c r="E921">
        <v>739.56</v>
      </c>
      <c r="F921">
        <v>0</v>
      </c>
      <c r="G921" t="s">
        <v>8</v>
      </c>
      <c r="H921" t="s">
        <v>40</v>
      </c>
      <c r="I921" t="s">
        <v>1882</v>
      </c>
      <c r="J921" t="s">
        <v>42</v>
      </c>
      <c r="K921" s="4">
        <f>VLOOKUP(J921,Exchange_Rates!A:B,2,FALSE)</f>
        <v>0.66</v>
      </c>
      <c r="L921" s="4">
        <f t="shared" si="56"/>
        <v>488.1096</v>
      </c>
      <c r="M921" s="4">
        <f t="shared" si="57"/>
        <v>0</v>
      </c>
      <c r="N921" s="4">
        <f t="shared" si="58"/>
        <v>2023</v>
      </c>
      <c r="O921" s="4">
        <f t="shared" si="59"/>
        <v>1</v>
      </c>
    </row>
    <row r="922" spans="1:15" x14ac:dyDescent="0.25">
      <c r="A922" t="s">
        <v>1883</v>
      </c>
      <c r="B922" s="2">
        <v>45604</v>
      </c>
      <c r="C922" t="s">
        <v>30</v>
      </c>
      <c r="D922" t="s">
        <v>31</v>
      </c>
      <c r="E922">
        <v>1657.23</v>
      </c>
      <c r="F922">
        <v>0</v>
      </c>
      <c r="G922" t="s">
        <v>11</v>
      </c>
      <c r="H922" t="s">
        <v>51</v>
      </c>
      <c r="I922" t="s">
        <v>1884</v>
      </c>
      <c r="J922" t="s">
        <v>42</v>
      </c>
      <c r="K922" s="4">
        <f>VLOOKUP(J922,Exchange_Rates!A:B,2,FALSE)</f>
        <v>0.66</v>
      </c>
      <c r="L922" s="4">
        <f t="shared" si="56"/>
        <v>1093.7718</v>
      </c>
      <c r="M922" s="4">
        <f t="shared" si="57"/>
        <v>0</v>
      </c>
      <c r="N922" s="4">
        <f t="shared" si="58"/>
        <v>2024</v>
      </c>
      <c r="O922" s="4">
        <f t="shared" si="59"/>
        <v>4</v>
      </c>
    </row>
    <row r="923" spans="1:15" x14ac:dyDescent="0.25">
      <c r="A923" t="s">
        <v>1885</v>
      </c>
      <c r="B923" s="2">
        <v>45440</v>
      </c>
      <c r="C923" t="s">
        <v>38</v>
      </c>
      <c r="D923" t="s">
        <v>39</v>
      </c>
      <c r="E923">
        <v>1181.06</v>
      </c>
      <c r="F923">
        <v>0</v>
      </c>
      <c r="G923" t="s">
        <v>11</v>
      </c>
      <c r="H923" t="s">
        <v>40</v>
      </c>
      <c r="I923" t="s">
        <v>1886</v>
      </c>
      <c r="J923" t="s">
        <v>64</v>
      </c>
      <c r="K923" s="4">
        <f>VLOOKUP(J923,Exchange_Rates!A:B,2,FALSE)</f>
        <v>0.73</v>
      </c>
      <c r="L923" s="4">
        <f t="shared" si="56"/>
        <v>862.17379999999991</v>
      </c>
      <c r="M923" s="4">
        <f t="shared" si="57"/>
        <v>0</v>
      </c>
      <c r="N923" s="4">
        <f t="shared" si="58"/>
        <v>2024</v>
      </c>
      <c r="O923" s="4">
        <f t="shared" si="59"/>
        <v>2</v>
      </c>
    </row>
    <row r="924" spans="1:15" x14ac:dyDescent="0.25">
      <c r="A924" t="s">
        <v>1887</v>
      </c>
      <c r="B924" s="2">
        <v>45332</v>
      </c>
      <c r="C924" t="s">
        <v>49</v>
      </c>
      <c r="D924" t="s">
        <v>50</v>
      </c>
      <c r="E924">
        <v>944.72</v>
      </c>
      <c r="F924">
        <v>0</v>
      </c>
      <c r="G924" t="s">
        <v>10</v>
      </c>
      <c r="H924" t="s">
        <v>62</v>
      </c>
      <c r="I924" t="s">
        <v>1888</v>
      </c>
      <c r="J924" t="s">
        <v>36</v>
      </c>
      <c r="K924" s="4">
        <f>VLOOKUP(J924,Exchange_Rates!A:B,2,FALSE)</f>
        <v>1.08</v>
      </c>
      <c r="L924" s="4">
        <f t="shared" si="56"/>
        <v>1020.2976000000001</v>
      </c>
      <c r="M924" s="4">
        <f t="shared" si="57"/>
        <v>0</v>
      </c>
      <c r="N924" s="4">
        <f t="shared" si="58"/>
        <v>2024</v>
      </c>
      <c r="O924" s="4">
        <f t="shared" si="59"/>
        <v>1</v>
      </c>
    </row>
    <row r="925" spans="1:15" x14ac:dyDescent="0.25">
      <c r="A925" t="s">
        <v>1889</v>
      </c>
      <c r="B925" s="2">
        <v>45345</v>
      </c>
      <c r="C925" t="s">
        <v>24</v>
      </c>
      <c r="D925" t="s">
        <v>25</v>
      </c>
      <c r="E925">
        <v>0</v>
      </c>
      <c r="F925">
        <v>3496.47</v>
      </c>
      <c r="G925" t="s">
        <v>12</v>
      </c>
      <c r="H925" t="s">
        <v>51</v>
      </c>
      <c r="I925" t="s">
        <v>1890</v>
      </c>
      <c r="J925" t="s">
        <v>45</v>
      </c>
      <c r="K925" s="4">
        <f>VLOOKUP(J925,Exchange_Rates!A:B,2,FALSE)</f>
        <v>1</v>
      </c>
      <c r="L925" s="4">
        <f t="shared" si="56"/>
        <v>0</v>
      </c>
      <c r="M925" s="4">
        <f t="shared" si="57"/>
        <v>3496.47</v>
      </c>
      <c r="N925" s="4">
        <f t="shared" si="58"/>
        <v>2024</v>
      </c>
      <c r="O925" s="4">
        <f t="shared" si="59"/>
        <v>1</v>
      </c>
    </row>
    <row r="926" spans="1:15" x14ac:dyDescent="0.25">
      <c r="A926" t="s">
        <v>1891</v>
      </c>
      <c r="B926" s="2">
        <v>45373</v>
      </c>
      <c r="C926" t="s">
        <v>24</v>
      </c>
      <c r="D926" t="s">
        <v>25</v>
      </c>
      <c r="E926">
        <v>0</v>
      </c>
      <c r="F926">
        <v>389.32</v>
      </c>
      <c r="G926" t="s">
        <v>10</v>
      </c>
      <c r="H926" t="s">
        <v>26</v>
      </c>
      <c r="I926" t="s">
        <v>1892</v>
      </c>
      <c r="J926" t="s">
        <v>45</v>
      </c>
      <c r="K926" s="4">
        <f>VLOOKUP(J926,Exchange_Rates!A:B,2,FALSE)</f>
        <v>1</v>
      </c>
      <c r="L926" s="4">
        <f t="shared" si="56"/>
        <v>0</v>
      </c>
      <c r="M926" s="4">
        <f t="shared" si="57"/>
        <v>389.32</v>
      </c>
      <c r="N926" s="4">
        <f t="shared" si="58"/>
        <v>2024</v>
      </c>
      <c r="O926" s="4">
        <f t="shared" si="59"/>
        <v>1</v>
      </c>
    </row>
    <row r="927" spans="1:15" x14ac:dyDescent="0.25">
      <c r="A927" t="s">
        <v>1893</v>
      </c>
      <c r="B927" s="2">
        <v>45326</v>
      </c>
      <c r="C927" t="s">
        <v>60</v>
      </c>
      <c r="D927" t="s">
        <v>61</v>
      </c>
      <c r="E927">
        <v>0</v>
      </c>
      <c r="F927">
        <v>2071.73</v>
      </c>
      <c r="G927" t="s">
        <v>8</v>
      </c>
      <c r="H927" t="s">
        <v>26</v>
      </c>
      <c r="I927" t="s">
        <v>1894</v>
      </c>
      <c r="J927" t="s">
        <v>28</v>
      </c>
      <c r="K927" s="4">
        <f>VLOOKUP(J927,Exchange_Rates!A:B,2,FALSE)</f>
        <v>1.27</v>
      </c>
      <c r="L927" s="4">
        <f t="shared" si="56"/>
        <v>0</v>
      </c>
      <c r="M927" s="4">
        <f t="shared" si="57"/>
        <v>2631.0971</v>
      </c>
      <c r="N927" s="4">
        <f t="shared" si="58"/>
        <v>2024</v>
      </c>
      <c r="O927" s="4">
        <f t="shared" si="59"/>
        <v>1</v>
      </c>
    </row>
    <row r="928" spans="1:15" x14ac:dyDescent="0.25">
      <c r="A928" t="s">
        <v>1895</v>
      </c>
      <c r="B928" s="2">
        <v>45535</v>
      </c>
      <c r="C928" t="s">
        <v>30</v>
      </c>
      <c r="D928" t="s">
        <v>31</v>
      </c>
      <c r="E928">
        <v>1719.48</v>
      </c>
      <c r="F928">
        <v>0</v>
      </c>
      <c r="G928" t="s">
        <v>9</v>
      </c>
      <c r="H928" t="s">
        <v>51</v>
      </c>
      <c r="I928" t="s">
        <v>1896</v>
      </c>
      <c r="J928" t="s">
        <v>64</v>
      </c>
      <c r="K928" s="4">
        <f>VLOOKUP(J928,Exchange_Rates!A:B,2,FALSE)</f>
        <v>0.73</v>
      </c>
      <c r="L928" s="4">
        <f t="shared" si="56"/>
        <v>1255.2203999999999</v>
      </c>
      <c r="M928" s="4">
        <f t="shared" si="57"/>
        <v>0</v>
      </c>
      <c r="N928" s="4">
        <f t="shared" si="58"/>
        <v>2024</v>
      </c>
      <c r="O928" s="4">
        <f t="shared" si="59"/>
        <v>3</v>
      </c>
    </row>
    <row r="929" spans="1:15" x14ac:dyDescent="0.25">
      <c r="A929" t="s">
        <v>1897</v>
      </c>
      <c r="B929" s="2">
        <v>45703</v>
      </c>
      <c r="C929" t="s">
        <v>38</v>
      </c>
      <c r="D929" t="s">
        <v>39</v>
      </c>
      <c r="E929">
        <v>260.58</v>
      </c>
      <c r="F929">
        <v>0</v>
      </c>
      <c r="G929" t="s">
        <v>12</v>
      </c>
      <c r="H929" t="s">
        <v>40</v>
      </c>
      <c r="I929" t="s">
        <v>1898</v>
      </c>
      <c r="J929" t="s">
        <v>28</v>
      </c>
      <c r="K929" s="4">
        <f>VLOOKUP(J929,Exchange_Rates!A:B,2,FALSE)</f>
        <v>1.27</v>
      </c>
      <c r="L929" s="4">
        <f t="shared" si="56"/>
        <v>330.9366</v>
      </c>
      <c r="M929" s="4">
        <f t="shared" si="57"/>
        <v>0</v>
      </c>
      <c r="N929" s="4">
        <f t="shared" si="58"/>
        <v>2025</v>
      </c>
      <c r="O929" s="4">
        <f t="shared" si="59"/>
        <v>1</v>
      </c>
    </row>
    <row r="930" spans="1:15" x14ac:dyDescent="0.25">
      <c r="A930" t="s">
        <v>1899</v>
      </c>
      <c r="B930" s="2">
        <v>44951</v>
      </c>
      <c r="C930" t="s">
        <v>49</v>
      </c>
      <c r="D930" t="s">
        <v>50</v>
      </c>
      <c r="E930">
        <v>79.59</v>
      </c>
      <c r="F930">
        <v>0</v>
      </c>
      <c r="G930" t="s">
        <v>11</v>
      </c>
      <c r="H930" t="s">
        <v>34</v>
      </c>
      <c r="I930" t="s">
        <v>1900</v>
      </c>
      <c r="J930" t="s">
        <v>45</v>
      </c>
      <c r="K930" s="4">
        <f>VLOOKUP(J930,Exchange_Rates!A:B,2,FALSE)</f>
        <v>1</v>
      </c>
      <c r="L930" s="4">
        <f t="shared" si="56"/>
        <v>79.59</v>
      </c>
      <c r="M930" s="4">
        <f t="shared" si="57"/>
        <v>0</v>
      </c>
      <c r="N930" s="4">
        <f t="shared" si="58"/>
        <v>2023</v>
      </c>
      <c r="O930" s="4">
        <f t="shared" si="59"/>
        <v>1</v>
      </c>
    </row>
    <row r="931" spans="1:15" x14ac:dyDescent="0.25">
      <c r="A931" t="s">
        <v>1901</v>
      </c>
      <c r="B931" s="2">
        <v>45445</v>
      </c>
      <c r="C931" t="s">
        <v>60</v>
      </c>
      <c r="D931" t="s">
        <v>61</v>
      </c>
      <c r="E931">
        <v>0</v>
      </c>
      <c r="F931">
        <v>2860.93</v>
      </c>
      <c r="G931" t="s">
        <v>10</v>
      </c>
      <c r="H931" t="s">
        <v>62</v>
      </c>
      <c r="I931" t="s">
        <v>1902</v>
      </c>
      <c r="J931" t="s">
        <v>64</v>
      </c>
      <c r="K931" s="4">
        <f>VLOOKUP(J931,Exchange_Rates!A:B,2,FALSE)</f>
        <v>0.73</v>
      </c>
      <c r="L931" s="4">
        <f t="shared" si="56"/>
        <v>0</v>
      </c>
      <c r="M931" s="4">
        <f t="shared" si="57"/>
        <v>2088.4788999999996</v>
      </c>
      <c r="N931" s="4">
        <f t="shared" si="58"/>
        <v>2024</v>
      </c>
      <c r="O931" s="4">
        <f t="shared" si="59"/>
        <v>2</v>
      </c>
    </row>
    <row r="932" spans="1:15" x14ac:dyDescent="0.25">
      <c r="A932" t="s">
        <v>1903</v>
      </c>
      <c r="B932" s="2">
        <v>45525</v>
      </c>
      <c r="C932" t="s">
        <v>60</v>
      </c>
      <c r="D932" t="s">
        <v>61</v>
      </c>
      <c r="E932">
        <v>0</v>
      </c>
      <c r="F932">
        <v>4074.77</v>
      </c>
      <c r="G932" t="s">
        <v>12</v>
      </c>
      <c r="H932" t="s">
        <v>34</v>
      </c>
      <c r="I932" t="s">
        <v>1904</v>
      </c>
      <c r="J932" t="s">
        <v>36</v>
      </c>
      <c r="K932" s="4">
        <f>VLOOKUP(J932,Exchange_Rates!A:B,2,FALSE)</f>
        <v>1.08</v>
      </c>
      <c r="L932" s="4">
        <f t="shared" si="56"/>
        <v>0</v>
      </c>
      <c r="M932" s="4">
        <f t="shared" si="57"/>
        <v>4400.7516000000005</v>
      </c>
      <c r="N932" s="4">
        <f t="shared" si="58"/>
        <v>2024</v>
      </c>
      <c r="O932" s="4">
        <f t="shared" si="59"/>
        <v>3</v>
      </c>
    </row>
    <row r="933" spans="1:15" x14ac:dyDescent="0.25">
      <c r="A933" t="s">
        <v>1905</v>
      </c>
      <c r="B933" s="2">
        <v>45683</v>
      </c>
      <c r="C933" t="s">
        <v>60</v>
      </c>
      <c r="D933" t="s">
        <v>61</v>
      </c>
      <c r="E933">
        <v>0</v>
      </c>
      <c r="F933">
        <v>4702.84</v>
      </c>
      <c r="G933" t="s">
        <v>8</v>
      </c>
      <c r="H933" t="s">
        <v>51</v>
      </c>
      <c r="I933" t="s">
        <v>1906</v>
      </c>
      <c r="J933" t="s">
        <v>28</v>
      </c>
      <c r="K933" s="4">
        <f>VLOOKUP(J933,Exchange_Rates!A:B,2,FALSE)</f>
        <v>1.27</v>
      </c>
      <c r="L933" s="4">
        <f t="shared" si="56"/>
        <v>0</v>
      </c>
      <c r="M933" s="4">
        <f t="shared" si="57"/>
        <v>5972.6068000000005</v>
      </c>
      <c r="N933" s="4">
        <f t="shared" si="58"/>
        <v>2025</v>
      </c>
      <c r="O933" s="4">
        <f t="shared" si="59"/>
        <v>1</v>
      </c>
    </row>
    <row r="934" spans="1:15" x14ac:dyDescent="0.25">
      <c r="A934" t="s">
        <v>1907</v>
      </c>
      <c r="B934" s="2">
        <v>45242</v>
      </c>
      <c r="C934" t="s">
        <v>49</v>
      </c>
      <c r="D934" t="s">
        <v>50</v>
      </c>
      <c r="E934">
        <v>920.32</v>
      </c>
      <c r="F934">
        <v>0</v>
      </c>
      <c r="G934" t="s">
        <v>10</v>
      </c>
      <c r="H934" t="s">
        <v>26</v>
      </c>
      <c r="I934" t="s">
        <v>1908</v>
      </c>
      <c r="J934" t="s">
        <v>36</v>
      </c>
      <c r="K934" s="4">
        <f>VLOOKUP(J934,Exchange_Rates!A:B,2,FALSE)</f>
        <v>1.08</v>
      </c>
      <c r="L934" s="4">
        <f t="shared" si="56"/>
        <v>993.94560000000013</v>
      </c>
      <c r="M934" s="4">
        <f t="shared" si="57"/>
        <v>0</v>
      </c>
      <c r="N934" s="4">
        <f t="shared" si="58"/>
        <v>2023</v>
      </c>
      <c r="O934" s="4">
        <f t="shared" si="59"/>
        <v>4</v>
      </c>
    </row>
    <row r="935" spans="1:15" x14ac:dyDescent="0.25">
      <c r="A935" t="s">
        <v>1909</v>
      </c>
      <c r="B935" s="2">
        <v>45164</v>
      </c>
      <c r="C935" t="s">
        <v>60</v>
      </c>
      <c r="D935" t="s">
        <v>61</v>
      </c>
      <c r="E935">
        <v>0</v>
      </c>
      <c r="F935">
        <v>1564.55</v>
      </c>
      <c r="G935" t="s">
        <v>10</v>
      </c>
      <c r="H935" t="s">
        <v>62</v>
      </c>
      <c r="I935" t="s">
        <v>1910</v>
      </c>
      <c r="J935" t="s">
        <v>64</v>
      </c>
      <c r="K935" s="4">
        <f>VLOOKUP(J935,Exchange_Rates!A:B,2,FALSE)</f>
        <v>0.73</v>
      </c>
      <c r="L935" s="4">
        <f t="shared" si="56"/>
        <v>0</v>
      </c>
      <c r="M935" s="4">
        <f t="shared" si="57"/>
        <v>1142.1215</v>
      </c>
      <c r="N935" s="4">
        <f t="shared" si="58"/>
        <v>2023</v>
      </c>
      <c r="O935" s="4">
        <f t="shared" si="59"/>
        <v>3</v>
      </c>
    </row>
    <row r="936" spans="1:15" x14ac:dyDescent="0.25">
      <c r="A936" t="s">
        <v>1911</v>
      </c>
      <c r="B936" s="2">
        <v>45425</v>
      </c>
      <c r="C936" t="s">
        <v>60</v>
      </c>
      <c r="D936" t="s">
        <v>61</v>
      </c>
      <c r="E936">
        <v>0</v>
      </c>
      <c r="F936">
        <v>2984.56</v>
      </c>
      <c r="G936" t="s">
        <v>13</v>
      </c>
      <c r="H936" t="s">
        <v>40</v>
      </c>
      <c r="I936" t="s">
        <v>1912</v>
      </c>
      <c r="J936" t="s">
        <v>42</v>
      </c>
      <c r="K936" s="4">
        <f>VLOOKUP(J936,Exchange_Rates!A:B,2,FALSE)</f>
        <v>0.66</v>
      </c>
      <c r="L936" s="4">
        <f t="shared" si="56"/>
        <v>0</v>
      </c>
      <c r="M936" s="4">
        <f t="shared" si="57"/>
        <v>1969.8096</v>
      </c>
      <c r="N936" s="4">
        <f t="shared" si="58"/>
        <v>2024</v>
      </c>
      <c r="O936" s="4">
        <f t="shared" si="59"/>
        <v>2</v>
      </c>
    </row>
    <row r="937" spans="1:15" x14ac:dyDescent="0.25">
      <c r="A937" t="s">
        <v>1913</v>
      </c>
      <c r="B937" s="2">
        <v>45399</v>
      </c>
      <c r="C937" t="s">
        <v>60</v>
      </c>
      <c r="D937" t="s">
        <v>61</v>
      </c>
      <c r="E937">
        <v>0</v>
      </c>
      <c r="F937">
        <v>4352.6000000000004</v>
      </c>
      <c r="G937" t="s">
        <v>9</v>
      </c>
      <c r="H937" t="s">
        <v>62</v>
      </c>
      <c r="I937" t="s">
        <v>1914</v>
      </c>
      <c r="J937" t="s">
        <v>64</v>
      </c>
      <c r="K937" s="4">
        <f>VLOOKUP(J937,Exchange_Rates!A:B,2,FALSE)</f>
        <v>0.73</v>
      </c>
      <c r="L937" s="4">
        <f t="shared" si="56"/>
        <v>0</v>
      </c>
      <c r="M937" s="4">
        <f t="shared" si="57"/>
        <v>3177.3980000000001</v>
      </c>
      <c r="N937" s="4">
        <f t="shared" si="58"/>
        <v>2024</v>
      </c>
      <c r="O937" s="4">
        <f t="shared" si="59"/>
        <v>2</v>
      </c>
    </row>
    <row r="938" spans="1:15" x14ac:dyDescent="0.25">
      <c r="A938" t="s">
        <v>1915</v>
      </c>
      <c r="B938" s="2">
        <v>45650</v>
      </c>
      <c r="C938" t="s">
        <v>60</v>
      </c>
      <c r="D938" t="s">
        <v>61</v>
      </c>
      <c r="E938">
        <v>0</v>
      </c>
      <c r="F938">
        <v>1861.57</v>
      </c>
      <c r="G938" t="s">
        <v>13</v>
      </c>
      <c r="H938" t="s">
        <v>26</v>
      </c>
      <c r="I938" t="s">
        <v>1916</v>
      </c>
      <c r="J938" t="s">
        <v>45</v>
      </c>
      <c r="K938" s="4">
        <f>VLOOKUP(J938,Exchange_Rates!A:B,2,FALSE)</f>
        <v>1</v>
      </c>
      <c r="L938" s="4">
        <f t="shared" si="56"/>
        <v>0</v>
      </c>
      <c r="M938" s="4">
        <f t="shared" si="57"/>
        <v>1861.57</v>
      </c>
      <c r="N938" s="4">
        <f t="shared" si="58"/>
        <v>2024</v>
      </c>
      <c r="O938" s="4">
        <f t="shared" si="59"/>
        <v>4</v>
      </c>
    </row>
    <row r="939" spans="1:15" x14ac:dyDescent="0.25">
      <c r="A939" t="s">
        <v>1917</v>
      </c>
      <c r="B939" s="2">
        <v>45007</v>
      </c>
      <c r="C939" t="s">
        <v>60</v>
      </c>
      <c r="D939" t="s">
        <v>61</v>
      </c>
      <c r="E939">
        <v>0</v>
      </c>
      <c r="F939">
        <v>1431.79</v>
      </c>
      <c r="G939" t="s">
        <v>9</v>
      </c>
      <c r="H939" t="s">
        <v>34</v>
      </c>
      <c r="I939" t="s">
        <v>1918</v>
      </c>
      <c r="J939" t="s">
        <v>64</v>
      </c>
      <c r="K939" s="4">
        <f>VLOOKUP(J939,Exchange_Rates!A:B,2,FALSE)</f>
        <v>0.73</v>
      </c>
      <c r="L939" s="4">
        <f t="shared" si="56"/>
        <v>0</v>
      </c>
      <c r="M939" s="4">
        <f t="shared" si="57"/>
        <v>1045.2067</v>
      </c>
      <c r="N939" s="4">
        <f t="shared" si="58"/>
        <v>2023</v>
      </c>
      <c r="O939" s="4">
        <f t="shared" si="59"/>
        <v>1</v>
      </c>
    </row>
    <row r="940" spans="1:15" x14ac:dyDescent="0.25">
      <c r="A940" t="s">
        <v>1919</v>
      </c>
      <c r="B940" s="2">
        <v>45751</v>
      </c>
      <c r="C940" t="s">
        <v>60</v>
      </c>
      <c r="D940" t="s">
        <v>61</v>
      </c>
      <c r="E940">
        <v>0</v>
      </c>
      <c r="F940">
        <v>3515.1</v>
      </c>
      <c r="G940" t="s">
        <v>9</v>
      </c>
      <c r="H940" t="s">
        <v>26</v>
      </c>
      <c r="I940" t="s">
        <v>1920</v>
      </c>
      <c r="J940" t="s">
        <v>42</v>
      </c>
      <c r="K940" s="4">
        <f>VLOOKUP(J940,Exchange_Rates!A:B,2,FALSE)</f>
        <v>0.66</v>
      </c>
      <c r="L940" s="4">
        <f t="shared" si="56"/>
        <v>0</v>
      </c>
      <c r="M940" s="4">
        <f t="shared" si="57"/>
        <v>2319.9659999999999</v>
      </c>
      <c r="N940" s="4">
        <f t="shared" si="58"/>
        <v>2025</v>
      </c>
      <c r="O940" s="4">
        <f t="shared" si="59"/>
        <v>2</v>
      </c>
    </row>
    <row r="941" spans="1:15" x14ac:dyDescent="0.25">
      <c r="A941" t="s">
        <v>1921</v>
      </c>
      <c r="B941" s="2">
        <v>45116</v>
      </c>
      <c r="C941" t="s">
        <v>30</v>
      </c>
      <c r="D941" t="s">
        <v>31</v>
      </c>
      <c r="E941">
        <v>547.15</v>
      </c>
      <c r="F941">
        <v>0</v>
      </c>
      <c r="G941" t="s">
        <v>11</v>
      </c>
      <c r="H941" t="s">
        <v>26</v>
      </c>
      <c r="I941" t="s">
        <v>1922</v>
      </c>
      <c r="J941" t="s">
        <v>36</v>
      </c>
      <c r="K941" s="4">
        <f>VLOOKUP(J941,Exchange_Rates!A:B,2,FALSE)</f>
        <v>1.08</v>
      </c>
      <c r="L941" s="4">
        <f t="shared" si="56"/>
        <v>590.92200000000003</v>
      </c>
      <c r="M941" s="4">
        <f t="shared" si="57"/>
        <v>0</v>
      </c>
      <c r="N941" s="4">
        <f t="shared" si="58"/>
        <v>2023</v>
      </c>
      <c r="O941" s="4">
        <f t="shared" si="59"/>
        <v>3</v>
      </c>
    </row>
    <row r="942" spans="1:15" x14ac:dyDescent="0.25">
      <c r="A942" t="s">
        <v>1923</v>
      </c>
      <c r="B942" s="2">
        <v>45248</v>
      </c>
      <c r="C942" t="s">
        <v>24</v>
      </c>
      <c r="D942" t="s">
        <v>25</v>
      </c>
      <c r="E942">
        <v>0</v>
      </c>
      <c r="F942">
        <v>2941.46</v>
      </c>
      <c r="G942" t="s">
        <v>9</v>
      </c>
      <c r="H942" t="s">
        <v>62</v>
      </c>
      <c r="I942" t="s">
        <v>1924</v>
      </c>
      <c r="J942" t="s">
        <v>42</v>
      </c>
      <c r="K942" s="4">
        <f>VLOOKUP(J942,Exchange_Rates!A:B,2,FALSE)</f>
        <v>0.66</v>
      </c>
      <c r="L942" s="4">
        <f t="shared" si="56"/>
        <v>0</v>
      </c>
      <c r="M942" s="4">
        <f t="shared" si="57"/>
        <v>1941.3636000000001</v>
      </c>
      <c r="N942" s="4">
        <f t="shared" si="58"/>
        <v>2023</v>
      </c>
      <c r="O942" s="4">
        <f t="shared" si="59"/>
        <v>4</v>
      </c>
    </row>
    <row r="943" spans="1:15" x14ac:dyDescent="0.25">
      <c r="A943" t="s">
        <v>1925</v>
      </c>
      <c r="B943" s="2">
        <v>45408</v>
      </c>
      <c r="C943" t="s">
        <v>38</v>
      </c>
      <c r="D943" t="s">
        <v>39</v>
      </c>
      <c r="E943">
        <v>1900.12</v>
      </c>
      <c r="F943">
        <v>0</v>
      </c>
      <c r="G943" t="s">
        <v>13</v>
      </c>
      <c r="H943" t="s">
        <v>34</v>
      </c>
      <c r="I943" t="s">
        <v>1926</v>
      </c>
      <c r="J943" t="s">
        <v>45</v>
      </c>
      <c r="K943" s="4">
        <f>VLOOKUP(J943,Exchange_Rates!A:B,2,FALSE)</f>
        <v>1</v>
      </c>
      <c r="L943" s="4">
        <f t="shared" si="56"/>
        <v>1900.12</v>
      </c>
      <c r="M943" s="4">
        <f t="shared" si="57"/>
        <v>0</v>
      </c>
      <c r="N943" s="4">
        <f t="shared" si="58"/>
        <v>2024</v>
      </c>
      <c r="O943" s="4">
        <f t="shared" si="59"/>
        <v>2</v>
      </c>
    </row>
    <row r="944" spans="1:15" x14ac:dyDescent="0.25">
      <c r="A944" t="s">
        <v>1927</v>
      </c>
      <c r="B944" s="2">
        <v>45006</v>
      </c>
      <c r="C944" t="s">
        <v>60</v>
      </c>
      <c r="D944" t="s">
        <v>61</v>
      </c>
      <c r="E944">
        <v>0</v>
      </c>
      <c r="F944">
        <v>1951.17</v>
      </c>
      <c r="G944" t="s">
        <v>11</v>
      </c>
      <c r="H944" t="s">
        <v>40</v>
      </c>
      <c r="I944" t="s">
        <v>1928</v>
      </c>
      <c r="J944" t="s">
        <v>42</v>
      </c>
      <c r="K944" s="4">
        <f>VLOOKUP(J944,Exchange_Rates!A:B,2,FALSE)</f>
        <v>0.66</v>
      </c>
      <c r="L944" s="4">
        <f t="shared" si="56"/>
        <v>0</v>
      </c>
      <c r="M944" s="4">
        <f t="shared" si="57"/>
        <v>1287.7722000000001</v>
      </c>
      <c r="N944" s="4">
        <f t="shared" si="58"/>
        <v>2023</v>
      </c>
      <c r="O944" s="4">
        <f t="shared" si="59"/>
        <v>1</v>
      </c>
    </row>
    <row r="945" spans="1:15" x14ac:dyDescent="0.25">
      <c r="A945" t="s">
        <v>1929</v>
      </c>
      <c r="B945" s="2">
        <v>45761</v>
      </c>
      <c r="C945" t="s">
        <v>30</v>
      </c>
      <c r="D945" t="s">
        <v>31</v>
      </c>
      <c r="E945">
        <v>1649.25</v>
      </c>
      <c r="F945">
        <v>0</v>
      </c>
      <c r="G945" t="s">
        <v>8</v>
      </c>
      <c r="H945" t="s">
        <v>51</v>
      </c>
      <c r="I945" t="s">
        <v>1930</v>
      </c>
      <c r="J945" t="s">
        <v>64</v>
      </c>
      <c r="K945" s="4">
        <f>VLOOKUP(J945,Exchange_Rates!A:B,2,FALSE)</f>
        <v>0.73</v>
      </c>
      <c r="L945" s="4">
        <f t="shared" si="56"/>
        <v>1203.9524999999999</v>
      </c>
      <c r="M945" s="4">
        <f t="shared" si="57"/>
        <v>0</v>
      </c>
      <c r="N945" s="4">
        <f t="shared" si="58"/>
        <v>2025</v>
      </c>
      <c r="O945" s="4">
        <f t="shared" si="59"/>
        <v>2</v>
      </c>
    </row>
    <row r="946" spans="1:15" x14ac:dyDescent="0.25">
      <c r="A946" t="s">
        <v>1931</v>
      </c>
      <c r="B946" s="2">
        <v>45642</v>
      </c>
      <c r="C946" t="s">
        <v>38</v>
      </c>
      <c r="D946" t="s">
        <v>39</v>
      </c>
      <c r="E946">
        <v>770.2</v>
      </c>
      <c r="F946">
        <v>0</v>
      </c>
      <c r="G946" t="s">
        <v>10</v>
      </c>
      <c r="H946" t="s">
        <v>51</v>
      </c>
      <c r="I946" t="s">
        <v>1932</v>
      </c>
      <c r="J946" t="s">
        <v>42</v>
      </c>
      <c r="K946" s="4">
        <f>VLOOKUP(J946,Exchange_Rates!A:B,2,FALSE)</f>
        <v>0.66</v>
      </c>
      <c r="L946" s="4">
        <f t="shared" si="56"/>
        <v>508.33200000000005</v>
      </c>
      <c r="M946" s="4">
        <f t="shared" si="57"/>
        <v>0</v>
      </c>
      <c r="N946" s="4">
        <f t="shared" si="58"/>
        <v>2024</v>
      </c>
      <c r="O946" s="4">
        <f t="shared" si="59"/>
        <v>4</v>
      </c>
    </row>
    <row r="947" spans="1:15" x14ac:dyDescent="0.25">
      <c r="A947" t="s">
        <v>1933</v>
      </c>
      <c r="B947" s="2">
        <v>45440</v>
      </c>
      <c r="C947" t="s">
        <v>38</v>
      </c>
      <c r="D947" t="s">
        <v>39</v>
      </c>
      <c r="E947">
        <v>202.11</v>
      </c>
      <c r="F947">
        <v>0</v>
      </c>
      <c r="G947" t="s">
        <v>9</v>
      </c>
      <c r="H947" t="s">
        <v>34</v>
      </c>
      <c r="I947" t="s">
        <v>1934</v>
      </c>
      <c r="J947" t="s">
        <v>42</v>
      </c>
      <c r="K947" s="4">
        <f>VLOOKUP(J947,Exchange_Rates!A:B,2,FALSE)</f>
        <v>0.66</v>
      </c>
      <c r="L947" s="4">
        <f t="shared" si="56"/>
        <v>133.39260000000002</v>
      </c>
      <c r="M947" s="4">
        <f t="shared" si="57"/>
        <v>0</v>
      </c>
      <c r="N947" s="4">
        <f t="shared" si="58"/>
        <v>2024</v>
      </c>
      <c r="O947" s="4">
        <f t="shared" si="59"/>
        <v>2</v>
      </c>
    </row>
    <row r="948" spans="1:15" x14ac:dyDescent="0.25">
      <c r="A948" t="s">
        <v>1935</v>
      </c>
      <c r="B948" s="2">
        <v>45343</v>
      </c>
      <c r="C948" t="s">
        <v>38</v>
      </c>
      <c r="D948" t="s">
        <v>39</v>
      </c>
      <c r="E948">
        <v>1844.72</v>
      </c>
      <c r="F948">
        <v>0</v>
      </c>
      <c r="G948" t="s">
        <v>12</v>
      </c>
      <c r="H948" t="s">
        <v>26</v>
      </c>
      <c r="I948" t="s">
        <v>1936</v>
      </c>
      <c r="J948" t="s">
        <v>64</v>
      </c>
      <c r="K948" s="4">
        <f>VLOOKUP(J948,Exchange_Rates!A:B,2,FALSE)</f>
        <v>0.73</v>
      </c>
      <c r="L948" s="4">
        <f t="shared" si="56"/>
        <v>1346.6456000000001</v>
      </c>
      <c r="M948" s="4">
        <f t="shared" si="57"/>
        <v>0</v>
      </c>
      <c r="N948" s="4">
        <f t="shared" si="58"/>
        <v>2024</v>
      </c>
      <c r="O948" s="4">
        <f t="shared" si="59"/>
        <v>1</v>
      </c>
    </row>
    <row r="949" spans="1:15" x14ac:dyDescent="0.25">
      <c r="A949" t="s">
        <v>1937</v>
      </c>
      <c r="B949" s="2">
        <v>44946</v>
      </c>
      <c r="C949" t="s">
        <v>60</v>
      </c>
      <c r="D949" t="s">
        <v>61</v>
      </c>
      <c r="E949">
        <v>0</v>
      </c>
      <c r="F949">
        <v>1995.59</v>
      </c>
      <c r="G949" t="s">
        <v>8</v>
      </c>
      <c r="H949" t="s">
        <v>34</v>
      </c>
      <c r="I949" t="s">
        <v>1938</v>
      </c>
      <c r="J949" t="s">
        <v>36</v>
      </c>
      <c r="K949" s="4">
        <f>VLOOKUP(J949,Exchange_Rates!A:B,2,FALSE)</f>
        <v>1.08</v>
      </c>
      <c r="L949" s="4">
        <f t="shared" si="56"/>
        <v>0</v>
      </c>
      <c r="M949" s="4">
        <f t="shared" si="57"/>
        <v>2155.2372</v>
      </c>
      <c r="N949" s="4">
        <f t="shared" si="58"/>
        <v>2023</v>
      </c>
      <c r="O949" s="4">
        <f t="shared" si="59"/>
        <v>1</v>
      </c>
    </row>
    <row r="950" spans="1:15" x14ac:dyDescent="0.25">
      <c r="A950" t="s">
        <v>1939</v>
      </c>
      <c r="B950" s="2">
        <v>45195</v>
      </c>
      <c r="C950" t="s">
        <v>30</v>
      </c>
      <c r="D950" t="s">
        <v>31</v>
      </c>
      <c r="E950">
        <v>1875.24</v>
      </c>
      <c r="F950">
        <v>0</v>
      </c>
      <c r="G950" t="s">
        <v>9</v>
      </c>
      <c r="H950" t="s">
        <v>26</v>
      </c>
      <c r="I950" t="s">
        <v>1940</v>
      </c>
      <c r="J950" t="s">
        <v>45</v>
      </c>
      <c r="K950" s="4">
        <f>VLOOKUP(J950,Exchange_Rates!A:B,2,FALSE)</f>
        <v>1</v>
      </c>
      <c r="L950" s="4">
        <f t="shared" si="56"/>
        <v>1875.24</v>
      </c>
      <c r="M950" s="4">
        <f t="shared" si="57"/>
        <v>0</v>
      </c>
      <c r="N950" s="4">
        <f t="shared" si="58"/>
        <v>2023</v>
      </c>
      <c r="O950" s="4">
        <f t="shared" si="59"/>
        <v>3</v>
      </c>
    </row>
    <row r="951" spans="1:15" x14ac:dyDescent="0.25">
      <c r="A951" t="s">
        <v>1941</v>
      </c>
      <c r="B951" s="2">
        <v>45685</v>
      </c>
      <c r="C951" t="s">
        <v>49</v>
      </c>
      <c r="D951" t="s">
        <v>50</v>
      </c>
      <c r="E951">
        <v>80.59</v>
      </c>
      <c r="F951">
        <v>0</v>
      </c>
      <c r="G951" t="s">
        <v>11</v>
      </c>
      <c r="H951" t="s">
        <v>40</v>
      </c>
      <c r="I951" t="s">
        <v>1942</v>
      </c>
      <c r="J951" t="s">
        <v>28</v>
      </c>
      <c r="K951" s="4">
        <f>VLOOKUP(J951,Exchange_Rates!A:B,2,FALSE)</f>
        <v>1.27</v>
      </c>
      <c r="L951" s="4">
        <f t="shared" si="56"/>
        <v>102.3493</v>
      </c>
      <c r="M951" s="4">
        <f t="shared" si="57"/>
        <v>0</v>
      </c>
      <c r="N951" s="4">
        <f t="shared" si="58"/>
        <v>2025</v>
      </c>
      <c r="O951" s="4">
        <f t="shared" si="59"/>
        <v>1</v>
      </c>
    </row>
    <row r="952" spans="1:15" x14ac:dyDescent="0.25">
      <c r="A952" t="s">
        <v>1943</v>
      </c>
      <c r="B952" s="2">
        <v>45131</v>
      </c>
      <c r="C952" t="s">
        <v>49</v>
      </c>
      <c r="D952" t="s">
        <v>50</v>
      </c>
      <c r="E952">
        <v>445.11</v>
      </c>
      <c r="F952">
        <v>0</v>
      </c>
      <c r="G952" t="s">
        <v>10</v>
      </c>
      <c r="H952" t="s">
        <v>34</v>
      </c>
      <c r="I952" t="s">
        <v>1944</v>
      </c>
      <c r="J952" t="s">
        <v>42</v>
      </c>
      <c r="K952" s="4">
        <f>VLOOKUP(J952,Exchange_Rates!A:B,2,FALSE)</f>
        <v>0.66</v>
      </c>
      <c r="L952" s="4">
        <f t="shared" si="56"/>
        <v>293.77260000000001</v>
      </c>
      <c r="M952" s="4">
        <f t="shared" si="57"/>
        <v>0</v>
      </c>
      <c r="N952" s="4">
        <f t="shared" si="58"/>
        <v>2023</v>
      </c>
      <c r="O952" s="4">
        <f t="shared" si="59"/>
        <v>3</v>
      </c>
    </row>
    <row r="953" spans="1:15" x14ac:dyDescent="0.25">
      <c r="A953" t="s">
        <v>1945</v>
      </c>
      <c r="B953" s="2">
        <v>45424</v>
      </c>
      <c r="C953" t="s">
        <v>60</v>
      </c>
      <c r="D953" t="s">
        <v>61</v>
      </c>
      <c r="E953">
        <v>0</v>
      </c>
      <c r="F953">
        <v>2882.01</v>
      </c>
      <c r="G953" t="s">
        <v>12</v>
      </c>
      <c r="H953" t="s">
        <v>26</v>
      </c>
      <c r="I953" t="s">
        <v>1946</v>
      </c>
      <c r="J953" t="s">
        <v>45</v>
      </c>
      <c r="K953" s="4">
        <f>VLOOKUP(J953,Exchange_Rates!A:B,2,FALSE)</f>
        <v>1</v>
      </c>
      <c r="L953" s="4">
        <f t="shared" si="56"/>
        <v>0</v>
      </c>
      <c r="M953" s="4">
        <f t="shared" si="57"/>
        <v>2882.01</v>
      </c>
      <c r="N953" s="4">
        <f t="shared" si="58"/>
        <v>2024</v>
      </c>
      <c r="O953" s="4">
        <f t="shared" si="59"/>
        <v>2</v>
      </c>
    </row>
    <row r="954" spans="1:15" x14ac:dyDescent="0.25">
      <c r="A954" t="s">
        <v>1947</v>
      </c>
      <c r="B954" s="2">
        <v>45034</v>
      </c>
      <c r="C954" t="s">
        <v>30</v>
      </c>
      <c r="D954" t="s">
        <v>31</v>
      </c>
      <c r="E954">
        <v>788.01</v>
      </c>
      <c r="F954">
        <v>0</v>
      </c>
      <c r="G954" t="s">
        <v>9</v>
      </c>
      <c r="H954" t="s">
        <v>51</v>
      </c>
      <c r="I954" t="s">
        <v>1948</v>
      </c>
      <c r="J954" t="s">
        <v>28</v>
      </c>
      <c r="K954" s="4">
        <f>VLOOKUP(J954,Exchange_Rates!A:B,2,FALSE)</f>
        <v>1.27</v>
      </c>
      <c r="L954" s="4">
        <f t="shared" si="56"/>
        <v>1000.7727</v>
      </c>
      <c r="M954" s="4">
        <f t="shared" si="57"/>
        <v>0</v>
      </c>
      <c r="N954" s="4">
        <f t="shared" si="58"/>
        <v>2023</v>
      </c>
      <c r="O954" s="4">
        <f t="shared" si="59"/>
        <v>2</v>
      </c>
    </row>
    <row r="955" spans="1:15" x14ac:dyDescent="0.25">
      <c r="A955" t="s">
        <v>1949</v>
      </c>
      <c r="B955" s="2">
        <v>45098</v>
      </c>
      <c r="C955" t="s">
        <v>60</v>
      </c>
      <c r="D955" t="s">
        <v>61</v>
      </c>
      <c r="E955">
        <v>0</v>
      </c>
      <c r="F955">
        <v>1052.22</v>
      </c>
      <c r="G955" t="s">
        <v>10</v>
      </c>
      <c r="H955" t="s">
        <v>51</v>
      </c>
      <c r="I955" t="s">
        <v>1950</v>
      </c>
      <c r="J955" t="s">
        <v>64</v>
      </c>
      <c r="K955" s="4">
        <f>VLOOKUP(J955,Exchange_Rates!A:B,2,FALSE)</f>
        <v>0.73</v>
      </c>
      <c r="L955" s="4">
        <f t="shared" si="56"/>
        <v>0</v>
      </c>
      <c r="M955" s="4">
        <f t="shared" si="57"/>
        <v>768.12059999999997</v>
      </c>
      <c r="N955" s="4">
        <f t="shared" si="58"/>
        <v>2023</v>
      </c>
      <c r="O955" s="4">
        <f t="shared" si="59"/>
        <v>2</v>
      </c>
    </row>
    <row r="956" spans="1:15" x14ac:dyDescent="0.25">
      <c r="A956" t="s">
        <v>1951</v>
      </c>
      <c r="B956" s="2">
        <v>45033</v>
      </c>
      <c r="C956" t="s">
        <v>60</v>
      </c>
      <c r="D956" t="s">
        <v>61</v>
      </c>
      <c r="E956">
        <v>0</v>
      </c>
      <c r="F956">
        <v>583.57000000000005</v>
      </c>
      <c r="G956" t="s">
        <v>11</v>
      </c>
      <c r="H956" t="s">
        <v>34</v>
      </c>
      <c r="I956" t="s">
        <v>1952</v>
      </c>
      <c r="J956" t="s">
        <v>45</v>
      </c>
      <c r="K956" s="4">
        <f>VLOOKUP(J956,Exchange_Rates!A:B,2,FALSE)</f>
        <v>1</v>
      </c>
      <c r="L956" s="4">
        <f t="shared" si="56"/>
        <v>0</v>
      </c>
      <c r="M956" s="4">
        <f t="shared" si="57"/>
        <v>583.57000000000005</v>
      </c>
      <c r="N956" s="4">
        <f t="shared" si="58"/>
        <v>2023</v>
      </c>
      <c r="O956" s="4">
        <f t="shared" si="59"/>
        <v>2</v>
      </c>
    </row>
    <row r="957" spans="1:15" x14ac:dyDescent="0.25">
      <c r="A957" t="s">
        <v>1953</v>
      </c>
      <c r="B957" s="2">
        <v>45713</v>
      </c>
      <c r="C957" t="s">
        <v>30</v>
      </c>
      <c r="D957" t="s">
        <v>31</v>
      </c>
      <c r="E957">
        <v>1472.38</v>
      </c>
      <c r="F957">
        <v>0</v>
      </c>
      <c r="G957" t="s">
        <v>9</v>
      </c>
      <c r="H957" t="s">
        <v>34</v>
      </c>
      <c r="I957" t="s">
        <v>1954</v>
      </c>
      <c r="J957" t="s">
        <v>45</v>
      </c>
      <c r="K957" s="4">
        <f>VLOOKUP(J957,Exchange_Rates!A:B,2,FALSE)</f>
        <v>1</v>
      </c>
      <c r="L957" s="4">
        <f t="shared" si="56"/>
        <v>1472.38</v>
      </c>
      <c r="M957" s="4">
        <f t="shared" si="57"/>
        <v>0</v>
      </c>
      <c r="N957" s="4">
        <f t="shared" si="58"/>
        <v>2025</v>
      </c>
      <c r="O957" s="4">
        <f t="shared" si="59"/>
        <v>1</v>
      </c>
    </row>
    <row r="958" spans="1:15" x14ac:dyDescent="0.25">
      <c r="A958" t="s">
        <v>1955</v>
      </c>
      <c r="B958" s="2">
        <v>45196</v>
      </c>
      <c r="C958" t="s">
        <v>30</v>
      </c>
      <c r="D958" t="s">
        <v>31</v>
      </c>
      <c r="E958">
        <v>1444.24</v>
      </c>
      <c r="F958">
        <v>0</v>
      </c>
      <c r="G958" t="s">
        <v>8</v>
      </c>
      <c r="H958" t="s">
        <v>34</v>
      </c>
      <c r="I958" t="s">
        <v>1956</v>
      </c>
      <c r="J958" t="s">
        <v>28</v>
      </c>
      <c r="K958" s="4">
        <f>VLOOKUP(J958,Exchange_Rates!A:B,2,FALSE)</f>
        <v>1.27</v>
      </c>
      <c r="L958" s="4">
        <f t="shared" si="56"/>
        <v>1834.1848</v>
      </c>
      <c r="M958" s="4">
        <f t="shared" si="57"/>
        <v>0</v>
      </c>
      <c r="N958" s="4">
        <f t="shared" si="58"/>
        <v>2023</v>
      </c>
      <c r="O958" s="4">
        <f t="shared" si="59"/>
        <v>3</v>
      </c>
    </row>
    <row r="959" spans="1:15" x14ac:dyDescent="0.25">
      <c r="A959" t="s">
        <v>1957</v>
      </c>
      <c r="B959" s="2">
        <v>45812</v>
      </c>
      <c r="C959" t="s">
        <v>38</v>
      </c>
      <c r="D959" t="s">
        <v>39</v>
      </c>
      <c r="E959">
        <v>746.97</v>
      </c>
      <c r="F959">
        <v>0</v>
      </c>
      <c r="G959" t="s">
        <v>13</v>
      </c>
      <c r="H959" t="s">
        <v>62</v>
      </c>
      <c r="I959" t="s">
        <v>1958</v>
      </c>
      <c r="J959" t="s">
        <v>45</v>
      </c>
      <c r="K959" s="4">
        <f>VLOOKUP(J959,Exchange_Rates!A:B,2,FALSE)</f>
        <v>1</v>
      </c>
      <c r="L959" s="4">
        <f t="shared" si="56"/>
        <v>746.97</v>
      </c>
      <c r="M959" s="4">
        <f t="shared" si="57"/>
        <v>0</v>
      </c>
      <c r="N959" s="4">
        <f t="shared" si="58"/>
        <v>2025</v>
      </c>
      <c r="O959" s="4">
        <f t="shared" si="59"/>
        <v>2</v>
      </c>
    </row>
    <row r="960" spans="1:15" x14ac:dyDescent="0.25">
      <c r="A960" t="s">
        <v>1959</v>
      </c>
      <c r="B960" s="2">
        <v>45486</v>
      </c>
      <c r="C960" t="s">
        <v>49</v>
      </c>
      <c r="D960" t="s">
        <v>50</v>
      </c>
      <c r="E960">
        <v>1912.71</v>
      </c>
      <c r="F960">
        <v>0</v>
      </c>
      <c r="G960" t="s">
        <v>13</v>
      </c>
      <c r="H960" t="s">
        <v>51</v>
      </c>
      <c r="I960" t="s">
        <v>1960</v>
      </c>
      <c r="J960" t="s">
        <v>42</v>
      </c>
      <c r="K960" s="4">
        <f>VLOOKUP(J960,Exchange_Rates!A:B,2,FALSE)</f>
        <v>0.66</v>
      </c>
      <c r="L960" s="4">
        <f t="shared" si="56"/>
        <v>1262.3886</v>
      </c>
      <c r="M960" s="4">
        <f t="shared" si="57"/>
        <v>0</v>
      </c>
      <c r="N960" s="4">
        <f t="shared" si="58"/>
        <v>2024</v>
      </c>
      <c r="O960" s="4">
        <f t="shared" si="59"/>
        <v>3</v>
      </c>
    </row>
    <row r="961" spans="1:15" x14ac:dyDescent="0.25">
      <c r="A961" t="s">
        <v>1961</v>
      </c>
      <c r="B961" s="2">
        <v>45136</v>
      </c>
      <c r="C961" t="s">
        <v>38</v>
      </c>
      <c r="D961" t="s">
        <v>39</v>
      </c>
      <c r="E961">
        <v>1714.13</v>
      </c>
      <c r="F961">
        <v>0</v>
      </c>
      <c r="G961" t="s">
        <v>11</v>
      </c>
      <c r="H961" t="s">
        <v>26</v>
      </c>
      <c r="I961" t="s">
        <v>1962</v>
      </c>
      <c r="J961" t="s">
        <v>64</v>
      </c>
      <c r="K961" s="4">
        <f>VLOOKUP(J961,Exchange_Rates!A:B,2,FALSE)</f>
        <v>0.73</v>
      </c>
      <c r="L961" s="4">
        <f t="shared" si="56"/>
        <v>1251.3149000000001</v>
      </c>
      <c r="M961" s="4">
        <f t="shared" si="57"/>
        <v>0</v>
      </c>
      <c r="N961" s="4">
        <f t="shared" si="58"/>
        <v>2023</v>
      </c>
      <c r="O961" s="4">
        <f t="shared" si="59"/>
        <v>3</v>
      </c>
    </row>
    <row r="962" spans="1:15" x14ac:dyDescent="0.25">
      <c r="A962" t="s">
        <v>1963</v>
      </c>
      <c r="B962" s="2">
        <v>45551</v>
      </c>
      <c r="C962" t="s">
        <v>30</v>
      </c>
      <c r="D962" t="s">
        <v>31</v>
      </c>
      <c r="E962">
        <v>996.13</v>
      </c>
      <c r="F962">
        <v>0</v>
      </c>
      <c r="G962" t="s">
        <v>10</v>
      </c>
      <c r="H962" t="s">
        <v>51</v>
      </c>
      <c r="I962" t="s">
        <v>1964</v>
      </c>
      <c r="J962" t="s">
        <v>36</v>
      </c>
      <c r="K962" s="4">
        <f>VLOOKUP(J962,Exchange_Rates!A:B,2,FALSE)</f>
        <v>1.08</v>
      </c>
      <c r="L962" s="4">
        <f t="shared" si="56"/>
        <v>1075.8204000000001</v>
      </c>
      <c r="M962" s="4">
        <f t="shared" si="57"/>
        <v>0</v>
      </c>
      <c r="N962" s="4">
        <f t="shared" si="58"/>
        <v>2024</v>
      </c>
      <c r="O962" s="4">
        <f t="shared" si="59"/>
        <v>3</v>
      </c>
    </row>
    <row r="963" spans="1:15" x14ac:dyDescent="0.25">
      <c r="A963" t="s">
        <v>1965</v>
      </c>
      <c r="B963" s="2">
        <v>45523</v>
      </c>
      <c r="C963" t="s">
        <v>30</v>
      </c>
      <c r="D963" t="s">
        <v>31</v>
      </c>
      <c r="E963">
        <v>1735.24</v>
      </c>
      <c r="F963">
        <v>0</v>
      </c>
      <c r="G963" t="s">
        <v>11</v>
      </c>
      <c r="H963" t="s">
        <v>51</v>
      </c>
      <c r="I963" t="s">
        <v>1966</v>
      </c>
      <c r="J963" t="s">
        <v>64</v>
      </c>
      <c r="K963" s="4">
        <f>VLOOKUP(J963,Exchange_Rates!A:B,2,FALSE)</f>
        <v>0.73</v>
      </c>
      <c r="L963" s="4">
        <f t="shared" ref="L963:L1026" si="60">E963*K963</f>
        <v>1266.7252000000001</v>
      </c>
      <c r="M963" s="4">
        <f t="shared" ref="M963:M1026" si="61">F963*K963</f>
        <v>0</v>
      </c>
      <c r="N963" s="4">
        <f t="shared" ref="N963:N1026" si="62">YEAR(B963)</f>
        <v>2024</v>
      </c>
      <c r="O963" s="4">
        <f t="shared" ref="O963:O1026" si="63">ROUNDUP(MONTH(B963)/3,0)</f>
        <v>3</v>
      </c>
    </row>
    <row r="964" spans="1:15" x14ac:dyDescent="0.25">
      <c r="A964" t="s">
        <v>1967</v>
      </c>
      <c r="B964" s="2">
        <v>44935</v>
      </c>
      <c r="C964" t="s">
        <v>38</v>
      </c>
      <c r="D964" t="s">
        <v>39</v>
      </c>
      <c r="E964">
        <v>1782.36</v>
      </c>
      <c r="F964">
        <v>0</v>
      </c>
      <c r="G964" t="s">
        <v>9</v>
      </c>
      <c r="H964" t="s">
        <v>51</v>
      </c>
      <c r="I964" t="s">
        <v>1968</v>
      </c>
      <c r="J964" t="s">
        <v>64</v>
      </c>
      <c r="K964" s="4">
        <f>VLOOKUP(J964,Exchange_Rates!A:B,2,FALSE)</f>
        <v>0.73</v>
      </c>
      <c r="L964" s="4">
        <f t="shared" si="60"/>
        <v>1301.1227999999999</v>
      </c>
      <c r="M964" s="4">
        <f t="shared" si="61"/>
        <v>0</v>
      </c>
      <c r="N964" s="4">
        <f t="shared" si="62"/>
        <v>2023</v>
      </c>
      <c r="O964" s="4">
        <f t="shared" si="63"/>
        <v>1</v>
      </c>
    </row>
    <row r="965" spans="1:15" x14ac:dyDescent="0.25">
      <c r="A965" t="s">
        <v>1969</v>
      </c>
      <c r="B965" s="2">
        <v>45341</v>
      </c>
      <c r="C965" t="s">
        <v>49</v>
      </c>
      <c r="D965" t="s">
        <v>50</v>
      </c>
      <c r="E965">
        <v>288.13</v>
      </c>
      <c r="F965">
        <v>0</v>
      </c>
      <c r="G965" t="s">
        <v>11</v>
      </c>
      <c r="H965" t="s">
        <v>34</v>
      </c>
      <c r="I965" t="s">
        <v>1970</v>
      </c>
      <c r="J965" t="s">
        <v>28</v>
      </c>
      <c r="K965" s="4">
        <f>VLOOKUP(J965,Exchange_Rates!A:B,2,FALSE)</f>
        <v>1.27</v>
      </c>
      <c r="L965" s="4">
        <f t="shared" si="60"/>
        <v>365.92509999999999</v>
      </c>
      <c r="M965" s="4">
        <f t="shared" si="61"/>
        <v>0</v>
      </c>
      <c r="N965" s="4">
        <f t="shared" si="62"/>
        <v>2024</v>
      </c>
      <c r="O965" s="4">
        <f t="shared" si="63"/>
        <v>1</v>
      </c>
    </row>
    <row r="966" spans="1:15" x14ac:dyDescent="0.25">
      <c r="A966" t="s">
        <v>1971</v>
      </c>
      <c r="B966" s="2">
        <v>45419</v>
      </c>
      <c r="C966" t="s">
        <v>38</v>
      </c>
      <c r="D966" t="s">
        <v>39</v>
      </c>
      <c r="E966">
        <v>760.63</v>
      </c>
      <c r="F966">
        <v>0</v>
      </c>
      <c r="G966" t="s">
        <v>8</v>
      </c>
      <c r="H966" t="s">
        <v>62</v>
      </c>
      <c r="I966" t="s">
        <v>1972</v>
      </c>
      <c r="J966" t="s">
        <v>36</v>
      </c>
      <c r="K966" s="4">
        <f>VLOOKUP(J966,Exchange_Rates!A:B,2,FALSE)</f>
        <v>1.08</v>
      </c>
      <c r="L966" s="4">
        <f t="shared" si="60"/>
        <v>821.48040000000003</v>
      </c>
      <c r="M966" s="4">
        <f t="shared" si="61"/>
        <v>0</v>
      </c>
      <c r="N966" s="4">
        <f t="shared" si="62"/>
        <v>2024</v>
      </c>
      <c r="O966" s="4">
        <f t="shared" si="63"/>
        <v>2</v>
      </c>
    </row>
    <row r="967" spans="1:15" x14ac:dyDescent="0.25">
      <c r="A967" t="s">
        <v>1973</v>
      </c>
      <c r="B967" s="2">
        <v>45092</v>
      </c>
      <c r="C967" t="s">
        <v>60</v>
      </c>
      <c r="D967" t="s">
        <v>61</v>
      </c>
      <c r="E967">
        <v>0</v>
      </c>
      <c r="F967">
        <v>4555.41</v>
      </c>
      <c r="G967" t="s">
        <v>13</v>
      </c>
      <c r="H967" t="s">
        <v>51</v>
      </c>
      <c r="I967" t="s">
        <v>1974</v>
      </c>
      <c r="J967" t="s">
        <v>28</v>
      </c>
      <c r="K967" s="4">
        <f>VLOOKUP(J967,Exchange_Rates!A:B,2,FALSE)</f>
        <v>1.27</v>
      </c>
      <c r="L967" s="4">
        <f t="shared" si="60"/>
        <v>0</v>
      </c>
      <c r="M967" s="4">
        <f t="shared" si="61"/>
        <v>5785.3706999999995</v>
      </c>
      <c r="N967" s="4">
        <f t="shared" si="62"/>
        <v>2023</v>
      </c>
      <c r="O967" s="4">
        <f t="shared" si="63"/>
        <v>2</v>
      </c>
    </row>
    <row r="968" spans="1:15" x14ac:dyDescent="0.25">
      <c r="A968" t="s">
        <v>1975</v>
      </c>
      <c r="B968" s="2">
        <v>45049</v>
      </c>
      <c r="C968" t="s">
        <v>24</v>
      </c>
      <c r="D968" t="s">
        <v>25</v>
      </c>
      <c r="E968">
        <v>0</v>
      </c>
      <c r="F968">
        <v>1864.27</v>
      </c>
      <c r="G968" t="s">
        <v>9</v>
      </c>
      <c r="H968" t="s">
        <v>26</v>
      </c>
      <c r="I968" t="s">
        <v>1976</v>
      </c>
      <c r="J968" t="s">
        <v>45</v>
      </c>
      <c r="K968" s="4">
        <f>VLOOKUP(J968,Exchange_Rates!A:B,2,FALSE)</f>
        <v>1</v>
      </c>
      <c r="L968" s="4">
        <f t="shared" si="60"/>
        <v>0</v>
      </c>
      <c r="M968" s="4">
        <f t="shared" si="61"/>
        <v>1864.27</v>
      </c>
      <c r="N968" s="4">
        <f t="shared" si="62"/>
        <v>2023</v>
      </c>
      <c r="O968" s="4">
        <f t="shared" si="63"/>
        <v>2</v>
      </c>
    </row>
    <row r="969" spans="1:15" x14ac:dyDescent="0.25">
      <c r="A969" t="s">
        <v>1977</v>
      </c>
      <c r="B969" s="2">
        <v>45690</v>
      </c>
      <c r="C969" t="s">
        <v>60</v>
      </c>
      <c r="D969" t="s">
        <v>61</v>
      </c>
      <c r="E969">
        <v>0</v>
      </c>
      <c r="F969">
        <v>705.16</v>
      </c>
      <c r="G969" t="s">
        <v>10</v>
      </c>
      <c r="H969" t="s">
        <v>51</v>
      </c>
      <c r="I969" t="s">
        <v>1978</v>
      </c>
      <c r="J969" t="s">
        <v>45</v>
      </c>
      <c r="K969" s="4">
        <f>VLOOKUP(J969,Exchange_Rates!A:B,2,FALSE)</f>
        <v>1</v>
      </c>
      <c r="L969" s="4">
        <f t="shared" si="60"/>
        <v>0</v>
      </c>
      <c r="M969" s="4">
        <f t="shared" si="61"/>
        <v>705.16</v>
      </c>
      <c r="N969" s="4">
        <f t="shared" si="62"/>
        <v>2025</v>
      </c>
      <c r="O969" s="4">
        <f t="shared" si="63"/>
        <v>1</v>
      </c>
    </row>
    <row r="970" spans="1:15" x14ac:dyDescent="0.25">
      <c r="A970" t="s">
        <v>1979</v>
      </c>
      <c r="B970" s="2">
        <v>45138</v>
      </c>
      <c r="C970" t="s">
        <v>24</v>
      </c>
      <c r="D970" t="s">
        <v>25</v>
      </c>
      <c r="E970">
        <v>0</v>
      </c>
      <c r="F970">
        <v>2558.2800000000002</v>
      </c>
      <c r="G970" t="s">
        <v>9</v>
      </c>
      <c r="H970" t="s">
        <v>26</v>
      </c>
      <c r="I970" t="s">
        <v>1980</v>
      </c>
      <c r="J970" t="s">
        <v>64</v>
      </c>
      <c r="K970" s="4">
        <f>VLOOKUP(J970,Exchange_Rates!A:B,2,FALSE)</f>
        <v>0.73</v>
      </c>
      <c r="L970" s="4">
        <f t="shared" si="60"/>
        <v>0</v>
      </c>
      <c r="M970" s="4">
        <f t="shared" si="61"/>
        <v>1867.5444</v>
      </c>
      <c r="N970" s="4">
        <f t="shared" si="62"/>
        <v>2023</v>
      </c>
      <c r="O970" s="4">
        <f t="shared" si="63"/>
        <v>3</v>
      </c>
    </row>
    <row r="971" spans="1:15" x14ac:dyDescent="0.25">
      <c r="A971" t="s">
        <v>1981</v>
      </c>
      <c r="B971" s="2">
        <v>44946</v>
      </c>
      <c r="C971" t="s">
        <v>60</v>
      </c>
      <c r="D971" t="s">
        <v>61</v>
      </c>
      <c r="E971">
        <v>0</v>
      </c>
      <c r="F971">
        <v>583.33000000000004</v>
      </c>
      <c r="G971" t="s">
        <v>12</v>
      </c>
      <c r="H971" t="s">
        <v>34</v>
      </c>
      <c r="I971" t="s">
        <v>1982</v>
      </c>
      <c r="J971" t="s">
        <v>42</v>
      </c>
      <c r="K971" s="4">
        <f>VLOOKUP(J971,Exchange_Rates!A:B,2,FALSE)</f>
        <v>0.66</v>
      </c>
      <c r="L971" s="4">
        <f t="shared" si="60"/>
        <v>0</v>
      </c>
      <c r="M971" s="4">
        <f t="shared" si="61"/>
        <v>384.99780000000004</v>
      </c>
      <c r="N971" s="4">
        <f t="shared" si="62"/>
        <v>2023</v>
      </c>
      <c r="O971" s="4">
        <f t="shared" si="63"/>
        <v>1</v>
      </c>
    </row>
    <row r="972" spans="1:15" x14ac:dyDescent="0.25">
      <c r="A972" t="s">
        <v>1983</v>
      </c>
      <c r="B972" s="2">
        <v>45629</v>
      </c>
      <c r="C972" t="s">
        <v>60</v>
      </c>
      <c r="D972" t="s">
        <v>61</v>
      </c>
      <c r="E972">
        <v>0</v>
      </c>
      <c r="F972">
        <v>2126.6999999999998</v>
      </c>
      <c r="G972" t="s">
        <v>9</v>
      </c>
      <c r="H972" t="s">
        <v>40</v>
      </c>
      <c r="I972" t="s">
        <v>1984</v>
      </c>
      <c r="J972" t="s">
        <v>45</v>
      </c>
      <c r="K972" s="4">
        <f>VLOOKUP(J972,Exchange_Rates!A:B,2,FALSE)</f>
        <v>1</v>
      </c>
      <c r="L972" s="4">
        <f t="shared" si="60"/>
        <v>0</v>
      </c>
      <c r="M972" s="4">
        <f t="shared" si="61"/>
        <v>2126.6999999999998</v>
      </c>
      <c r="N972" s="4">
        <f t="shared" si="62"/>
        <v>2024</v>
      </c>
      <c r="O972" s="4">
        <f t="shared" si="63"/>
        <v>4</v>
      </c>
    </row>
    <row r="973" spans="1:15" x14ac:dyDescent="0.25">
      <c r="A973" t="s">
        <v>1985</v>
      </c>
      <c r="B973" s="2">
        <v>45658</v>
      </c>
      <c r="C973" t="s">
        <v>38</v>
      </c>
      <c r="D973" t="s">
        <v>39</v>
      </c>
      <c r="E973">
        <v>409.25</v>
      </c>
      <c r="F973">
        <v>0</v>
      </c>
      <c r="G973" t="s">
        <v>13</v>
      </c>
      <c r="H973" t="s">
        <v>62</v>
      </c>
      <c r="I973" t="s">
        <v>1986</v>
      </c>
      <c r="J973" t="s">
        <v>64</v>
      </c>
      <c r="K973" s="4">
        <f>VLOOKUP(J973,Exchange_Rates!A:B,2,FALSE)</f>
        <v>0.73</v>
      </c>
      <c r="L973" s="4">
        <f t="shared" si="60"/>
        <v>298.7525</v>
      </c>
      <c r="M973" s="4">
        <f t="shared" si="61"/>
        <v>0</v>
      </c>
      <c r="N973" s="4">
        <f t="shared" si="62"/>
        <v>2025</v>
      </c>
      <c r="O973" s="4">
        <f t="shared" si="63"/>
        <v>1</v>
      </c>
    </row>
    <row r="974" spans="1:15" x14ac:dyDescent="0.25">
      <c r="A974" t="s">
        <v>1987</v>
      </c>
      <c r="B974" s="2">
        <v>45403</v>
      </c>
      <c r="C974" t="s">
        <v>60</v>
      </c>
      <c r="D974" t="s">
        <v>61</v>
      </c>
      <c r="E974">
        <v>0</v>
      </c>
      <c r="F974">
        <v>546.70000000000005</v>
      </c>
      <c r="G974" t="s">
        <v>11</v>
      </c>
      <c r="H974" t="s">
        <v>62</v>
      </c>
      <c r="I974" t="s">
        <v>1988</v>
      </c>
      <c r="J974" t="s">
        <v>36</v>
      </c>
      <c r="K974" s="4">
        <f>VLOOKUP(J974,Exchange_Rates!A:B,2,FALSE)</f>
        <v>1.08</v>
      </c>
      <c r="L974" s="4">
        <f t="shared" si="60"/>
        <v>0</v>
      </c>
      <c r="M974" s="4">
        <f t="shared" si="61"/>
        <v>590.43600000000004</v>
      </c>
      <c r="N974" s="4">
        <f t="shared" si="62"/>
        <v>2024</v>
      </c>
      <c r="O974" s="4">
        <f t="shared" si="63"/>
        <v>2</v>
      </c>
    </row>
    <row r="975" spans="1:15" x14ac:dyDescent="0.25">
      <c r="A975" t="s">
        <v>1989</v>
      </c>
      <c r="B975" s="2">
        <v>45722</v>
      </c>
      <c r="C975" t="s">
        <v>49</v>
      </c>
      <c r="D975" t="s">
        <v>50</v>
      </c>
      <c r="E975">
        <v>1708.86</v>
      </c>
      <c r="F975">
        <v>0</v>
      </c>
      <c r="G975" t="s">
        <v>9</v>
      </c>
      <c r="H975" t="s">
        <v>51</v>
      </c>
      <c r="I975" t="s">
        <v>1990</v>
      </c>
      <c r="J975" t="s">
        <v>64</v>
      </c>
      <c r="K975" s="4">
        <f>VLOOKUP(J975,Exchange_Rates!A:B,2,FALSE)</f>
        <v>0.73</v>
      </c>
      <c r="L975" s="4">
        <f t="shared" si="60"/>
        <v>1247.4677999999999</v>
      </c>
      <c r="M975" s="4">
        <f t="shared" si="61"/>
        <v>0</v>
      </c>
      <c r="N975" s="4">
        <f t="shared" si="62"/>
        <v>2025</v>
      </c>
      <c r="O975" s="4">
        <f t="shared" si="63"/>
        <v>1</v>
      </c>
    </row>
    <row r="976" spans="1:15" x14ac:dyDescent="0.25">
      <c r="A976" t="s">
        <v>1991</v>
      </c>
      <c r="B976" s="2">
        <v>45126</v>
      </c>
      <c r="C976" t="s">
        <v>30</v>
      </c>
      <c r="D976" t="s">
        <v>31</v>
      </c>
      <c r="E976">
        <v>1155.1300000000001</v>
      </c>
      <c r="F976">
        <v>0</v>
      </c>
      <c r="G976" t="s">
        <v>13</v>
      </c>
      <c r="H976" t="s">
        <v>40</v>
      </c>
      <c r="I976" t="s">
        <v>1992</v>
      </c>
      <c r="J976" t="s">
        <v>28</v>
      </c>
      <c r="K976" s="4">
        <f>VLOOKUP(J976,Exchange_Rates!A:B,2,FALSE)</f>
        <v>1.27</v>
      </c>
      <c r="L976" s="4">
        <f t="shared" si="60"/>
        <v>1467.0151000000001</v>
      </c>
      <c r="M976" s="4">
        <f t="shared" si="61"/>
        <v>0</v>
      </c>
      <c r="N976" s="4">
        <f t="shared" si="62"/>
        <v>2023</v>
      </c>
      <c r="O976" s="4">
        <f t="shared" si="63"/>
        <v>3</v>
      </c>
    </row>
    <row r="977" spans="1:15" x14ac:dyDescent="0.25">
      <c r="A977" t="s">
        <v>1993</v>
      </c>
      <c r="B977" s="2">
        <v>45575</v>
      </c>
      <c r="C977" t="s">
        <v>49</v>
      </c>
      <c r="D977" t="s">
        <v>50</v>
      </c>
      <c r="E977">
        <v>906.36</v>
      </c>
      <c r="F977">
        <v>0</v>
      </c>
      <c r="G977" t="s">
        <v>10</v>
      </c>
      <c r="H977" t="s">
        <v>34</v>
      </c>
      <c r="I977" t="s">
        <v>1994</v>
      </c>
      <c r="J977" t="s">
        <v>42</v>
      </c>
      <c r="K977" s="4">
        <f>VLOOKUP(J977,Exchange_Rates!A:B,2,FALSE)</f>
        <v>0.66</v>
      </c>
      <c r="L977" s="4">
        <f t="shared" si="60"/>
        <v>598.19760000000008</v>
      </c>
      <c r="M977" s="4">
        <f t="shared" si="61"/>
        <v>0</v>
      </c>
      <c r="N977" s="4">
        <f t="shared" si="62"/>
        <v>2024</v>
      </c>
      <c r="O977" s="4">
        <f t="shared" si="63"/>
        <v>4</v>
      </c>
    </row>
    <row r="978" spans="1:15" x14ac:dyDescent="0.25">
      <c r="A978" t="s">
        <v>1995</v>
      </c>
      <c r="B978" s="2">
        <v>45349</v>
      </c>
      <c r="C978" t="s">
        <v>24</v>
      </c>
      <c r="D978" t="s">
        <v>25</v>
      </c>
      <c r="E978">
        <v>0</v>
      </c>
      <c r="F978">
        <v>1026.19</v>
      </c>
      <c r="G978" t="s">
        <v>12</v>
      </c>
      <c r="H978" t="s">
        <v>34</v>
      </c>
      <c r="I978" t="s">
        <v>1996</v>
      </c>
      <c r="J978" t="s">
        <v>42</v>
      </c>
      <c r="K978" s="4">
        <f>VLOOKUP(J978,Exchange_Rates!A:B,2,FALSE)</f>
        <v>0.66</v>
      </c>
      <c r="L978" s="4">
        <f t="shared" si="60"/>
        <v>0</v>
      </c>
      <c r="M978" s="4">
        <f t="shared" si="61"/>
        <v>677.2854000000001</v>
      </c>
      <c r="N978" s="4">
        <f t="shared" si="62"/>
        <v>2024</v>
      </c>
      <c r="O978" s="4">
        <f t="shared" si="63"/>
        <v>1</v>
      </c>
    </row>
    <row r="979" spans="1:15" x14ac:dyDescent="0.25">
      <c r="A979" t="s">
        <v>1997</v>
      </c>
      <c r="B979" s="2">
        <v>45540</v>
      </c>
      <c r="C979" t="s">
        <v>49</v>
      </c>
      <c r="D979" t="s">
        <v>50</v>
      </c>
      <c r="E979">
        <v>1571.91</v>
      </c>
      <c r="F979">
        <v>0</v>
      </c>
      <c r="G979" t="s">
        <v>10</v>
      </c>
      <c r="H979" t="s">
        <v>62</v>
      </c>
      <c r="I979" t="s">
        <v>1998</v>
      </c>
      <c r="J979" t="s">
        <v>64</v>
      </c>
      <c r="K979" s="4">
        <f>VLOOKUP(J979,Exchange_Rates!A:B,2,FALSE)</f>
        <v>0.73</v>
      </c>
      <c r="L979" s="4">
        <f t="shared" si="60"/>
        <v>1147.4943000000001</v>
      </c>
      <c r="M979" s="4">
        <f t="shared" si="61"/>
        <v>0</v>
      </c>
      <c r="N979" s="4">
        <f t="shared" si="62"/>
        <v>2024</v>
      </c>
      <c r="O979" s="4">
        <f t="shared" si="63"/>
        <v>3</v>
      </c>
    </row>
    <row r="980" spans="1:15" x14ac:dyDescent="0.25">
      <c r="A980" t="s">
        <v>1999</v>
      </c>
      <c r="B980" s="2">
        <v>45799</v>
      </c>
      <c r="C980" t="s">
        <v>24</v>
      </c>
      <c r="D980" t="s">
        <v>25</v>
      </c>
      <c r="E980">
        <v>0</v>
      </c>
      <c r="F980">
        <v>504.44</v>
      </c>
      <c r="G980" t="s">
        <v>13</v>
      </c>
      <c r="H980" t="s">
        <v>34</v>
      </c>
      <c r="I980" t="s">
        <v>2000</v>
      </c>
      <c r="J980" t="s">
        <v>45</v>
      </c>
      <c r="K980" s="4">
        <f>VLOOKUP(J980,Exchange_Rates!A:B,2,FALSE)</f>
        <v>1</v>
      </c>
      <c r="L980" s="4">
        <f t="shared" si="60"/>
        <v>0</v>
      </c>
      <c r="M980" s="4">
        <f t="shared" si="61"/>
        <v>504.44</v>
      </c>
      <c r="N980" s="4">
        <f t="shared" si="62"/>
        <v>2025</v>
      </c>
      <c r="O980" s="4">
        <f t="shared" si="63"/>
        <v>2</v>
      </c>
    </row>
    <row r="981" spans="1:15" x14ac:dyDescent="0.25">
      <c r="A981" t="s">
        <v>2001</v>
      </c>
      <c r="B981" s="2">
        <v>45684</v>
      </c>
      <c r="C981" t="s">
        <v>24</v>
      </c>
      <c r="D981" t="s">
        <v>25</v>
      </c>
      <c r="E981">
        <v>0</v>
      </c>
      <c r="F981">
        <v>2486.2199999999998</v>
      </c>
      <c r="G981" t="s">
        <v>10</v>
      </c>
      <c r="H981" t="s">
        <v>62</v>
      </c>
      <c r="I981" t="s">
        <v>2002</v>
      </c>
      <c r="J981" t="s">
        <v>28</v>
      </c>
      <c r="K981" s="4">
        <f>VLOOKUP(J981,Exchange_Rates!A:B,2,FALSE)</f>
        <v>1.27</v>
      </c>
      <c r="L981" s="4">
        <f t="shared" si="60"/>
        <v>0</v>
      </c>
      <c r="M981" s="4">
        <f t="shared" si="61"/>
        <v>3157.4993999999997</v>
      </c>
      <c r="N981" s="4">
        <f t="shared" si="62"/>
        <v>2025</v>
      </c>
      <c r="O981" s="4">
        <f t="shared" si="63"/>
        <v>1</v>
      </c>
    </row>
    <row r="982" spans="1:15" x14ac:dyDescent="0.25">
      <c r="A982" t="s">
        <v>2003</v>
      </c>
      <c r="B982" s="2">
        <v>45705</v>
      </c>
      <c r="C982" t="s">
        <v>49</v>
      </c>
      <c r="D982" t="s">
        <v>50</v>
      </c>
      <c r="E982">
        <v>397.17</v>
      </c>
      <c r="F982">
        <v>0</v>
      </c>
      <c r="G982" t="s">
        <v>8</v>
      </c>
      <c r="H982" t="s">
        <v>51</v>
      </c>
      <c r="I982" t="s">
        <v>2004</v>
      </c>
      <c r="J982" t="s">
        <v>36</v>
      </c>
      <c r="K982" s="4">
        <f>VLOOKUP(J982,Exchange_Rates!A:B,2,FALSE)</f>
        <v>1.08</v>
      </c>
      <c r="L982" s="4">
        <f t="shared" si="60"/>
        <v>428.94360000000006</v>
      </c>
      <c r="M982" s="4">
        <f t="shared" si="61"/>
        <v>0</v>
      </c>
      <c r="N982" s="4">
        <f t="shared" si="62"/>
        <v>2025</v>
      </c>
      <c r="O982" s="4">
        <f t="shared" si="63"/>
        <v>1</v>
      </c>
    </row>
    <row r="983" spans="1:15" x14ac:dyDescent="0.25">
      <c r="A983" t="s">
        <v>2005</v>
      </c>
      <c r="B983" s="2">
        <v>45534</v>
      </c>
      <c r="C983" t="s">
        <v>49</v>
      </c>
      <c r="D983" t="s">
        <v>50</v>
      </c>
      <c r="E983">
        <v>1558.38</v>
      </c>
      <c r="F983">
        <v>0</v>
      </c>
      <c r="G983" t="s">
        <v>8</v>
      </c>
      <c r="H983" t="s">
        <v>51</v>
      </c>
      <c r="I983" t="s">
        <v>2006</v>
      </c>
      <c r="J983" t="s">
        <v>28</v>
      </c>
      <c r="K983" s="4">
        <f>VLOOKUP(J983,Exchange_Rates!A:B,2,FALSE)</f>
        <v>1.27</v>
      </c>
      <c r="L983" s="4">
        <f t="shared" si="60"/>
        <v>1979.1426000000001</v>
      </c>
      <c r="M983" s="4">
        <f t="shared" si="61"/>
        <v>0</v>
      </c>
      <c r="N983" s="4">
        <f t="shared" si="62"/>
        <v>2024</v>
      </c>
      <c r="O983" s="4">
        <f t="shared" si="63"/>
        <v>3</v>
      </c>
    </row>
    <row r="984" spans="1:15" x14ac:dyDescent="0.25">
      <c r="A984" t="s">
        <v>2007</v>
      </c>
      <c r="B984" s="2">
        <v>45270</v>
      </c>
      <c r="C984" t="s">
        <v>24</v>
      </c>
      <c r="D984" t="s">
        <v>25</v>
      </c>
      <c r="E984">
        <v>0</v>
      </c>
      <c r="F984">
        <v>1902.31</v>
      </c>
      <c r="G984" t="s">
        <v>12</v>
      </c>
      <c r="H984" t="s">
        <v>40</v>
      </c>
      <c r="I984" t="s">
        <v>2008</v>
      </c>
      <c r="J984" t="s">
        <v>45</v>
      </c>
      <c r="K984" s="4">
        <f>VLOOKUP(J984,Exchange_Rates!A:B,2,FALSE)</f>
        <v>1</v>
      </c>
      <c r="L984" s="4">
        <f t="shared" si="60"/>
        <v>0</v>
      </c>
      <c r="M984" s="4">
        <f t="shared" si="61"/>
        <v>1902.31</v>
      </c>
      <c r="N984" s="4">
        <f t="shared" si="62"/>
        <v>2023</v>
      </c>
      <c r="O984" s="4">
        <f t="shared" si="63"/>
        <v>4</v>
      </c>
    </row>
    <row r="985" spans="1:15" x14ac:dyDescent="0.25">
      <c r="A985" t="s">
        <v>2009</v>
      </c>
      <c r="B985" s="2">
        <v>45604</v>
      </c>
      <c r="C985" t="s">
        <v>38</v>
      </c>
      <c r="D985" t="s">
        <v>39</v>
      </c>
      <c r="E985">
        <v>330.31</v>
      </c>
      <c r="F985">
        <v>0</v>
      </c>
      <c r="G985" t="s">
        <v>12</v>
      </c>
      <c r="H985" t="s">
        <v>40</v>
      </c>
      <c r="I985" t="s">
        <v>2010</v>
      </c>
      <c r="J985" t="s">
        <v>36</v>
      </c>
      <c r="K985" s="4">
        <f>VLOOKUP(J985,Exchange_Rates!A:B,2,FALSE)</f>
        <v>1.08</v>
      </c>
      <c r="L985" s="4">
        <f t="shared" si="60"/>
        <v>356.73480000000001</v>
      </c>
      <c r="M985" s="4">
        <f t="shared" si="61"/>
        <v>0</v>
      </c>
      <c r="N985" s="4">
        <f t="shared" si="62"/>
        <v>2024</v>
      </c>
      <c r="O985" s="4">
        <f t="shared" si="63"/>
        <v>4</v>
      </c>
    </row>
    <row r="986" spans="1:15" x14ac:dyDescent="0.25">
      <c r="A986" t="s">
        <v>2011</v>
      </c>
      <c r="B986" s="2">
        <v>45502</v>
      </c>
      <c r="C986" t="s">
        <v>60</v>
      </c>
      <c r="D986" t="s">
        <v>61</v>
      </c>
      <c r="E986">
        <v>0</v>
      </c>
      <c r="F986">
        <v>369.23</v>
      </c>
      <c r="G986" t="s">
        <v>13</v>
      </c>
      <c r="H986" t="s">
        <v>34</v>
      </c>
      <c r="I986" t="s">
        <v>2012</v>
      </c>
      <c r="J986" t="s">
        <v>42</v>
      </c>
      <c r="K986" s="4">
        <f>VLOOKUP(J986,Exchange_Rates!A:B,2,FALSE)</f>
        <v>0.66</v>
      </c>
      <c r="L986" s="4">
        <f t="shared" si="60"/>
        <v>0</v>
      </c>
      <c r="M986" s="4">
        <f t="shared" si="61"/>
        <v>243.69180000000003</v>
      </c>
      <c r="N986" s="4">
        <f t="shared" si="62"/>
        <v>2024</v>
      </c>
      <c r="O986" s="4">
        <f t="shared" si="63"/>
        <v>3</v>
      </c>
    </row>
    <row r="987" spans="1:15" x14ac:dyDescent="0.25">
      <c r="A987" t="s">
        <v>2013</v>
      </c>
      <c r="B987" s="2">
        <v>45130</v>
      </c>
      <c r="C987" t="s">
        <v>60</v>
      </c>
      <c r="D987" t="s">
        <v>61</v>
      </c>
      <c r="E987">
        <v>0</v>
      </c>
      <c r="F987">
        <v>2516.86</v>
      </c>
      <c r="G987" t="s">
        <v>9</v>
      </c>
      <c r="H987" t="s">
        <v>51</v>
      </c>
      <c r="I987" t="s">
        <v>2014</v>
      </c>
      <c r="J987" t="s">
        <v>36</v>
      </c>
      <c r="K987" s="4">
        <f>VLOOKUP(J987,Exchange_Rates!A:B,2,FALSE)</f>
        <v>1.08</v>
      </c>
      <c r="L987" s="4">
        <f t="shared" si="60"/>
        <v>0</v>
      </c>
      <c r="M987" s="4">
        <f t="shared" si="61"/>
        <v>2718.2088000000003</v>
      </c>
      <c r="N987" s="4">
        <f t="shared" si="62"/>
        <v>2023</v>
      </c>
      <c r="O987" s="4">
        <f t="shared" si="63"/>
        <v>3</v>
      </c>
    </row>
    <row r="988" spans="1:15" x14ac:dyDescent="0.25">
      <c r="A988" t="s">
        <v>2015</v>
      </c>
      <c r="B988" s="2">
        <v>45769</v>
      </c>
      <c r="C988" t="s">
        <v>60</v>
      </c>
      <c r="D988" t="s">
        <v>61</v>
      </c>
      <c r="E988">
        <v>0</v>
      </c>
      <c r="F988">
        <v>2267.1999999999998</v>
      </c>
      <c r="G988" t="s">
        <v>8</v>
      </c>
      <c r="H988" t="s">
        <v>34</v>
      </c>
      <c r="I988" t="s">
        <v>2016</v>
      </c>
      <c r="J988" t="s">
        <v>42</v>
      </c>
      <c r="K988" s="4">
        <f>VLOOKUP(J988,Exchange_Rates!A:B,2,FALSE)</f>
        <v>0.66</v>
      </c>
      <c r="L988" s="4">
        <f t="shared" si="60"/>
        <v>0</v>
      </c>
      <c r="M988" s="4">
        <f t="shared" si="61"/>
        <v>1496.3519999999999</v>
      </c>
      <c r="N988" s="4">
        <f t="shared" si="62"/>
        <v>2025</v>
      </c>
      <c r="O988" s="4">
        <f t="shared" si="63"/>
        <v>2</v>
      </c>
    </row>
    <row r="989" spans="1:15" x14ac:dyDescent="0.25">
      <c r="A989" t="s">
        <v>2017</v>
      </c>
      <c r="B989" s="2">
        <v>45572</v>
      </c>
      <c r="C989" t="s">
        <v>30</v>
      </c>
      <c r="D989" t="s">
        <v>31</v>
      </c>
      <c r="E989">
        <v>270.42</v>
      </c>
      <c r="F989">
        <v>0</v>
      </c>
      <c r="G989" t="s">
        <v>10</v>
      </c>
      <c r="H989" t="s">
        <v>26</v>
      </c>
      <c r="I989" t="s">
        <v>2018</v>
      </c>
      <c r="J989" t="s">
        <v>64</v>
      </c>
      <c r="K989" s="4">
        <f>VLOOKUP(J989,Exchange_Rates!A:B,2,FALSE)</f>
        <v>0.73</v>
      </c>
      <c r="L989" s="4">
        <f t="shared" si="60"/>
        <v>197.4066</v>
      </c>
      <c r="M989" s="4">
        <f t="shared" si="61"/>
        <v>0</v>
      </c>
      <c r="N989" s="4">
        <f t="shared" si="62"/>
        <v>2024</v>
      </c>
      <c r="O989" s="4">
        <f t="shared" si="63"/>
        <v>4</v>
      </c>
    </row>
    <row r="990" spans="1:15" x14ac:dyDescent="0.25">
      <c r="A990" t="s">
        <v>2019</v>
      </c>
      <c r="B990" s="2">
        <v>45587</v>
      </c>
      <c r="C990" t="s">
        <v>24</v>
      </c>
      <c r="D990" t="s">
        <v>25</v>
      </c>
      <c r="E990">
        <v>0</v>
      </c>
      <c r="F990">
        <v>1807.47</v>
      </c>
      <c r="G990" t="s">
        <v>8</v>
      </c>
      <c r="H990" t="s">
        <v>51</v>
      </c>
      <c r="I990" t="s">
        <v>2020</v>
      </c>
      <c r="J990" t="s">
        <v>45</v>
      </c>
      <c r="K990" s="4">
        <f>VLOOKUP(J990,Exchange_Rates!A:B,2,FALSE)</f>
        <v>1</v>
      </c>
      <c r="L990" s="4">
        <f t="shared" si="60"/>
        <v>0</v>
      </c>
      <c r="M990" s="4">
        <f t="shared" si="61"/>
        <v>1807.47</v>
      </c>
      <c r="N990" s="4">
        <f t="shared" si="62"/>
        <v>2024</v>
      </c>
      <c r="O990" s="4">
        <f t="shared" si="63"/>
        <v>4</v>
      </c>
    </row>
    <row r="991" spans="1:15" x14ac:dyDescent="0.25">
      <c r="A991" t="s">
        <v>2021</v>
      </c>
      <c r="B991" s="2">
        <v>45723</v>
      </c>
      <c r="C991" t="s">
        <v>30</v>
      </c>
      <c r="D991" t="s">
        <v>31</v>
      </c>
      <c r="E991">
        <v>1404.46</v>
      </c>
      <c r="F991">
        <v>0</v>
      </c>
      <c r="G991" t="s">
        <v>10</v>
      </c>
      <c r="H991" t="s">
        <v>34</v>
      </c>
      <c r="I991" t="s">
        <v>2022</v>
      </c>
      <c r="J991" t="s">
        <v>64</v>
      </c>
      <c r="K991" s="4">
        <f>VLOOKUP(J991,Exchange_Rates!A:B,2,FALSE)</f>
        <v>0.73</v>
      </c>
      <c r="L991" s="4">
        <f t="shared" si="60"/>
        <v>1025.2557999999999</v>
      </c>
      <c r="M991" s="4">
        <f t="shared" si="61"/>
        <v>0</v>
      </c>
      <c r="N991" s="4">
        <f t="shared" si="62"/>
        <v>2025</v>
      </c>
      <c r="O991" s="4">
        <f t="shared" si="63"/>
        <v>1</v>
      </c>
    </row>
    <row r="992" spans="1:15" x14ac:dyDescent="0.25">
      <c r="A992" t="s">
        <v>2023</v>
      </c>
      <c r="B992" s="2">
        <v>45667</v>
      </c>
      <c r="C992" t="s">
        <v>38</v>
      </c>
      <c r="D992" t="s">
        <v>39</v>
      </c>
      <c r="E992">
        <v>1628.38</v>
      </c>
      <c r="F992">
        <v>0</v>
      </c>
      <c r="G992" t="s">
        <v>13</v>
      </c>
      <c r="H992" t="s">
        <v>26</v>
      </c>
      <c r="I992" t="s">
        <v>2024</v>
      </c>
      <c r="J992" t="s">
        <v>64</v>
      </c>
      <c r="K992" s="4">
        <f>VLOOKUP(J992,Exchange_Rates!A:B,2,FALSE)</f>
        <v>0.73</v>
      </c>
      <c r="L992" s="4">
        <f t="shared" si="60"/>
        <v>1188.7174</v>
      </c>
      <c r="M992" s="4">
        <f t="shared" si="61"/>
        <v>0</v>
      </c>
      <c r="N992" s="4">
        <f t="shared" si="62"/>
        <v>2025</v>
      </c>
      <c r="O992" s="4">
        <f t="shared" si="63"/>
        <v>1</v>
      </c>
    </row>
    <row r="993" spans="1:15" x14ac:dyDescent="0.25">
      <c r="A993" t="s">
        <v>2025</v>
      </c>
      <c r="B993" s="2">
        <v>45132</v>
      </c>
      <c r="C993" t="s">
        <v>49</v>
      </c>
      <c r="D993" t="s">
        <v>50</v>
      </c>
      <c r="E993">
        <v>1593.21</v>
      </c>
      <c r="F993">
        <v>0</v>
      </c>
      <c r="G993" t="s">
        <v>9</v>
      </c>
      <c r="H993" t="s">
        <v>51</v>
      </c>
      <c r="I993" t="s">
        <v>2026</v>
      </c>
      <c r="J993" t="s">
        <v>36</v>
      </c>
      <c r="K993" s="4">
        <f>VLOOKUP(J993,Exchange_Rates!A:B,2,FALSE)</f>
        <v>1.08</v>
      </c>
      <c r="L993" s="4">
        <f t="shared" si="60"/>
        <v>1720.6668000000002</v>
      </c>
      <c r="M993" s="4">
        <f t="shared" si="61"/>
        <v>0</v>
      </c>
      <c r="N993" s="4">
        <f t="shared" si="62"/>
        <v>2023</v>
      </c>
      <c r="O993" s="4">
        <f t="shared" si="63"/>
        <v>3</v>
      </c>
    </row>
    <row r="994" spans="1:15" x14ac:dyDescent="0.25">
      <c r="A994" t="s">
        <v>2027</v>
      </c>
      <c r="B994" s="2">
        <v>45275</v>
      </c>
      <c r="C994" t="s">
        <v>24</v>
      </c>
      <c r="D994" t="s">
        <v>25</v>
      </c>
      <c r="E994">
        <v>0</v>
      </c>
      <c r="F994">
        <v>3100.79</v>
      </c>
      <c r="G994" t="s">
        <v>8</v>
      </c>
      <c r="H994" t="s">
        <v>51</v>
      </c>
      <c r="I994" t="s">
        <v>2028</v>
      </c>
      <c r="J994" t="s">
        <v>64</v>
      </c>
      <c r="K994" s="4">
        <f>VLOOKUP(J994,Exchange_Rates!A:B,2,FALSE)</f>
        <v>0.73</v>
      </c>
      <c r="L994" s="4">
        <f t="shared" si="60"/>
        <v>0</v>
      </c>
      <c r="M994" s="4">
        <f t="shared" si="61"/>
        <v>2263.5767000000001</v>
      </c>
      <c r="N994" s="4">
        <f t="shared" si="62"/>
        <v>2023</v>
      </c>
      <c r="O994" s="4">
        <f t="shared" si="63"/>
        <v>4</v>
      </c>
    </row>
    <row r="995" spans="1:15" x14ac:dyDescent="0.25">
      <c r="A995" t="s">
        <v>2029</v>
      </c>
      <c r="B995" s="2">
        <v>45127</v>
      </c>
      <c r="C995" t="s">
        <v>30</v>
      </c>
      <c r="D995" t="s">
        <v>31</v>
      </c>
      <c r="E995">
        <v>759.38</v>
      </c>
      <c r="F995">
        <v>0</v>
      </c>
      <c r="G995" t="s">
        <v>11</v>
      </c>
      <c r="H995" t="s">
        <v>62</v>
      </c>
      <c r="I995" t="s">
        <v>2030</v>
      </c>
      <c r="J995" t="s">
        <v>42</v>
      </c>
      <c r="K995" s="4">
        <f>VLOOKUP(J995,Exchange_Rates!A:B,2,FALSE)</f>
        <v>0.66</v>
      </c>
      <c r="L995" s="4">
        <f t="shared" si="60"/>
        <v>501.19080000000002</v>
      </c>
      <c r="M995" s="4">
        <f t="shared" si="61"/>
        <v>0</v>
      </c>
      <c r="N995" s="4">
        <f t="shared" si="62"/>
        <v>2023</v>
      </c>
      <c r="O995" s="4">
        <f t="shared" si="63"/>
        <v>3</v>
      </c>
    </row>
    <row r="996" spans="1:15" x14ac:dyDescent="0.25">
      <c r="A996" t="s">
        <v>2031</v>
      </c>
      <c r="B996" s="2">
        <v>45655</v>
      </c>
      <c r="C996" t="s">
        <v>38</v>
      </c>
      <c r="D996" t="s">
        <v>39</v>
      </c>
      <c r="E996">
        <v>818.52</v>
      </c>
      <c r="F996">
        <v>0</v>
      </c>
      <c r="G996" t="s">
        <v>11</v>
      </c>
      <c r="H996" t="s">
        <v>26</v>
      </c>
      <c r="I996" t="s">
        <v>2032</v>
      </c>
      <c r="J996" t="s">
        <v>28</v>
      </c>
      <c r="K996" s="4">
        <f>VLOOKUP(J996,Exchange_Rates!A:B,2,FALSE)</f>
        <v>1.27</v>
      </c>
      <c r="L996" s="4">
        <f t="shared" si="60"/>
        <v>1039.5203999999999</v>
      </c>
      <c r="M996" s="4">
        <f t="shared" si="61"/>
        <v>0</v>
      </c>
      <c r="N996" s="4">
        <f t="shared" si="62"/>
        <v>2024</v>
      </c>
      <c r="O996" s="4">
        <f t="shared" si="63"/>
        <v>4</v>
      </c>
    </row>
    <row r="997" spans="1:15" x14ac:dyDescent="0.25">
      <c r="A997" t="s">
        <v>2033</v>
      </c>
      <c r="B997" s="2">
        <v>44958</v>
      </c>
      <c r="C997" t="s">
        <v>38</v>
      </c>
      <c r="D997" t="s">
        <v>39</v>
      </c>
      <c r="E997">
        <v>1003.28</v>
      </c>
      <c r="F997">
        <v>0</v>
      </c>
      <c r="G997" t="s">
        <v>11</v>
      </c>
      <c r="H997" t="s">
        <v>51</v>
      </c>
      <c r="I997" t="s">
        <v>2034</v>
      </c>
      <c r="J997" t="s">
        <v>42</v>
      </c>
      <c r="K997" s="4">
        <f>VLOOKUP(J997,Exchange_Rates!A:B,2,FALSE)</f>
        <v>0.66</v>
      </c>
      <c r="L997" s="4">
        <f t="shared" si="60"/>
        <v>662.16480000000001</v>
      </c>
      <c r="M997" s="4">
        <f t="shared" si="61"/>
        <v>0</v>
      </c>
      <c r="N997" s="4">
        <f t="shared" si="62"/>
        <v>2023</v>
      </c>
      <c r="O997" s="4">
        <f t="shared" si="63"/>
        <v>1</v>
      </c>
    </row>
    <row r="998" spans="1:15" x14ac:dyDescent="0.25">
      <c r="A998" t="s">
        <v>2035</v>
      </c>
      <c r="B998" s="2">
        <v>45377</v>
      </c>
      <c r="C998" t="s">
        <v>60</v>
      </c>
      <c r="D998" t="s">
        <v>61</v>
      </c>
      <c r="E998">
        <v>0</v>
      </c>
      <c r="F998">
        <v>3683.5</v>
      </c>
      <c r="G998" t="s">
        <v>8</v>
      </c>
      <c r="H998" t="s">
        <v>62</v>
      </c>
      <c r="I998" t="s">
        <v>2036</v>
      </c>
      <c r="J998" t="s">
        <v>45</v>
      </c>
      <c r="K998" s="4">
        <f>VLOOKUP(J998,Exchange_Rates!A:B,2,FALSE)</f>
        <v>1</v>
      </c>
      <c r="L998" s="4">
        <f t="shared" si="60"/>
        <v>0</v>
      </c>
      <c r="M998" s="4">
        <f t="shared" si="61"/>
        <v>3683.5</v>
      </c>
      <c r="N998" s="4">
        <f t="shared" si="62"/>
        <v>2024</v>
      </c>
      <c r="O998" s="4">
        <f t="shared" si="63"/>
        <v>1</v>
      </c>
    </row>
    <row r="999" spans="1:15" x14ac:dyDescent="0.25">
      <c r="A999" t="s">
        <v>2037</v>
      </c>
      <c r="B999" s="2">
        <v>45725</v>
      </c>
      <c r="C999" t="s">
        <v>49</v>
      </c>
      <c r="D999" t="s">
        <v>50</v>
      </c>
      <c r="E999">
        <v>1336.12</v>
      </c>
      <c r="F999">
        <v>0</v>
      </c>
      <c r="G999" t="s">
        <v>11</v>
      </c>
      <c r="H999" t="s">
        <v>62</v>
      </c>
      <c r="I999" t="s">
        <v>2038</v>
      </c>
      <c r="J999" t="s">
        <v>64</v>
      </c>
      <c r="K999" s="4">
        <f>VLOOKUP(J999,Exchange_Rates!A:B,2,FALSE)</f>
        <v>0.73</v>
      </c>
      <c r="L999" s="4">
        <f t="shared" si="60"/>
        <v>975.36759999999992</v>
      </c>
      <c r="M999" s="4">
        <f t="shared" si="61"/>
        <v>0</v>
      </c>
      <c r="N999" s="4">
        <f t="shared" si="62"/>
        <v>2025</v>
      </c>
      <c r="O999" s="4">
        <f t="shared" si="63"/>
        <v>1</v>
      </c>
    </row>
    <row r="1000" spans="1:15" x14ac:dyDescent="0.25">
      <c r="A1000" t="s">
        <v>2039</v>
      </c>
      <c r="B1000" s="2">
        <v>45490</v>
      </c>
      <c r="C1000" t="s">
        <v>24</v>
      </c>
      <c r="D1000" t="s">
        <v>25</v>
      </c>
      <c r="E1000">
        <v>0</v>
      </c>
      <c r="F1000">
        <v>142.47999999999999</v>
      </c>
      <c r="G1000" t="s">
        <v>8</v>
      </c>
      <c r="H1000" t="s">
        <v>62</v>
      </c>
      <c r="I1000" t="s">
        <v>2040</v>
      </c>
      <c r="J1000" t="s">
        <v>28</v>
      </c>
      <c r="K1000" s="4">
        <f>VLOOKUP(J1000,Exchange_Rates!A:B,2,FALSE)</f>
        <v>1.27</v>
      </c>
      <c r="L1000" s="4">
        <f t="shared" si="60"/>
        <v>0</v>
      </c>
      <c r="M1000" s="4">
        <f t="shared" si="61"/>
        <v>180.94959999999998</v>
      </c>
      <c r="N1000" s="4">
        <f t="shared" si="62"/>
        <v>2024</v>
      </c>
      <c r="O1000" s="4">
        <f t="shared" si="63"/>
        <v>3</v>
      </c>
    </row>
    <row r="1001" spans="1:15" x14ac:dyDescent="0.25">
      <c r="A1001" t="s">
        <v>2041</v>
      </c>
      <c r="B1001" s="2">
        <v>45797</v>
      </c>
      <c r="C1001" t="s">
        <v>38</v>
      </c>
      <c r="D1001" t="s">
        <v>39</v>
      </c>
      <c r="E1001">
        <v>225.03</v>
      </c>
      <c r="F1001">
        <v>0</v>
      </c>
      <c r="G1001" t="s">
        <v>11</v>
      </c>
      <c r="H1001" t="s">
        <v>62</v>
      </c>
      <c r="I1001" t="s">
        <v>2042</v>
      </c>
      <c r="J1001" t="s">
        <v>64</v>
      </c>
      <c r="K1001" s="4">
        <f>VLOOKUP(J1001,Exchange_Rates!A:B,2,FALSE)</f>
        <v>0.73</v>
      </c>
      <c r="L1001" s="4">
        <f t="shared" si="60"/>
        <v>164.27189999999999</v>
      </c>
      <c r="M1001" s="4">
        <f t="shared" si="61"/>
        <v>0</v>
      </c>
      <c r="N1001" s="4">
        <f t="shared" si="62"/>
        <v>2025</v>
      </c>
      <c r="O1001" s="4">
        <f t="shared" si="63"/>
        <v>2</v>
      </c>
    </row>
    <row r="1002" spans="1:15" x14ac:dyDescent="0.25">
      <c r="A1002" t="s">
        <v>2043</v>
      </c>
      <c r="B1002" s="2">
        <v>45701</v>
      </c>
      <c r="C1002" t="s">
        <v>30</v>
      </c>
      <c r="D1002" t="s">
        <v>31</v>
      </c>
      <c r="E1002">
        <v>1959.72</v>
      </c>
      <c r="F1002">
        <v>0</v>
      </c>
      <c r="G1002" t="s">
        <v>11</v>
      </c>
      <c r="H1002" t="s">
        <v>51</v>
      </c>
      <c r="I1002" t="s">
        <v>2044</v>
      </c>
      <c r="J1002" t="s">
        <v>42</v>
      </c>
      <c r="K1002" s="4">
        <f>VLOOKUP(J1002,Exchange_Rates!A:B,2,FALSE)</f>
        <v>0.66</v>
      </c>
      <c r="L1002" s="4">
        <f t="shared" si="60"/>
        <v>1293.4152000000001</v>
      </c>
      <c r="M1002" s="4">
        <f t="shared" si="61"/>
        <v>0</v>
      </c>
      <c r="N1002" s="4">
        <f t="shared" si="62"/>
        <v>2025</v>
      </c>
      <c r="O1002" s="4">
        <f t="shared" si="63"/>
        <v>1</v>
      </c>
    </row>
    <row r="1003" spans="1:15" x14ac:dyDescent="0.25">
      <c r="A1003" t="s">
        <v>2045</v>
      </c>
      <c r="B1003" s="2">
        <v>45528</v>
      </c>
      <c r="C1003" t="s">
        <v>38</v>
      </c>
      <c r="D1003" t="s">
        <v>39</v>
      </c>
      <c r="E1003">
        <v>459.97</v>
      </c>
      <c r="F1003">
        <v>0</v>
      </c>
      <c r="G1003" t="s">
        <v>11</v>
      </c>
      <c r="H1003" t="s">
        <v>62</v>
      </c>
      <c r="I1003" t="s">
        <v>2046</v>
      </c>
      <c r="J1003" t="s">
        <v>45</v>
      </c>
      <c r="K1003" s="4">
        <f>VLOOKUP(J1003,Exchange_Rates!A:B,2,FALSE)</f>
        <v>1</v>
      </c>
      <c r="L1003" s="4">
        <f t="shared" si="60"/>
        <v>459.97</v>
      </c>
      <c r="M1003" s="4">
        <f t="shared" si="61"/>
        <v>0</v>
      </c>
      <c r="N1003" s="4">
        <f t="shared" si="62"/>
        <v>2024</v>
      </c>
      <c r="O1003" s="4">
        <f t="shared" si="63"/>
        <v>3</v>
      </c>
    </row>
    <row r="1004" spans="1:15" x14ac:dyDescent="0.25">
      <c r="A1004" t="s">
        <v>2047</v>
      </c>
      <c r="B1004" s="2">
        <v>45420</v>
      </c>
      <c r="C1004" t="s">
        <v>24</v>
      </c>
      <c r="D1004" t="s">
        <v>25</v>
      </c>
      <c r="E1004">
        <v>0</v>
      </c>
      <c r="F1004">
        <v>1518.16</v>
      </c>
      <c r="G1004" t="s">
        <v>10</v>
      </c>
      <c r="H1004" t="s">
        <v>26</v>
      </c>
      <c r="I1004" t="s">
        <v>2048</v>
      </c>
      <c r="J1004" t="s">
        <v>45</v>
      </c>
      <c r="K1004" s="4">
        <f>VLOOKUP(J1004,Exchange_Rates!A:B,2,FALSE)</f>
        <v>1</v>
      </c>
      <c r="L1004" s="4">
        <f t="shared" si="60"/>
        <v>0</v>
      </c>
      <c r="M1004" s="4">
        <f t="shared" si="61"/>
        <v>1518.16</v>
      </c>
      <c r="N1004" s="4">
        <f t="shared" si="62"/>
        <v>2024</v>
      </c>
      <c r="O1004" s="4">
        <f t="shared" si="63"/>
        <v>2</v>
      </c>
    </row>
    <row r="1005" spans="1:15" x14ac:dyDescent="0.25">
      <c r="A1005" t="s">
        <v>2049</v>
      </c>
      <c r="B1005" s="2">
        <v>45471</v>
      </c>
      <c r="C1005" t="s">
        <v>38</v>
      </c>
      <c r="D1005" t="s">
        <v>39</v>
      </c>
      <c r="E1005">
        <v>1278.1199999999999</v>
      </c>
      <c r="F1005">
        <v>0</v>
      </c>
      <c r="G1005" t="s">
        <v>13</v>
      </c>
      <c r="H1005" t="s">
        <v>26</v>
      </c>
      <c r="I1005" t="s">
        <v>2050</v>
      </c>
      <c r="J1005" t="s">
        <v>36</v>
      </c>
      <c r="K1005" s="4">
        <f>VLOOKUP(J1005,Exchange_Rates!A:B,2,FALSE)</f>
        <v>1.08</v>
      </c>
      <c r="L1005" s="4">
        <f t="shared" si="60"/>
        <v>1380.3696</v>
      </c>
      <c r="M1005" s="4">
        <f t="shared" si="61"/>
        <v>0</v>
      </c>
      <c r="N1005" s="4">
        <f t="shared" si="62"/>
        <v>2024</v>
      </c>
      <c r="O1005" s="4">
        <f t="shared" si="63"/>
        <v>2</v>
      </c>
    </row>
    <row r="1006" spans="1:15" x14ac:dyDescent="0.25">
      <c r="A1006" t="s">
        <v>2051</v>
      </c>
      <c r="B1006" s="2">
        <v>45410</v>
      </c>
      <c r="C1006" t="s">
        <v>30</v>
      </c>
      <c r="D1006" t="s">
        <v>31</v>
      </c>
      <c r="E1006">
        <v>1956.42</v>
      </c>
      <c r="F1006">
        <v>0</v>
      </c>
      <c r="G1006" t="s">
        <v>11</v>
      </c>
      <c r="H1006" t="s">
        <v>62</v>
      </c>
      <c r="I1006" t="s">
        <v>2052</v>
      </c>
      <c r="J1006" t="s">
        <v>36</v>
      </c>
      <c r="K1006" s="4">
        <f>VLOOKUP(J1006,Exchange_Rates!A:B,2,FALSE)</f>
        <v>1.08</v>
      </c>
      <c r="L1006" s="4">
        <f t="shared" si="60"/>
        <v>2112.9336000000003</v>
      </c>
      <c r="M1006" s="4">
        <f t="shared" si="61"/>
        <v>0</v>
      </c>
      <c r="N1006" s="4">
        <f t="shared" si="62"/>
        <v>2024</v>
      </c>
      <c r="O1006" s="4">
        <f t="shared" si="63"/>
        <v>2</v>
      </c>
    </row>
    <row r="1007" spans="1:15" x14ac:dyDescent="0.25">
      <c r="A1007" t="s">
        <v>2053</v>
      </c>
      <c r="B1007" s="2">
        <v>45445</v>
      </c>
      <c r="C1007" t="s">
        <v>49</v>
      </c>
      <c r="D1007" t="s">
        <v>50</v>
      </c>
      <c r="E1007">
        <v>1816.11</v>
      </c>
      <c r="F1007">
        <v>0</v>
      </c>
      <c r="G1007" t="s">
        <v>10</v>
      </c>
      <c r="H1007" t="s">
        <v>40</v>
      </c>
      <c r="I1007" t="s">
        <v>2054</v>
      </c>
      <c r="J1007" t="s">
        <v>28</v>
      </c>
      <c r="K1007" s="4">
        <f>VLOOKUP(J1007,Exchange_Rates!A:B,2,FALSE)</f>
        <v>1.27</v>
      </c>
      <c r="L1007" s="4">
        <f t="shared" si="60"/>
        <v>2306.4596999999999</v>
      </c>
      <c r="M1007" s="4">
        <f t="shared" si="61"/>
        <v>0</v>
      </c>
      <c r="N1007" s="4">
        <f t="shared" si="62"/>
        <v>2024</v>
      </c>
      <c r="O1007" s="4">
        <f t="shared" si="63"/>
        <v>2</v>
      </c>
    </row>
    <row r="1008" spans="1:15" x14ac:dyDescent="0.25">
      <c r="A1008" t="s">
        <v>2055</v>
      </c>
      <c r="B1008" s="2">
        <v>45615</v>
      </c>
      <c r="C1008" t="s">
        <v>30</v>
      </c>
      <c r="D1008" t="s">
        <v>31</v>
      </c>
      <c r="E1008">
        <v>1309.5</v>
      </c>
      <c r="F1008">
        <v>0</v>
      </c>
      <c r="G1008" t="s">
        <v>8</v>
      </c>
      <c r="H1008" t="s">
        <v>34</v>
      </c>
      <c r="I1008" t="s">
        <v>2056</v>
      </c>
      <c r="J1008" t="s">
        <v>36</v>
      </c>
      <c r="K1008" s="4">
        <f>VLOOKUP(J1008,Exchange_Rates!A:B,2,FALSE)</f>
        <v>1.08</v>
      </c>
      <c r="L1008" s="4">
        <f t="shared" si="60"/>
        <v>1414.26</v>
      </c>
      <c r="M1008" s="4">
        <f t="shared" si="61"/>
        <v>0</v>
      </c>
      <c r="N1008" s="4">
        <f t="shared" si="62"/>
        <v>2024</v>
      </c>
      <c r="O1008" s="4">
        <f t="shared" si="63"/>
        <v>4</v>
      </c>
    </row>
    <row r="1009" spans="1:15" x14ac:dyDescent="0.25">
      <c r="A1009" t="s">
        <v>2057</v>
      </c>
      <c r="B1009" s="2">
        <v>45101</v>
      </c>
      <c r="C1009" t="s">
        <v>30</v>
      </c>
      <c r="D1009" t="s">
        <v>31</v>
      </c>
      <c r="E1009">
        <v>316.43</v>
      </c>
      <c r="F1009">
        <v>0</v>
      </c>
      <c r="G1009" t="s">
        <v>10</v>
      </c>
      <c r="H1009" t="s">
        <v>62</v>
      </c>
      <c r="I1009" t="s">
        <v>2058</v>
      </c>
      <c r="J1009" t="s">
        <v>36</v>
      </c>
      <c r="K1009" s="4">
        <f>VLOOKUP(J1009,Exchange_Rates!A:B,2,FALSE)</f>
        <v>1.08</v>
      </c>
      <c r="L1009" s="4">
        <f t="shared" si="60"/>
        <v>341.74440000000004</v>
      </c>
      <c r="M1009" s="4">
        <f t="shared" si="61"/>
        <v>0</v>
      </c>
      <c r="N1009" s="4">
        <f t="shared" si="62"/>
        <v>2023</v>
      </c>
      <c r="O1009" s="4">
        <f t="shared" si="63"/>
        <v>2</v>
      </c>
    </row>
    <row r="1010" spans="1:15" x14ac:dyDescent="0.25">
      <c r="A1010" t="s">
        <v>2059</v>
      </c>
      <c r="B1010" s="2">
        <v>45407</v>
      </c>
      <c r="C1010" t="s">
        <v>24</v>
      </c>
      <c r="D1010" t="s">
        <v>25</v>
      </c>
      <c r="E1010">
        <v>0</v>
      </c>
      <c r="F1010">
        <v>4239.59</v>
      </c>
      <c r="G1010" t="s">
        <v>11</v>
      </c>
      <c r="H1010" t="s">
        <v>62</v>
      </c>
      <c r="I1010" t="s">
        <v>2060</v>
      </c>
      <c r="J1010" t="s">
        <v>36</v>
      </c>
      <c r="K1010" s="4">
        <f>VLOOKUP(J1010,Exchange_Rates!A:B,2,FALSE)</f>
        <v>1.08</v>
      </c>
      <c r="L1010" s="4">
        <f t="shared" si="60"/>
        <v>0</v>
      </c>
      <c r="M1010" s="4">
        <f t="shared" si="61"/>
        <v>4578.7572</v>
      </c>
      <c r="N1010" s="4">
        <f t="shared" si="62"/>
        <v>2024</v>
      </c>
      <c r="O1010" s="4">
        <f t="shared" si="63"/>
        <v>2</v>
      </c>
    </row>
    <row r="1011" spans="1:15" x14ac:dyDescent="0.25">
      <c r="A1011" t="s">
        <v>2061</v>
      </c>
      <c r="B1011" s="2">
        <v>45607</v>
      </c>
      <c r="C1011" t="s">
        <v>30</v>
      </c>
      <c r="D1011" t="s">
        <v>31</v>
      </c>
      <c r="E1011">
        <v>497.55</v>
      </c>
      <c r="F1011">
        <v>0</v>
      </c>
      <c r="G1011" t="s">
        <v>11</v>
      </c>
      <c r="H1011" t="s">
        <v>34</v>
      </c>
      <c r="I1011" t="s">
        <v>2062</v>
      </c>
      <c r="J1011" t="s">
        <v>28</v>
      </c>
      <c r="K1011" s="4">
        <f>VLOOKUP(J1011,Exchange_Rates!A:B,2,FALSE)</f>
        <v>1.27</v>
      </c>
      <c r="L1011" s="4">
        <f t="shared" si="60"/>
        <v>631.88850000000002</v>
      </c>
      <c r="M1011" s="4">
        <f t="shared" si="61"/>
        <v>0</v>
      </c>
      <c r="N1011" s="4">
        <f t="shared" si="62"/>
        <v>2024</v>
      </c>
      <c r="O1011" s="4">
        <f t="shared" si="63"/>
        <v>4</v>
      </c>
    </row>
    <row r="1012" spans="1:15" x14ac:dyDescent="0.25">
      <c r="A1012" t="s">
        <v>2063</v>
      </c>
      <c r="B1012" s="2">
        <v>45729</v>
      </c>
      <c r="C1012" t="s">
        <v>38</v>
      </c>
      <c r="D1012" t="s">
        <v>39</v>
      </c>
      <c r="E1012">
        <v>1978.21</v>
      </c>
      <c r="F1012">
        <v>0</v>
      </c>
      <c r="G1012" t="s">
        <v>9</v>
      </c>
      <c r="H1012" t="s">
        <v>26</v>
      </c>
      <c r="I1012" t="s">
        <v>2064</v>
      </c>
      <c r="J1012" t="s">
        <v>45</v>
      </c>
      <c r="K1012" s="4">
        <f>VLOOKUP(J1012,Exchange_Rates!A:B,2,FALSE)</f>
        <v>1</v>
      </c>
      <c r="L1012" s="4">
        <f t="shared" si="60"/>
        <v>1978.21</v>
      </c>
      <c r="M1012" s="4">
        <f t="shared" si="61"/>
        <v>0</v>
      </c>
      <c r="N1012" s="4">
        <f t="shared" si="62"/>
        <v>2025</v>
      </c>
      <c r="O1012" s="4">
        <f t="shared" si="63"/>
        <v>1</v>
      </c>
    </row>
    <row r="1013" spans="1:15" x14ac:dyDescent="0.25">
      <c r="A1013" t="s">
        <v>2065</v>
      </c>
      <c r="B1013" s="2">
        <v>45055</v>
      </c>
      <c r="C1013" t="s">
        <v>30</v>
      </c>
      <c r="D1013" t="s">
        <v>31</v>
      </c>
      <c r="E1013">
        <v>1691.11</v>
      </c>
      <c r="F1013">
        <v>0</v>
      </c>
      <c r="G1013" t="s">
        <v>10</v>
      </c>
      <c r="H1013" t="s">
        <v>34</v>
      </c>
      <c r="I1013" t="s">
        <v>2066</v>
      </c>
      <c r="J1013" t="s">
        <v>28</v>
      </c>
      <c r="K1013" s="4">
        <f>VLOOKUP(J1013,Exchange_Rates!A:B,2,FALSE)</f>
        <v>1.27</v>
      </c>
      <c r="L1013" s="4">
        <f t="shared" si="60"/>
        <v>2147.7096999999999</v>
      </c>
      <c r="M1013" s="4">
        <f t="shared" si="61"/>
        <v>0</v>
      </c>
      <c r="N1013" s="4">
        <f t="shared" si="62"/>
        <v>2023</v>
      </c>
      <c r="O1013" s="4">
        <f t="shared" si="63"/>
        <v>2</v>
      </c>
    </row>
    <row r="1014" spans="1:15" x14ac:dyDescent="0.25">
      <c r="A1014" t="s">
        <v>2067</v>
      </c>
      <c r="B1014" s="2">
        <v>45282</v>
      </c>
      <c r="C1014" t="s">
        <v>24</v>
      </c>
      <c r="D1014" t="s">
        <v>25</v>
      </c>
      <c r="E1014">
        <v>0</v>
      </c>
      <c r="F1014">
        <v>3238.48</v>
      </c>
      <c r="G1014" t="s">
        <v>11</v>
      </c>
      <c r="H1014" t="s">
        <v>34</v>
      </c>
      <c r="I1014" t="s">
        <v>2068</v>
      </c>
      <c r="J1014" t="s">
        <v>28</v>
      </c>
      <c r="K1014" s="4">
        <f>VLOOKUP(J1014,Exchange_Rates!A:B,2,FALSE)</f>
        <v>1.27</v>
      </c>
      <c r="L1014" s="4">
        <f t="shared" si="60"/>
        <v>0</v>
      </c>
      <c r="M1014" s="4">
        <f t="shared" si="61"/>
        <v>4112.8696</v>
      </c>
      <c r="N1014" s="4">
        <f t="shared" si="62"/>
        <v>2023</v>
      </c>
      <c r="O1014" s="4">
        <f t="shared" si="63"/>
        <v>4</v>
      </c>
    </row>
    <row r="1015" spans="1:15" x14ac:dyDescent="0.25">
      <c r="A1015" t="s">
        <v>2069</v>
      </c>
      <c r="B1015" s="2">
        <v>44955</v>
      </c>
      <c r="C1015" t="s">
        <v>60</v>
      </c>
      <c r="D1015" t="s">
        <v>61</v>
      </c>
      <c r="E1015">
        <v>0</v>
      </c>
      <c r="F1015">
        <v>2318.9699999999998</v>
      </c>
      <c r="G1015" t="s">
        <v>13</v>
      </c>
      <c r="H1015" t="s">
        <v>26</v>
      </c>
      <c r="I1015" t="s">
        <v>2070</v>
      </c>
      <c r="J1015" t="s">
        <v>42</v>
      </c>
      <c r="K1015" s="4">
        <f>VLOOKUP(J1015,Exchange_Rates!A:B,2,FALSE)</f>
        <v>0.66</v>
      </c>
      <c r="L1015" s="4">
        <f t="shared" si="60"/>
        <v>0</v>
      </c>
      <c r="M1015" s="4">
        <f t="shared" si="61"/>
        <v>1530.5201999999999</v>
      </c>
      <c r="N1015" s="4">
        <f t="shared" si="62"/>
        <v>2023</v>
      </c>
      <c r="O1015" s="4">
        <f t="shared" si="63"/>
        <v>1</v>
      </c>
    </row>
    <row r="1016" spans="1:15" x14ac:dyDescent="0.25">
      <c r="A1016" t="s">
        <v>2071</v>
      </c>
      <c r="B1016" s="2">
        <v>45255</v>
      </c>
      <c r="C1016" t="s">
        <v>30</v>
      </c>
      <c r="D1016" t="s">
        <v>31</v>
      </c>
      <c r="E1016">
        <v>683.66</v>
      </c>
      <c r="F1016">
        <v>0</v>
      </c>
      <c r="G1016" t="s">
        <v>9</v>
      </c>
      <c r="H1016" t="s">
        <v>51</v>
      </c>
      <c r="I1016" t="s">
        <v>2072</v>
      </c>
      <c r="J1016" t="s">
        <v>42</v>
      </c>
      <c r="K1016" s="4">
        <f>VLOOKUP(J1016,Exchange_Rates!A:B,2,FALSE)</f>
        <v>0.66</v>
      </c>
      <c r="L1016" s="4">
        <f t="shared" si="60"/>
        <v>451.21559999999999</v>
      </c>
      <c r="M1016" s="4">
        <f t="shared" si="61"/>
        <v>0</v>
      </c>
      <c r="N1016" s="4">
        <f t="shared" si="62"/>
        <v>2023</v>
      </c>
      <c r="O1016" s="4">
        <f t="shared" si="63"/>
        <v>4</v>
      </c>
    </row>
    <row r="1017" spans="1:15" x14ac:dyDescent="0.25">
      <c r="A1017" t="s">
        <v>2073</v>
      </c>
      <c r="B1017" s="2">
        <v>45087</v>
      </c>
      <c r="C1017" t="s">
        <v>38</v>
      </c>
      <c r="D1017" t="s">
        <v>39</v>
      </c>
      <c r="E1017">
        <v>1309.76</v>
      </c>
      <c r="F1017">
        <v>0</v>
      </c>
      <c r="G1017" t="s">
        <v>9</v>
      </c>
      <c r="H1017" t="s">
        <v>26</v>
      </c>
      <c r="I1017" t="s">
        <v>2074</v>
      </c>
      <c r="J1017" t="s">
        <v>42</v>
      </c>
      <c r="K1017" s="4">
        <f>VLOOKUP(J1017,Exchange_Rates!A:B,2,FALSE)</f>
        <v>0.66</v>
      </c>
      <c r="L1017" s="4">
        <f t="shared" si="60"/>
        <v>864.44159999999999</v>
      </c>
      <c r="M1017" s="4">
        <f t="shared" si="61"/>
        <v>0</v>
      </c>
      <c r="N1017" s="4">
        <f t="shared" si="62"/>
        <v>2023</v>
      </c>
      <c r="O1017" s="4">
        <f t="shared" si="63"/>
        <v>2</v>
      </c>
    </row>
    <row r="1018" spans="1:15" x14ac:dyDescent="0.25">
      <c r="A1018" t="s">
        <v>2075</v>
      </c>
      <c r="B1018" s="2">
        <v>45017</v>
      </c>
      <c r="C1018" t="s">
        <v>38</v>
      </c>
      <c r="D1018" t="s">
        <v>39</v>
      </c>
      <c r="E1018">
        <v>988.94</v>
      </c>
      <c r="F1018">
        <v>0</v>
      </c>
      <c r="G1018" t="s">
        <v>13</v>
      </c>
      <c r="H1018" t="s">
        <v>51</v>
      </c>
      <c r="I1018" t="s">
        <v>2076</v>
      </c>
      <c r="J1018" t="s">
        <v>45</v>
      </c>
      <c r="K1018" s="4">
        <f>VLOOKUP(J1018,Exchange_Rates!A:B,2,FALSE)</f>
        <v>1</v>
      </c>
      <c r="L1018" s="4">
        <f t="shared" si="60"/>
        <v>988.94</v>
      </c>
      <c r="M1018" s="4">
        <f t="shared" si="61"/>
        <v>0</v>
      </c>
      <c r="N1018" s="4">
        <f t="shared" si="62"/>
        <v>2023</v>
      </c>
      <c r="O1018" s="4">
        <f t="shared" si="63"/>
        <v>2</v>
      </c>
    </row>
    <row r="1019" spans="1:15" x14ac:dyDescent="0.25">
      <c r="A1019" t="s">
        <v>2077</v>
      </c>
      <c r="B1019" s="2">
        <v>45642</v>
      </c>
      <c r="C1019" t="s">
        <v>24</v>
      </c>
      <c r="D1019" t="s">
        <v>25</v>
      </c>
      <c r="E1019">
        <v>0</v>
      </c>
      <c r="F1019">
        <v>3981.75</v>
      </c>
      <c r="G1019" t="s">
        <v>8</v>
      </c>
      <c r="H1019" t="s">
        <v>40</v>
      </c>
      <c r="I1019" t="s">
        <v>2078</v>
      </c>
      <c r="J1019" t="s">
        <v>42</v>
      </c>
      <c r="K1019" s="4">
        <f>VLOOKUP(J1019,Exchange_Rates!A:B,2,FALSE)</f>
        <v>0.66</v>
      </c>
      <c r="L1019" s="4">
        <f t="shared" si="60"/>
        <v>0</v>
      </c>
      <c r="M1019" s="4">
        <f t="shared" si="61"/>
        <v>2627.9549999999999</v>
      </c>
      <c r="N1019" s="4">
        <f t="shared" si="62"/>
        <v>2024</v>
      </c>
      <c r="O1019" s="4">
        <f t="shared" si="63"/>
        <v>4</v>
      </c>
    </row>
    <row r="1020" spans="1:15" x14ac:dyDescent="0.25">
      <c r="A1020" t="s">
        <v>2079</v>
      </c>
      <c r="B1020" s="2">
        <v>45669</v>
      </c>
      <c r="C1020" t="s">
        <v>60</v>
      </c>
      <c r="D1020" t="s">
        <v>61</v>
      </c>
      <c r="E1020">
        <v>0</v>
      </c>
      <c r="F1020">
        <v>4727.49</v>
      </c>
      <c r="G1020" t="s">
        <v>8</v>
      </c>
      <c r="H1020" t="s">
        <v>34</v>
      </c>
      <c r="I1020" t="s">
        <v>2080</v>
      </c>
      <c r="J1020" t="s">
        <v>45</v>
      </c>
      <c r="K1020" s="4">
        <f>VLOOKUP(J1020,Exchange_Rates!A:B,2,FALSE)</f>
        <v>1</v>
      </c>
      <c r="L1020" s="4">
        <f t="shared" si="60"/>
        <v>0</v>
      </c>
      <c r="M1020" s="4">
        <f t="shared" si="61"/>
        <v>4727.49</v>
      </c>
      <c r="N1020" s="4">
        <f t="shared" si="62"/>
        <v>2025</v>
      </c>
      <c r="O1020" s="4">
        <f t="shared" si="63"/>
        <v>1</v>
      </c>
    </row>
    <row r="1021" spans="1:15" x14ac:dyDescent="0.25">
      <c r="A1021" t="s">
        <v>2081</v>
      </c>
      <c r="B1021" s="2">
        <v>45226</v>
      </c>
      <c r="C1021" t="s">
        <v>24</v>
      </c>
      <c r="D1021" t="s">
        <v>25</v>
      </c>
      <c r="E1021">
        <v>0</v>
      </c>
      <c r="F1021">
        <v>4557.5600000000004</v>
      </c>
      <c r="G1021" t="s">
        <v>12</v>
      </c>
      <c r="H1021" t="s">
        <v>51</v>
      </c>
      <c r="I1021" t="s">
        <v>2082</v>
      </c>
      <c r="J1021" t="s">
        <v>64</v>
      </c>
      <c r="K1021" s="4">
        <f>VLOOKUP(J1021,Exchange_Rates!A:B,2,FALSE)</f>
        <v>0.73</v>
      </c>
      <c r="L1021" s="4">
        <f t="shared" si="60"/>
        <v>0</v>
      </c>
      <c r="M1021" s="4">
        <f t="shared" si="61"/>
        <v>3327.0188000000003</v>
      </c>
      <c r="N1021" s="4">
        <f t="shared" si="62"/>
        <v>2023</v>
      </c>
      <c r="O1021" s="4">
        <f t="shared" si="63"/>
        <v>4</v>
      </c>
    </row>
    <row r="1022" spans="1:15" x14ac:dyDescent="0.25">
      <c r="A1022" t="s">
        <v>2083</v>
      </c>
      <c r="B1022" s="2">
        <v>45540</v>
      </c>
      <c r="C1022" t="s">
        <v>30</v>
      </c>
      <c r="D1022" t="s">
        <v>31</v>
      </c>
      <c r="E1022">
        <v>402.15</v>
      </c>
      <c r="F1022">
        <v>0</v>
      </c>
      <c r="G1022" t="s">
        <v>13</v>
      </c>
      <c r="H1022" t="s">
        <v>26</v>
      </c>
      <c r="I1022" t="s">
        <v>2084</v>
      </c>
      <c r="J1022" t="s">
        <v>36</v>
      </c>
      <c r="K1022" s="4">
        <f>VLOOKUP(J1022,Exchange_Rates!A:B,2,FALSE)</f>
        <v>1.08</v>
      </c>
      <c r="L1022" s="4">
        <f t="shared" si="60"/>
        <v>434.322</v>
      </c>
      <c r="M1022" s="4">
        <f t="shared" si="61"/>
        <v>0</v>
      </c>
      <c r="N1022" s="4">
        <f t="shared" si="62"/>
        <v>2024</v>
      </c>
      <c r="O1022" s="4">
        <f t="shared" si="63"/>
        <v>3</v>
      </c>
    </row>
    <row r="1023" spans="1:15" x14ac:dyDescent="0.25">
      <c r="A1023" t="s">
        <v>2085</v>
      </c>
      <c r="B1023" s="2">
        <v>45811</v>
      </c>
      <c r="C1023" t="s">
        <v>24</v>
      </c>
      <c r="D1023" t="s">
        <v>25</v>
      </c>
      <c r="E1023">
        <v>0</v>
      </c>
      <c r="F1023">
        <v>1210.2</v>
      </c>
      <c r="G1023" t="s">
        <v>9</v>
      </c>
      <c r="H1023" t="s">
        <v>26</v>
      </c>
      <c r="I1023" t="s">
        <v>2086</v>
      </c>
      <c r="J1023" t="s">
        <v>45</v>
      </c>
      <c r="K1023" s="4">
        <f>VLOOKUP(J1023,Exchange_Rates!A:B,2,FALSE)</f>
        <v>1</v>
      </c>
      <c r="L1023" s="4">
        <f t="shared" si="60"/>
        <v>0</v>
      </c>
      <c r="M1023" s="4">
        <f t="shared" si="61"/>
        <v>1210.2</v>
      </c>
      <c r="N1023" s="4">
        <f t="shared" si="62"/>
        <v>2025</v>
      </c>
      <c r="O1023" s="4">
        <f t="shared" si="63"/>
        <v>2</v>
      </c>
    </row>
    <row r="1024" spans="1:15" x14ac:dyDescent="0.25">
      <c r="A1024" t="s">
        <v>2087</v>
      </c>
      <c r="B1024" s="2">
        <v>44949</v>
      </c>
      <c r="C1024" t="s">
        <v>24</v>
      </c>
      <c r="D1024" t="s">
        <v>25</v>
      </c>
      <c r="E1024">
        <v>0</v>
      </c>
      <c r="F1024">
        <v>256.32</v>
      </c>
      <c r="G1024" t="s">
        <v>11</v>
      </c>
      <c r="H1024" t="s">
        <v>26</v>
      </c>
      <c r="I1024" t="s">
        <v>2088</v>
      </c>
      <c r="J1024" t="s">
        <v>64</v>
      </c>
      <c r="K1024" s="4">
        <f>VLOOKUP(J1024,Exchange_Rates!A:B,2,FALSE)</f>
        <v>0.73</v>
      </c>
      <c r="L1024" s="4">
        <f t="shared" si="60"/>
        <v>0</v>
      </c>
      <c r="M1024" s="4">
        <f t="shared" si="61"/>
        <v>187.11359999999999</v>
      </c>
      <c r="N1024" s="4">
        <f t="shared" si="62"/>
        <v>2023</v>
      </c>
      <c r="O1024" s="4">
        <f t="shared" si="63"/>
        <v>1</v>
      </c>
    </row>
    <row r="1025" spans="1:15" x14ac:dyDescent="0.25">
      <c r="A1025" t="s">
        <v>2089</v>
      </c>
      <c r="B1025" s="2">
        <v>45584</v>
      </c>
      <c r="C1025" t="s">
        <v>30</v>
      </c>
      <c r="D1025" t="s">
        <v>31</v>
      </c>
      <c r="E1025">
        <v>1493.77</v>
      </c>
      <c r="F1025">
        <v>0</v>
      </c>
      <c r="G1025" t="s">
        <v>9</v>
      </c>
      <c r="H1025" t="s">
        <v>51</v>
      </c>
      <c r="I1025" t="s">
        <v>2090</v>
      </c>
      <c r="J1025" t="s">
        <v>64</v>
      </c>
      <c r="K1025" s="4">
        <f>VLOOKUP(J1025,Exchange_Rates!A:B,2,FALSE)</f>
        <v>0.73</v>
      </c>
      <c r="L1025" s="4">
        <f t="shared" si="60"/>
        <v>1090.4521</v>
      </c>
      <c r="M1025" s="4">
        <f t="shared" si="61"/>
        <v>0</v>
      </c>
      <c r="N1025" s="4">
        <f t="shared" si="62"/>
        <v>2024</v>
      </c>
      <c r="O1025" s="4">
        <f t="shared" si="63"/>
        <v>4</v>
      </c>
    </row>
    <row r="1026" spans="1:15" x14ac:dyDescent="0.25">
      <c r="A1026" t="s">
        <v>2091</v>
      </c>
      <c r="B1026" s="2">
        <v>45332</v>
      </c>
      <c r="C1026" t="s">
        <v>38</v>
      </c>
      <c r="D1026" t="s">
        <v>39</v>
      </c>
      <c r="E1026">
        <v>1946.64</v>
      </c>
      <c r="F1026">
        <v>0</v>
      </c>
      <c r="G1026" t="s">
        <v>8</v>
      </c>
      <c r="H1026" t="s">
        <v>40</v>
      </c>
      <c r="I1026" t="s">
        <v>2092</v>
      </c>
      <c r="J1026" t="s">
        <v>64</v>
      </c>
      <c r="K1026" s="4">
        <f>VLOOKUP(J1026,Exchange_Rates!A:B,2,FALSE)</f>
        <v>0.73</v>
      </c>
      <c r="L1026" s="4">
        <f t="shared" si="60"/>
        <v>1421.0472</v>
      </c>
      <c r="M1026" s="4">
        <f t="shared" si="61"/>
        <v>0</v>
      </c>
      <c r="N1026" s="4">
        <f t="shared" si="62"/>
        <v>2024</v>
      </c>
      <c r="O1026" s="4">
        <f t="shared" si="63"/>
        <v>1</v>
      </c>
    </row>
    <row r="1027" spans="1:15" x14ac:dyDescent="0.25">
      <c r="A1027" t="s">
        <v>2093</v>
      </c>
      <c r="B1027" s="2">
        <v>44943</v>
      </c>
      <c r="C1027" t="s">
        <v>60</v>
      </c>
      <c r="D1027" t="s">
        <v>61</v>
      </c>
      <c r="E1027">
        <v>0</v>
      </c>
      <c r="F1027">
        <v>3890.34</v>
      </c>
      <c r="G1027" t="s">
        <v>13</v>
      </c>
      <c r="H1027" t="s">
        <v>34</v>
      </c>
      <c r="I1027" t="s">
        <v>2094</v>
      </c>
      <c r="J1027" t="s">
        <v>42</v>
      </c>
      <c r="K1027" s="4">
        <f>VLOOKUP(J1027,Exchange_Rates!A:B,2,FALSE)</f>
        <v>0.66</v>
      </c>
      <c r="L1027" s="4">
        <f t="shared" ref="L1027:L1090" si="64">E1027*K1027</f>
        <v>0</v>
      </c>
      <c r="M1027" s="4">
        <f t="shared" ref="M1027:M1090" si="65">F1027*K1027</f>
        <v>2567.6244000000002</v>
      </c>
      <c r="N1027" s="4">
        <f t="shared" ref="N1027:N1090" si="66">YEAR(B1027)</f>
        <v>2023</v>
      </c>
      <c r="O1027" s="4">
        <f t="shared" ref="O1027:O1090" si="67">ROUNDUP(MONTH(B1027)/3,0)</f>
        <v>1</v>
      </c>
    </row>
    <row r="1028" spans="1:15" x14ac:dyDescent="0.25">
      <c r="A1028" t="s">
        <v>2095</v>
      </c>
      <c r="B1028" s="2">
        <v>45406</v>
      </c>
      <c r="C1028" t="s">
        <v>49</v>
      </c>
      <c r="D1028" t="s">
        <v>50</v>
      </c>
      <c r="E1028">
        <v>1085.95</v>
      </c>
      <c r="F1028">
        <v>0</v>
      </c>
      <c r="G1028" t="s">
        <v>11</v>
      </c>
      <c r="H1028" t="s">
        <v>51</v>
      </c>
      <c r="I1028" t="s">
        <v>2096</v>
      </c>
      <c r="J1028" t="s">
        <v>42</v>
      </c>
      <c r="K1028" s="4">
        <f>VLOOKUP(J1028,Exchange_Rates!A:B,2,FALSE)</f>
        <v>0.66</v>
      </c>
      <c r="L1028" s="4">
        <f t="shared" si="64"/>
        <v>716.72700000000009</v>
      </c>
      <c r="M1028" s="4">
        <f t="shared" si="65"/>
        <v>0</v>
      </c>
      <c r="N1028" s="4">
        <f t="shared" si="66"/>
        <v>2024</v>
      </c>
      <c r="O1028" s="4">
        <f t="shared" si="67"/>
        <v>2</v>
      </c>
    </row>
    <row r="1029" spans="1:15" x14ac:dyDescent="0.25">
      <c r="A1029" t="s">
        <v>2097</v>
      </c>
      <c r="B1029" s="2">
        <v>45721</v>
      </c>
      <c r="C1029" t="s">
        <v>38</v>
      </c>
      <c r="D1029" t="s">
        <v>39</v>
      </c>
      <c r="E1029">
        <v>1425.4</v>
      </c>
      <c r="F1029">
        <v>0</v>
      </c>
      <c r="G1029" t="s">
        <v>9</v>
      </c>
      <c r="H1029" t="s">
        <v>34</v>
      </c>
      <c r="I1029" t="s">
        <v>2098</v>
      </c>
      <c r="J1029" t="s">
        <v>42</v>
      </c>
      <c r="K1029" s="4">
        <f>VLOOKUP(J1029,Exchange_Rates!A:B,2,FALSE)</f>
        <v>0.66</v>
      </c>
      <c r="L1029" s="4">
        <f t="shared" si="64"/>
        <v>940.76400000000012</v>
      </c>
      <c r="M1029" s="4">
        <f t="shared" si="65"/>
        <v>0</v>
      </c>
      <c r="N1029" s="4">
        <f t="shared" si="66"/>
        <v>2025</v>
      </c>
      <c r="O1029" s="4">
        <f t="shared" si="67"/>
        <v>1</v>
      </c>
    </row>
    <row r="1030" spans="1:15" x14ac:dyDescent="0.25">
      <c r="A1030" t="s">
        <v>2099</v>
      </c>
      <c r="B1030" s="2">
        <v>45510</v>
      </c>
      <c r="C1030" t="s">
        <v>49</v>
      </c>
      <c r="D1030" t="s">
        <v>50</v>
      </c>
      <c r="E1030">
        <v>910.93</v>
      </c>
      <c r="F1030">
        <v>0</v>
      </c>
      <c r="G1030" t="s">
        <v>12</v>
      </c>
      <c r="H1030" t="s">
        <v>34</v>
      </c>
      <c r="I1030" t="s">
        <v>2100</v>
      </c>
      <c r="J1030" t="s">
        <v>28</v>
      </c>
      <c r="K1030" s="4">
        <f>VLOOKUP(J1030,Exchange_Rates!A:B,2,FALSE)</f>
        <v>1.27</v>
      </c>
      <c r="L1030" s="4">
        <f t="shared" si="64"/>
        <v>1156.8811000000001</v>
      </c>
      <c r="M1030" s="4">
        <f t="shared" si="65"/>
        <v>0</v>
      </c>
      <c r="N1030" s="4">
        <f t="shared" si="66"/>
        <v>2024</v>
      </c>
      <c r="O1030" s="4">
        <f t="shared" si="67"/>
        <v>3</v>
      </c>
    </row>
    <row r="1031" spans="1:15" x14ac:dyDescent="0.25">
      <c r="A1031" t="s">
        <v>2101</v>
      </c>
      <c r="B1031" s="2">
        <v>45574</v>
      </c>
      <c r="C1031" t="s">
        <v>38</v>
      </c>
      <c r="D1031" t="s">
        <v>39</v>
      </c>
      <c r="E1031">
        <v>973.12</v>
      </c>
      <c r="F1031">
        <v>0</v>
      </c>
      <c r="G1031" t="s">
        <v>10</v>
      </c>
      <c r="H1031" t="s">
        <v>62</v>
      </c>
      <c r="I1031" t="s">
        <v>2102</v>
      </c>
      <c r="J1031" t="s">
        <v>28</v>
      </c>
      <c r="K1031" s="4">
        <f>VLOOKUP(J1031,Exchange_Rates!A:B,2,FALSE)</f>
        <v>1.27</v>
      </c>
      <c r="L1031" s="4">
        <f t="shared" si="64"/>
        <v>1235.8624</v>
      </c>
      <c r="M1031" s="4">
        <f t="shared" si="65"/>
        <v>0</v>
      </c>
      <c r="N1031" s="4">
        <f t="shared" si="66"/>
        <v>2024</v>
      </c>
      <c r="O1031" s="4">
        <f t="shared" si="67"/>
        <v>4</v>
      </c>
    </row>
    <row r="1032" spans="1:15" x14ac:dyDescent="0.25">
      <c r="A1032" t="s">
        <v>2103</v>
      </c>
      <c r="B1032" s="2">
        <v>45255</v>
      </c>
      <c r="C1032" t="s">
        <v>60</v>
      </c>
      <c r="D1032" t="s">
        <v>61</v>
      </c>
      <c r="E1032">
        <v>0</v>
      </c>
      <c r="F1032">
        <v>3221.92</v>
      </c>
      <c r="G1032" t="s">
        <v>11</v>
      </c>
      <c r="H1032" t="s">
        <v>40</v>
      </c>
      <c r="I1032" t="s">
        <v>2104</v>
      </c>
      <c r="J1032" t="s">
        <v>45</v>
      </c>
      <c r="K1032" s="4">
        <f>VLOOKUP(J1032,Exchange_Rates!A:B,2,FALSE)</f>
        <v>1</v>
      </c>
      <c r="L1032" s="4">
        <f t="shared" si="64"/>
        <v>0</v>
      </c>
      <c r="M1032" s="4">
        <f t="shared" si="65"/>
        <v>3221.92</v>
      </c>
      <c r="N1032" s="4">
        <f t="shared" si="66"/>
        <v>2023</v>
      </c>
      <c r="O1032" s="4">
        <f t="shared" si="67"/>
        <v>4</v>
      </c>
    </row>
    <row r="1033" spans="1:15" x14ac:dyDescent="0.25">
      <c r="A1033" t="s">
        <v>2105</v>
      </c>
      <c r="B1033" s="2">
        <v>45499</v>
      </c>
      <c r="C1033" t="s">
        <v>60</v>
      </c>
      <c r="D1033" t="s">
        <v>61</v>
      </c>
      <c r="E1033">
        <v>0</v>
      </c>
      <c r="F1033">
        <v>4508.8599999999997</v>
      </c>
      <c r="G1033" t="s">
        <v>10</v>
      </c>
      <c r="H1033" t="s">
        <v>34</v>
      </c>
      <c r="I1033" t="s">
        <v>2106</v>
      </c>
      <c r="J1033" t="s">
        <v>64</v>
      </c>
      <c r="K1033" s="4">
        <f>VLOOKUP(J1033,Exchange_Rates!A:B,2,FALSE)</f>
        <v>0.73</v>
      </c>
      <c r="L1033" s="4">
        <f t="shared" si="64"/>
        <v>0</v>
      </c>
      <c r="M1033" s="4">
        <f t="shared" si="65"/>
        <v>3291.4677999999999</v>
      </c>
      <c r="N1033" s="4">
        <f t="shared" si="66"/>
        <v>2024</v>
      </c>
      <c r="O1033" s="4">
        <f t="shared" si="67"/>
        <v>3</v>
      </c>
    </row>
    <row r="1034" spans="1:15" x14ac:dyDescent="0.25">
      <c r="A1034" t="s">
        <v>2107</v>
      </c>
      <c r="B1034" s="2">
        <v>44970</v>
      </c>
      <c r="C1034" t="s">
        <v>60</v>
      </c>
      <c r="D1034" t="s">
        <v>61</v>
      </c>
      <c r="E1034">
        <v>0</v>
      </c>
      <c r="F1034">
        <v>882.66</v>
      </c>
      <c r="G1034" t="s">
        <v>12</v>
      </c>
      <c r="H1034" t="s">
        <v>40</v>
      </c>
      <c r="I1034" t="s">
        <v>2108</v>
      </c>
      <c r="J1034" t="s">
        <v>45</v>
      </c>
      <c r="K1034" s="4">
        <f>VLOOKUP(J1034,Exchange_Rates!A:B,2,FALSE)</f>
        <v>1</v>
      </c>
      <c r="L1034" s="4">
        <f t="shared" si="64"/>
        <v>0</v>
      </c>
      <c r="M1034" s="4">
        <f t="shared" si="65"/>
        <v>882.66</v>
      </c>
      <c r="N1034" s="4">
        <f t="shared" si="66"/>
        <v>2023</v>
      </c>
      <c r="O1034" s="4">
        <f t="shared" si="67"/>
        <v>1</v>
      </c>
    </row>
    <row r="1035" spans="1:15" x14ac:dyDescent="0.25">
      <c r="A1035" t="s">
        <v>2109</v>
      </c>
      <c r="B1035" s="2">
        <v>45370</v>
      </c>
      <c r="C1035" t="s">
        <v>38</v>
      </c>
      <c r="D1035" t="s">
        <v>39</v>
      </c>
      <c r="E1035">
        <v>432.35</v>
      </c>
      <c r="F1035">
        <v>0</v>
      </c>
      <c r="G1035" t="s">
        <v>10</v>
      </c>
      <c r="H1035" t="s">
        <v>34</v>
      </c>
      <c r="I1035" t="s">
        <v>2110</v>
      </c>
      <c r="J1035" t="s">
        <v>64</v>
      </c>
      <c r="K1035" s="4">
        <f>VLOOKUP(J1035,Exchange_Rates!A:B,2,FALSE)</f>
        <v>0.73</v>
      </c>
      <c r="L1035" s="4">
        <f t="shared" si="64"/>
        <v>315.6155</v>
      </c>
      <c r="M1035" s="4">
        <f t="shared" si="65"/>
        <v>0</v>
      </c>
      <c r="N1035" s="4">
        <f t="shared" si="66"/>
        <v>2024</v>
      </c>
      <c r="O1035" s="4">
        <f t="shared" si="67"/>
        <v>1</v>
      </c>
    </row>
    <row r="1036" spans="1:15" x14ac:dyDescent="0.25">
      <c r="A1036" t="s">
        <v>2111</v>
      </c>
      <c r="B1036" s="2">
        <v>45050</v>
      </c>
      <c r="C1036" t="s">
        <v>24</v>
      </c>
      <c r="D1036" t="s">
        <v>25</v>
      </c>
      <c r="E1036">
        <v>0</v>
      </c>
      <c r="F1036">
        <v>1578.7</v>
      </c>
      <c r="G1036" t="s">
        <v>12</v>
      </c>
      <c r="H1036" t="s">
        <v>62</v>
      </c>
      <c r="I1036" t="s">
        <v>2112</v>
      </c>
      <c r="J1036" t="s">
        <v>45</v>
      </c>
      <c r="K1036" s="4">
        <f>VLOOKUP(J1036,Exchange_Rates!A:B,2,FALSE)</f>
        <v>1</v>
      </c>
      <c r="L1036" s="4">
        <f t="shared" si="64"/>
        <v>0</v>
      </c>
      <c r="M1036" s="4">
        <f t="shared" si="65"/>
        <v>1578.7</v>
      </c>
      <c r="N1036" s="4">
        <f t="shared" si="66"/>
        <v>2023</v>
      </c>
      <c r="O1036" s="4">
        <f t="shared" si="67"/>
        <v>2</v>
      </c>
    </row>
    <row r="1037" spans="1:15" x14ac:dyDescent="0.25">
      <c r="A1037" t="s">
        <v>2113</v>
      </c>
      <c r="B1037" s="2">
        <v>45117</v>
      </c>
      <c r="C1037" t="s">
        <v>38</v>
      </c>
      <c r="D1037" t="s">
        <v>39</v>
      </c>
      <c r="E1037">
        <v>880.83</v>
      </c>
      <c r="F1037">
        <v>0</v>
      </c>
      <c r="G1037" t="s">
        <v>12</v>
      </c>
      <c r="H1037" t="s">
        <v>26</v>
      </c>
      <c r="I1037" t="s">
        <v>2114</v>
      </c>
      <c r="J1037" t="s">
        <v>28</v>
      </c>
      <c r="K1037" s="4">
        <f>VLOOKUP(J1037,Exchange_Rates!A:B,2,FALSE)</f>
        <v>1.27</v>
      </c>
      <c r="L1037" s="4">
        <f t="shared" si="64"/>
        <v>1118.6541</v>
      </c>
      <c r="M1037" s="4">
        <f t="shared" si="65"/>
        <v>0</v>
      </c>
      <c r="N1037" s="4">
        <f t="shared" si="66"/>
        <v>2023</v>
      </c>
      <c r="O1037" s="4">
        <f t="shared" si="67"/>
        <v>3</v>
      </c>
    </row>
    <row r="1038" spans="1:15" x14ac:dyDescent="0.25">
      <c r="A1038" t="s">
        <v>2115</v>
      </c>
      <c r="B1038" s="2">
        <v>45392</v>
      </c>
      <c r="C1038" t="s">
        <v>24</v>
      </c>
      <c r="D1038" t="s">
        <v>25</v>
      </c>
      <c r="E1038">
        <v>0</v>
      </c>
      <c r="F1038">
        <v>1378.62</v>
      </c>
      <c r="G1038" t="s">
        <v>10</v>
      </c>
      <c r="H1038" t="s">
        <v>26</v>
      </c>
      <c r="I1038" t="s">
        <v>2116</v>
      </c>
      <c r="J1038" t="s">
        <v>42</v>
      </c>
      <c r="K1038" s="4">
        <f>VLOOKUP(J1038,Exchange_Rates!A:B,2,FALSE)</f>
        <v>0.66</v>
      </c>
      <c r="L1038" s="4">
        <f t="shared" si="64"/>
        <v>0</v>
      </c>
      <c r="M1038" s="4">
        <f t="shared" si="65"/>
        <v>909.88919999999996</v>
      </c>
      <c r="N1038" s="4">
        <f t="shared" si="66"/>
        <v>2024</v>
      </c>
      <c r="O1038" s="4">
        <f t="shared" si="67"/>
        <v>2</v>
      </c>
    </row>
    <row r="1039" spans="1:15" x14ac:dyDescent="0.25">
      <c r="A1039" t="s">
        <v>2117</v>
      </c>
      <c r="B1039" s="2">
        <v>45371</v>
      </c>
      <c r="C1039" t="s">
        <v>24</v>
      </c>
      <c r="D1039" t="s">
        <v>25</v>
      </c>
      <c r="E1039">
        <v>0</v>
      </c>
      <c r="F1039">
        <v>1884.23</v>
      </c>
      <c r="G1039" t="s">
        <v>13</v>
      </c>
      <c r="H1039" t="s">
        <v>26</v>
      </c>
      <c r="I1039" t="s">
        <v>2118</v>
      </c>
      <c r="J1039" t="s">
        <v>45</v>
      </c>
      <c r="K1039" s="4">
        <f>VLOOKUP(J1039,Exchange_Rates!A:B,2,FALSE)</f>
        <v>1</v>
      </c>
      <c r="L1039" s="4">
        <f t="shared" si="64"/>
        <v>0</v>
      </c>
      <c r="M1039" s="4">
        <f t="shared" si="65"/>
        <v>1884.23</v>
      </c>
      <c r="N1039" s="4">
        <f t="shared" si="66"/>
        <v>2024</v>
      </c>
      <c r="O1039" s="4">
        <f t="shared" si="67"/>
        <v>1</v>
      </c>
    </row>
    <row r="1040" spans="1:15" x14ac:dyDescent="0.25">
      <c r="A1040" t="s">
        <v>2119</v>
      </c>
      <c r="B1040" s="2">
        <v>45429</v>
      </c>
      <c r="C1040" t="s">
        <v>30</v>
      </c>
      <c r="D1040" t="s">
        <v>31</v>
      </c>
      <c r="E1040">
        <v>398.06</v>
      </c>
      <c r="F1040">
        <v>0</v>
      </c>
      <c r="G1040" t="s">
        <v>8</v>
      </c>
      <c r="H1040" t="s">
        <v>51</v>
      </c>
      <c r="I1040" t="s">
        <v>2120</v>
      </c>
      <c r="J1040" t="s">
        <v>28</v>
      </c>
      <c r="K1040" s="4">
        <f>VLOOKUP(J1040,Exchange_Rates!A:B,2,FALSE)</f>
        <v>1.27</v>
      </c>
      <c r="L1040" s="4">
        <f t="shared" si="64"/>
        <v>505.53620000000001</v>
      </c>
      <c r="M1040" s="4">
        <f t="shared" si="65"/>
        <v>0</v>
      </c>
      <c r="N1040" s="4">
        <f t="shared" si="66"/>
        <v>2024</v>
      </c>
      <c r="O1040" s="4">
        <f t="shared" si="67"/>
        <v>2</v>
      </c>
    </row>
    <row r="1041" spans="1:15" x14ac:dyDescent="0.25">
      <c r="A1041" t="s">
        <v>2121</v>
      </c>
      <c r="B1041" s="2">
        <v>45093</v>
      </c>
      <c r="C1041" t="s">
        <v>38</v>
      </c>
      <c r="D1041" t="s">
        <v>39</v>
      </c>
      <c r="E1041">
        <v>1030.76</v>
      </c>
      <c r="F1041">
        <v>0</v>
      </c>
      <c r="G1041" t="s">
        <v>10</v>
      </c>
      <c r="H1041" t="s">
        <v>26</v>
      </c>
      <c r="I1041" t="s">
        <v>2122</v>
      </c>
      <c r="J1041" t="s">
        <v>36</v>
      </c>
      <c r="K1041" s="4">
        <f>VLOOKUP(J1041,Exchange_Rates!A:B,2,FALSE)</f>
        <v>1.08</v>
      </c>
      <c r="L1041" s="4">
        <f t="shared" si="64"/>
        <v>1113.2208000000001</v>
      </c>
      <c r="M1041" s="4">
        <f t="shared" si="65"/>
        <v>0</v>
      </c>
      <c r="N1041" s="4">
        <f t="shared" si="66"/>
        <v>2023</v>
      </c>
      <c r="O1041" s="4">
        <f t="shared" si="67"/>
        <v>2</v>
      </c>
    </row>
    <row r="1042" spans="1:15" x14ac:dyDescent="0.25">
      <c r="A1042" t="s">
        <v>2123</v>
      </c>
      <c r="B1042" s="2">
        <v>45195</v>
      </c>
      <c r="C1042" t="s">
        <v>49</v>
      </c>
      <c r="D1042" t="s">
        <v>50</v>
      </c>
      <c r="E1042">
        <v>1713</v>
      </c>
      <c r="F1042">
        <v>0</v>
      </c>
      <c r="G1042" t="s">
        <v>8</v>
      </c>
      <c r="H1042" t="s">
        <v>51</v>
      </c>
      <c r="I1042" t="s">
        <v>2124</v>
      </c>
      <c r="J1042" t="s">
        <v>42</v>
      </c>
      <c r="K1042" s="4">
        <f>VLOOKUP(J1042,Exchange_Rates!A:B,2,FALSE)</f>
        <v>0.66</v>
      </c>
      <c r="L1042" s="4">
        <f t="shared" si="64"/>
        <v>1130.5800000000002</v>
      </c>
      <c r="M1042" s="4">
        <f t="shared" si="65"/>
        <v>0</v>
      </c>
      <c r="N1042" s="4">
        <f t="shared" si="66"/>
        <v>2023</v>
      </c>
      <c r="O1042" s="4">
        <f t="shared" si="67"/>
        <v>3</v>
      </c>
    </row>
    <row r="1043" spans="1:15" x14ac:dyDescent="0.25">
      <c r="A1043" t="s">
        <v>2125</v>
      </c>
      <c r="B1043" s="2">
        <v>45573</v>
      </c>
      <c r="C1043" t="s">
        <v>24</v>
      </c>
      <c r="D1043" t="s">
        <v>25</v>
      </c>
      <c r="E1043">
        <v>0</v>
      </c>
      <c r="F1043">
        <v>3214.89</v>
      </c>
      <c r="G1043" t="s">
        <v>10</v>
      </c>
      <c r="H1043" t="s">
        <v>26</v>
      </c>
      <c r="I1043" t="s">
        <v>2126</v>
      </c>
      <c r="J1043" t="s">
        <v>42</v>
      </c>
      <c r="K1043" s="4">
        <f>VLOOKUP(J1043,Exchange_Rates!A:B,2,FALSE)</f>
        <v>0.66</v>
      </c>
      <c r="L1043" s="4">
        <f t="shared" si="64"/>
        <v>0</v>
      </c>
      <c r="M1043" s="4">
        <f t="shared" si="65"/>
        <v>2121.8274000000001</v>
      </c>
      <c r="N1043" s="4">
        <f t="shared" si="66"/>
        <v>2024</v>
      </c>
      <c r="O1043" s="4">
        <f t="shared" si="67"/>
        <v>4</v>
      </c>
    </row>
    <row r="1044" spans="1:15" x14ac:dyDescent="0.25">
      <c r="A1044" t="s">
        <v>2127</v>
      </c>
      <c r="B1044" s="2">
        <v>45364</v>
      </c>
      <c r="C1044" t="s">
        <v>24</v>
      </c>
      <c r="D1044" t="s">
        <v>25</v>
      </c>
      <c r="E1044">
        <v>0</v>
      </c>
      <c r="F1044">
        <v>284.06</v>
      </c>
      <c r="G1044" t="s">
        <v>13</v>
      </c>
      <c r="H1044" t="s">
        <v>26</v>
      </c>
      <c r="I1044" t="s">
        <v>2128</v>
      </c>
      <c r="J1044" t="s">
        <v>42</v>
      </c>
      <c r="K1044" s="4">
        <f>VLOOKUP(J1044,Exchange_Rates!A:B,2,FALSE)</f>
        <v>0.66</v>
      </c>
      <c r="L1044" s="4">
        <f t="shared" si="64"/>
        <v>0</v>
      </c>
      <c r="M1044" s="4">
        <f t="shared" si="65"/>
        <v>187.4796</v>
      </c>
      <c r="N1044" s="4">
        <f t="shared" si="66"/>
        <v>2024</v>
      </c>
      <c r="O1044" s="4">
        <f t="shared" si="67"/>
        <v>1</v>
      </c>
    </row>
    <row r="1045" spans="1:15" x14ac:dyDescent="0.25">
      <c r="A1045" t="s">
        <v>2129</v>
      </c>
      <c r="B1045" s="2">
        <v>45236</v>
      </c>
      <c r="C1045" t="s">
        <v>60</v>
      </c>
      <c r="D1045" t="s">
        <v>61</v>
      </c>
      <c r="E1045">
        <v>0</v>
      </c>
      <c r="F1045">
        <v>3835.49</v>
      </c>
      <c r="G1045" t="s">
        <v>11</v>
      </c>
      <c r="H1045" t="s">
        <v>34</v>
      </c>
      <c r="I1045" t="s">
        <v>2130</v>
      </c>
      <c r="J1045" t="s">
        <v>28</v>
      </c>
      <c r="K1045" s="4">
        <f>VLOOKUP(J1045,Exchange_Rates!A:B,2,FALSE)</f>
        <v>1.27</v>
      </c>
      <c r="L1045" s="4">
        <f t="shared" si="64"/>
        <v>0</v>
      </c>
      <c r="M1045" s="4">
        <f t="shared" si="65"/>
        <v>4871.0722999999998</v>
      </c>
      <c r="N1045" s="4">
        <f t="shared" si="66"/>
        <v>2023</v>
      </c>
      <c r="O1045" s="4">
        <f t="shared" si="67"/>
        <v>4</v>
      </c>
    </row>
    <row r="1046" spans="1:15" x14ac:dyDescent="0.25">
      <c r="A1046" t="s">
        <v>2131</v>
      </c>
      <c r="B1046" s="2">
        <v>45141</v>
      </c>
      <c r="C1046" t="s">
        <v>30</v>
      </c>
      <c r="D1046" t="s">
        <v>31</v>
      </c>
      <c r="E1046">
        <v>357.85</v>
      </c>
      <c r="F1046">
        <v>0</v>
      </c>
      <c r="G1046" t="s">
        <v>9</v>
      </c>
      <c r="H1046" t="s">
        <v>40</v>
      </c>
      <c r="I1046" t="s">
        <v>2132</v>
      </c>
      <c r="J1046" t="s">
        <v>28</v>
      </c>
      <c r="K1046" s="4">
        <f>VLOOKUP(J1046,Exchange_Rates!A:B,2,FALSE)</f>
        <v>1.27</v>
      </c>
      <c r="L1046" s="4">
        <f t="shared" si="64"/>
        <v>454.46950000000004</v>
      </c>
      <c r="M1046" s="4">
        <f t="shared" si="65"/>
        <v>0</v>
      </c>
      <c r="N1046" s="4">
        <f t="shared" si="66"/>
        <v>2023</v>
      </c>
      <c r="O1046" s="4">
        <f t="shared" si="67"/>
        <v>3</v>
      </c>
    </row>
    <row r="1047" spans="1:15" x14ac:dyDescent="0.25">
      <c r="A1047" t="s">
        <v>2133</v>
      </c>
      <c r="B1047" s="2">
        <v>45052</v>
      </c>
      <c r="C1047" t="s">
        <v>60</v>
      </c>
      <c r="D1047" t="s">
        <v>61</v>
      </c>
      <c r="E1047">
        <v>0</v>
      </c>
      <c r="F1047">
        <v>1435.58</v>
      </c>
      <c r="G1047" t="s">
        <v>12</v>
      </c>
      <c r="H1047" t="s">
        <v>51</v>
      </c>
      <c r="I1047" t="s">
        <v>2134</v>
      </c>
      <c r="J1047" t="s">
        <v>28</v>
      </c>
      <c r="K1047" s="4">
        <f>VLOOKUP(J1047,Exchange_Rates!A:B,2,FALSE)</f>
        <v>1.27</v>
      </c>
      <c r="L1047" s="4">
        <f t="shared" si="64"/>
        <v>0</v>
      </c>
      <c r="M1047" s="4">
        <f t="shared" si="65"/>
        <v>1823.1866</v>
      </c>
      <c r="N1047" s="4">
        <f t="shared" si="66"/>
        <v>2023</v>
      </c>
      <c r="O1047" s="4">
        <f t="shared" si="67"/>
        <v>2</v>
      </c>
    </row>
    <row r="1048" spans="1:15" x14ac:dyDescent="0.25">
      <c r="A1048" t="s">
        <v>2135</v>
      </c>
      <c r="B1048" s="2">
        <v>45108</v>
      </c>
      <c r="C1048" t="s">
        <v>30</v>
      </c>
      <c r="D1048" t="s">
        <v>31</v>
      </c>
      <c r="E1048">
        <v>163.47999999999999</v>
      </c>
      <c r="F1048">
        <v>0</v>
      </c>
      <c r="G1048" t="s">
        <v>13</v>
      </c>
      <c r="H1048" t="s">
        <v>51</v>
      </c>
      <c r="I1048" t="s">
        <v>2136</v>
      </c>
      <c r="J1048" t="s">
        <v>42</v>
      </c>
      <c r="K1048" s="4">
        <f>VLOOKUP(J1048,Exchange_Rates!A:B,2,FALSE)</f>
        <v>0.66</v>
      </c>
      <c r="L1048" s="4">
        <f t="shared" si="64"/>
        <v>107.8968</v>
      </c>
      <c r="M1048" s="4">
        <f t="shared" si="65"/>
        <v>0</v>
      </c>
      <c r="N1048" s="4">
        <f t="shared" si="66"/>
        <v>2023</v>
      </c>
      <c r="O1048" s="4">
        <f t="shared" si="67"/>
        <v>3</v>
      </c>
    </row>
    <row r="1049" spans="1:15" x14ac:dyDescent="0.25">
      <c r="A1049" t="s">
        <v>2137</v>
      </c>
      <c r="B1049" s="2">
        <v>45478</v>
      </c>
      <c r="C1049" t="s">
        <v>49</v>
      </c>
      <c r="D1049" t="s">
        <v>50</v>
      </c>
      <c r="E1049">
        <v>1586.3</v>
      </c>
      <c r="F1049">
        <v>0</v>
      </c>
      <c r="G1049" t="s">
        <v>13</v>
      </c>
      <c r="H1049" t="s">
        <v>40</v>
      </c>
      <c r="I1049" t="s">
        <v>2138</v>
      </c>
      <c r="J1049" t="s">
        <v>64</v>
      </c>
      <c r="K1049" s="4">
        <f>VLOOKUP(J1049,Exchange_Rates!A:B,2,FALSE)</f>
        <v>0.73</v>
      </c>
      <c r="L1049" s="4">
        <f t="shared" si="64"/>
        <v>1157.999</v>
      </c>
      <c r="M1049" s="4">
        <f t="shared" si="65"/>
        <v>0</v>
      </c>
      <c r="N1049" s="4">
        <f t="shared" si="66"/>
        <v>2024</v>
      </c>
      <c r="O1049" s="4">
        <f t="shared" si="67"/>
        <v>3</v>
      </c>
    </row>
    <row r="1050" spans="1:15" x14ac:dyDescent="0.25">
      <c r="A1050" t="s">
        <v>2139</v>
      </c>
      <c r="B1050" s="2">
        <v>45059</v>
      </c>
      <c r="C1050" t="s">
        <v>60</v>
      </c>
      <c r="D1050" t="s">
        <v>61</v>
      </c>
      <c r="E1050">
        <v>0</v>
      </c>
      <c r="F1050">
        <v>1071.1300000000001</v>
      </c>
      <c r="G1050" t="s">
        <v>9</v>
      </c>
      <c r="H1050" t="s">
        <v>51</v>
      </c>
      <c r="I1050" t="s">
        <v>2140</v>
      </c>
      <c r="J1050" t="s">
        <v>45</v>
      </c>
      <c r="K1050" s="4">
        <f>VLOOKUP(J1050,Exchange_Rates!A:B,2,FALSE)</f>
        <v>1</v>
      </c>
      <c r="L1050" s="4">
        <f t="shared" si="64"/>
        <v>0</v>
      </c>
      <c r="M1050" s="4">
        <f t="shared" si="65"/>
        <v>1071.1300000000001</v>
      </c>
      <c r="N1050" s="4">
        <f t="shared" si="66"/>
        <v>2023</v>
      </c>
      <c r="O1050" s="4">
        <f t="shared" si="67"/>
        <v>2</v>
      </c>
    </row>
    <row r="1051" spans="1:15" x14ac:dyDescent="0.25">
      <c r="A1051" t="s">
        <v>2141</v>
      </c>
      <c r="B1051" s="2">
        <v>45508</v>
      </c>
      <c r="C1051" t="s">
        <v>49</v>
      </c>
      <c r="D1051" t="s">
        <v>50</v>
      </c>
      <c r="E1051">
        <v>1888.6</v>
      </c>
      <c r="F1051">
        <v>0</v>
      </c>
      <c r="G1051" t="s">
        <v>8</v>
      </c>
      <c r="H1051" t="s">
        <v>51</v>
      </c>
      <c r="I1051" t="s">
        <v>2142</v>
      </c>
      <c r="J1051" t="s">
        <v>36</v>
      </c>
      <c r="K1051" s="4">
        <f>VLOOKUP(J1051,Exchange_Rates!A:B,2,FALSE)</f>
        <v>1.08</v>
      </c>
      <c r="L1051" s="4">
        <f t="shared" si="64"/>
        <v>2039.6880000000001</v>
      </c>
      <c r="M1051" s="4">
        <f t="shared" si="65"/>
        <v>0</v>
      </c>
      <c r="N1051" s="4">
        <f t="shared" si="66"/>
        <v>2024</v>
      </c>
      <c r="O1051" s="4">
        <f t="shared" si="67"/>
        <v>3</v>
      </c>
    </row>
    <row r="1052" spans="1:15" x14ac:dyDescent="0.25">
      <c r="A1052" t="s">
        <v>2143</v>
      </c>
      <c r="B1052" s="2">
        <v>45244</v>
      </c>
      <c r="C1052" t="s">
        <v>38</v>
      </c>
      <c r="D1052" t="s">
        <v>39</v>
      </c>
      <c r="E1052">
        <v>1396.76</v>
      </c>
      <c r="F1052">
        <v>0</v>
      </c>
      <c r="G1052" t="s">
        <v>9</v>
      </c>
      <c r="H1052" t="s">
        <v>51</v>
      </c>
      <c r="I1052" t="s">
        <v>2144</v>
      </c>
      <c r="J1052" t="s">
        <v>45</v>
      </c>
      <c r="K1052" s="4">
        <f>VLOOKUP(J1052,Exchange_Rates!A:B,2,FALSE)</f>
        <v>1</v>
      </c>
      <c r="L1052" s="4">
        <f t="shared" si="64"/>
        <v>1396.76</v>
      </c>
      <c r="M1052" s="4">
        <f t="shared" si="65"/>
        <v>0</v>
      </c>
      <c r="N1052" s="4">
        <f t="shared" si="66"/>
        <v>2023</v>
      </c>
      <c r="O1052" s="4">
        <f t="shared" si="67"/>
        <v>4</v>
      </c>
    </row>
    <row r="1053" spans="1:15" x14ac:dyDescent="0.25">
      <c r="A1053" t="s">
        <v>2145</v>
      </c>
      <c r="B1053" s="2">
        <v>44968</v>
      </c>
      <c r="C1053" t="s">
        <v>24</v>
      </c>
      <c r="D1053" t="s">
        <v>25</v>
      </c>
      <c r="E1053">
        <v>0</v>
      </c>
      <c r="F1053">
        <v>458.3</v>
      </c>
      <c r="G1053" t="s">
        <v>8</v>
      </c>
      <c r="H1053" t="s">
        <v>62</v>
      </c>
      <c r="I1053" t="s">
        <v>2146</v>
      </c>
      <c r="J1053" t="s">
        <v>36</v>
      </c>
      <c r="K1053" s="4">
        <f>VLOOKUP(J1053,Exchange_Rates!A:B,2,FALSE)</f>
        <v>1.08</v>
      </c>
      <c r="L1053" s="4">
        <f t="shared" si="64"/>
        <v>0</v>
      </c>
      <c r="M1053" s="4">
        <f t="shared" si="65"/>
        <v>494.96400000000006</v>
      </c>
      <c r="N1053" s="4">
        <f t="shared" si="66"/>
        <v>2023</v>
      </c>
      <c r="O1053" s="4">
        <f t="shared" si="67"/>
        <v>1</v>
      </c>
    </row>
    <row r="1054" spans="1:15" x14ac:dyDescent="0.25">
      <c r="A1054" t="s">
        <v>2147</v>
      </c>
      <c r="B1054" s="2">
        <v>45813</v>
      </c>
      <c r="C1054" t="s">
        <v>38</v>
      </c>
      <c r="D1054" t="s">
        <v>39</v>
      </c>
      <c r="E1054">
        <v>1873.98</v>
      </c>
      <c r="F1054">
        <v>0</v>
      </c>
      <c r="G1054" t="s">
        <v>10</v>
      </c>
      <c r="H1054" t="s">
        <v>26</v>
      </c>
      <c r="I1054" t="s">
        <v>2148</v>
      </c>
      <c r="J1054" t="s">
        <v>64</v>
      </c>
      <c r="K1054" s="4">
        <f>VLOOKUP(J1054,Exchange_Rates!A:B,2,FALSE)</f>
        <v>0.73</v>
      </c>
      <c r="L1054" s="4">
        <f t="shared" si="64"/>
        <v>1368.0054</v>
      </c>
      <c r="M1054" s="4">
        <f t="shared" si="65"/>
        <v>0</v>
      </c>
      <c r="N1054" s="4">
        <f t="shared" si="66"/>
        <v>2025</v>
      </c>
      <c r="O1054" s="4">
        <f t="shared" si="67"/>
        <v>2</v>
      </c>
    </row>
    <row r="1055" spans="1:15" x14ac:dyDescent="0.25">
      <c r="A1055" t="s">
        <v>2149</v>
      </c>
      <c r="B1055" s="2">
        <v>45459</v>
      </c>
      <c r="C1055" t="s">
        <v>60</v>
      </c>
      <c r="D1055" t="s">
        <v>61</v>
      </c>
      <c r="E1055">
        <v>0</v>
      </c>
      <c r="F1055">
        <v>550.03</v>
      </c>
      <c r="G1055" t="s">
        <v>10</v>
      </c>
      <c r="H1055" t="s">
        <v>62</v>
      </c>
      <c r="I1055" t="s">
        <v>2150</v>
      </c>
      <c r="J1055" t="s">
        <v>42</v>
      </c>
      <c r="K1055" s="4">
        <f>VLOOKUP(J1055,Exchange_Rates!A:B,2,FALSE)</f>
        <v>0.66</v>
      </c>
      <c r="L1055" s="4">
        <f t="shared" si="64"/>
        <v>0</v>
      </c>
      <c r="M1055" s="4">
        <f t="shared" si="65"/>
        <v>363.01979999999998</v>
      </c>
      <c r="N1055" s="4">
        <f t="shared" si="66"/>
        <v>2024</v>
      </c>
      <c r="O1055" s="4">
        <f t="shared" si="67"/>
        <v>2</v>
      </c>
    </row>
    <row r="1056" spans="1:15" x14ac:dyDescent="0.25">
      <c r="A1056" t="s">
        <v>2151</v>
      </c>
      <c r="B1056" s="2">
        <v>45144</v>
      </c>
      <c r="C1056" t="s">
        <v>49</v>
      </c>
      <c r="D1056" t="s">
        <v>50</v>
      </c>
      <c r="E1056">
        <v>1300.8599999999999</v>
      </c>
      <c r="F1056">
        <v>0</v>
      </c>
      <c r="G1056" t="s">
        <v>13</v>
      </c>
      <c r="H1056" t="s">
        <v>34</v>
      </c>
      <c r="I1056" t="s">
        <v>2152</v>
      </c>
      <c r="J1056" t="s">
        <v>36</v>
      </c>
      <c r="K1056" s="4">
        <f>VLOOKUP(J1056,Exchange_Rates!A:B,2,FALSE)</f>
        <v>1.08</v>
      </c>
      <c r="L1056" s="4">
        <f t="shared" si="64"/>
        <v>1404.9287999999999</v>
      </c>
      <c r="M1056" s="4">
        <f t="shared" si="65"/>
        <v>0</v>
      </c>
      <c r="N1056" s="4">
        <f t="shared" si="66"/>
        <v>2023</v>
      </c>
      <c r="O1056" s="4">
        <f t="shared" si="67"/>
        <v>3</v>
      </c>
    </row>
    <row r="1057" spans="1:15" x14ac:dyDescent="0.25">
      <c r="A1057" t="s">
        <v>2153</v>
      </c>
      <c r="B1057" s="2">
        <v>45254</v>
      </c>
      <c r="C1057" t="s">
        <v>38</v>
      </c>
      <c r="D1057" t="s">
        <v>39</v>
      </c>
      <c r="E1057">
        <v>509.12</v>
      </c>
      <c r="F1057">
        <v>0</v>
      </c>
      <c r="G1057" t="s">
        <v>13</v>
      </c>
      <c r="H1057" t="s">
        <v>34</v>
      </c>
      <c r="I1057" t="s">
        <v>2154</v>
      </c>
      <c r="J1057" t="s">
        <v>64</v>
      </c>
      <c r="K1057" s="4">
        <f>VLOOKUP(J1057,Exchange_Rates!A:B,2,FALSE)</f>
        <v>0.73</v>
      </c>
      <c r="L1057" s="4">
        <f t="shared" si="64"/>
        <v>371.6576</v>
      </c>
      <c r="M1057" s="4">
        <f t="shared" si="65"/>
        <v>0</v>
      </c>
      <c r="N1057" s="4">
        <f t="shared" si="66"/>
        <v>2023</v>
      </c>
      <c r="O1057" s="4">
        <f t="shared" si="67"/>
        <v>4</v>
      </c>
    </row>
    <row r="1058" spans="1:15" x14ac:dyDescent="0.25">
      <c r="A1058" t="s">
        <v>2155</v>
      </c>
      <c r="B1058" s="2">
        <v>45782</v>
      </c>
      <c r="C1058" t="s">
        <v>38</v>
      </c>
      <c r="D1058" t="s">
        <v>39</v>
      </c>
      <c r="E1058">
        <v>1328.19</v>
      </c>
      <c r="F1058">
        <v>0</v>
      </c>
      <c r="G1058" t="s">
        <v>8</v>
      </c>
      <c r="H1058" t="s">
        <v>26</v>
      </c>
      <c r="I1058" t="s">
        <v>2156</v>
      </c>
      <c r="J1058" t="s">
        <v>64</v>
      </c>
      <c r="K1058" s="4">
        <f>VLOOKUP(J1058,Exchange_Rates!A:B,2,FALSE)</f>
        <v>0.73</v>
      </c>
      <c r="L1058" s="4">
        <f t="shared" si="64"/>
        <v>969.57870000000003</v>
      </c>
      <c r="M1058" s="4">
        <f t="shared" si="65"/>
        <v>0</v>
      </c>
      <c r="N1058" s="4">
        <f t="shared" si="66"/>
        <v>2025</v>
      </c>
      <c r="O1058" s="4">
        <f t="shared" si="67"/>
        <v>2</v>
      </c>
    </row>
    <row r="1059" spans="1:15" x14ac:dyDescent="0.25">
      <c r="A1059" t="s">
        <v>2157</v>
      </c>
      <c r="B1059" s="2">
        <v>45559</v>
      </c>
      <c r="C1059" t="s">
        <v>24</v>
      </c>
      <c r="D1059" t="s">
        <v>25</v>
      </c>
      <c r="E1059">
        <v>0</v>
      </c>
      <c r="F1059">
        <v>2455.5100000000002</v>
      </c>
      <c r="G1059" t="s">
        <v>11</v>
      </c>
      <c r="H1059" t="s">
        <v>26</v>
      </c>
      <c r="I1059" t="s">
        <v>2158</v>
      </c>
      <c r="J1059" t="s">
        <v>42</v>
      </c>
      <c r="K1059" s="4">
        <f>VLOOKUP(J1059,Exchange_Rates!A:B,2,FALSE)</f>
        <v>0.66</v>
      </c>
      <c r="L1059" s="4">
        <f t="shared" si="64"/>
        <v>0</v>
      </c>
      <c r="M1059" s="4">
        <f t="shared" si="65"/>
        <v>1620.6366000000003</v>
      </c>
      <c r="N1059" s="4">
        <f t="shared" si="66"/>
        <v>2024</v>
      </c>
      <c r="O1059" s="4">
        <f t="shared" si="67"/>
        <v>3</v>
      </c>
    </row>
    <row r="1060" spans="1:15" x14ac:dyDescent="0.25">
      <c r="A1060" t="s">
        <v>2159</v>
      </c>
      <c r="B1060" s="2">
        <v>45791</v>
      </c>
      <c r="C1060" t="s">
        <v>24</v>
      </c>
      <c r="D1060" t="s">
        <v>25</v>
      </c>
      <c r="E1060">
        <v>0</v>
      </c>
      <c r="F1060">
        <v>723.85</v>
      </c>
      <c r="G1060" t="s">
        <v>13</v>
      </c>
      <c r="H1060" t="s">
        <v>26</v>
      </c>
      <c r="I1060" t="s">
        <v>2160</v>
      </c>
      <c r="J1060" t="s">
        <v>45</v>
      </c>
      <c r="K1060" s="4">
        <f>VLOOKUP(J1060,Exchange_Rates!A:B,2,FALSE)</f>
        <v>1</v>
      </c>
      <c r="L1060" s="4">
        <f t="shared" si="64"/>
        <v>0</v>
      </c>
      <c r="M1060" s="4">
        <f t="shared" si="65"/>
        <v>723.85</v>
      </c>
      <c r="N1060" s="4">
        <f t="shared" si="66"/>
        <v>2025</v>
      </c>
      <c r="O1060" s="4">
        <f t="shared" si="67"/>
        <v>2</v>
      </c>
    </row>
    <row r="1061" spans="1:15" x14ac:dyDescent="0.25">
      <c r="A1061" t="s">
        <v>2161</v>
      </c>
      <c r="B1061" s="2">
        <v>45287</v>
      </c>
      <c r="C1061" t="s">
        <v>60</v>
      </c>
      <c r="D1061" t="s">
        <v>61</v>
      </c>
      <c r="E1061">
        <v>0</v>
      </c>
      <c r="F1061">
        <v>544.42999999999995</v>
      </c>
      <c r="G1061" t="s">
        <v>9</v>
      </c>
      <c r="H1061" t="s">
        <v>26</v>
      </c>
      <c r="I1061" t="s">
        <v>2162</v>
      </c>
      <c r="J1061" t="s">
        <v>64</v>
      </c>
      <c r="K1061" s="4">
        <f>VLOOKUP(J1061,Exchange_Rates!A:B,2,FALSE)</f>
        <v>0.73</v>
      </c>
      <c r="L1061" s="4">
        <f t="shared" si="64"/>
        <v>0</v>
      </c>
      <c r="M1061" s="4">
        <f t="shared" si="65"/>
        <v>397.43389999999994</v>
      </c>
      <c r="N1061" s="4">
        <f t="shared" si="66"/>
        <v>2023</v>
      </c>
      <c r="O1061" s="4">
        <f t="shared" si="67"/>
        <v>4</v>
      </c>
    </row>
    <row r="1062" spans="1:15" x14ac:dyDescent="0.25">
      <c r="A1062" t="s">
        <v>2163</v>
      </c>
      <c r="B1062" s="2">
        <v>45175</v>
      </c>
      <c r="C1062" t="s">
        <v>30</v>
      </c>
      <c r="D1062" t="s">
        <v>31</v>
      </c>
      <c r="E1062">
        <v>1812.2</v>
      </c>
      <c r="F1062">
        <v>0</v>
      </c>
      <c r="G1062" t="s">
        <v>9</v>
      </c>
      <c r="H1062" t="s">
        <v>62</v>
      </c>
      <c r="I1062" t="s">
        <v>2164</v>
      </c>
      <c r="J1062" t="s">
        <v>28</v>
      </c>
      <c r="K1062" s="4">
        <f>VLOOKUP(J1062,Exchange_Rates!A:B,2,FALSE)</f>
        <v>1.27</v>
      </c>
      <c r="L1062" s="4">
        <f t="shared" si="64"/>
        <v>2301.4940000000001</v>
      </c>
      <c r="M1062" s="4">
        <f t="shared" si="65"/>
        <v>0</v>
      </c>
      <c r="N1062" s="4">
        <f t="shared" si="66"/>
        <v>2023</v>
      </c>
      <c r="O1062" s="4">
        <f t="shared" si="67"/>
        <v>3</v>
      </c>
    </row>
    <row r="1063" spans="1:15" x14ac:dyDescent="0.25">
      <c r="A1063" t="s">
        <v>2165</v>
      </c>
      <c r="B1063" s="2">
        <v>45242</v>
      </c>
      <c r="C1063" t="s">
        <v>49</v>
      </c>
      <c r="D1063" t="s">
        <v>50</v>
      </c>
      <c r="E1063">
        <v>1323.46</v>
      </c>
      <c r="F1063">
        <v>0</v>
      </c>
      <c r="G1063" t="s">
        <v>10</v>
      </c>
      <c r="H1063" t="s">
        <v>62</v>
      </c>
      <c r="I1063" t="s">
        <v>2166</v>
      </c>
      <c r="J1063" t="s">
        <v>28</v>
      </c>
      <c r="K1063" s="4">
        <f>VLOOKUP(J1063,Exchange_Rates!A:B,2,FALSE)</f>
        <v>1.27</v>
      </c>
      <c r="L1063" s="4">
        <f t="shared" si="64"/>
        <v>1680.7942</v>
      </c>
      <c r="M1063" s="4">
        <f t="shared" si="65"/>
        <v>0</v>
      </c>
      <c r="N1063" s="4">
        <f t="shared" si="66"/>
        <v>2023</v>
      </c>
      <c r="O1063" s="4">
        <f t="shared" si="67"/>
        <v>4</v>
      </c>
    </row>
    <row r="1064" spans="1:15" x14ac:dyDescent="0.25">
      <c r="A1064" t="s">
        <v>2167</v>
      </c>
      <c r="B1064" s="2">
        <v>45315</v>
      </c>
      <c r="C1064" t="s">
        <v>30</v>
      </c>
      <c r="D1064" t="s">
        <v>31</v>
      </c>
      <c r="E1064">
        <v>254.62</v>
      </c>
      <c r="F1064">
        <v>0</v>
      </c>
      <c r="G1064" t="s">
        <v>11</v>
      </c>
      <c r="H1064" t="s">
        <v>34</v>
      </c>
      <c r="I1064" t="s">
        <v>2168</v>
      </c>
      <c r="J1064" t="s">
        <v>45</v>
      </c>
      <c r="K1064" s="4">
        <f>VLOOKUP(J1064,Exchange_Rates!A:B,2,FALSE)</f>
        <v>1</v>
      </c>
      <c r="L1064" s="4">
        <f t="shared" si="64"/>
        <v>254.62</v>
      </c>
      <c r="M1064" s="4">
        <f t="shared" si="65"/>
        <v>0</v>
      </c>
      <c r="N1064" s="4">
        <f t="shared" si="66"/>
        <v>2024</v>
      </c>
      <c r="O1064" s="4">
        <f t="shared" si="67"/>
        <v>1</v>
      </c>
    </row>
    <row r="1065" spans="1:15" x14ac:dyDescent="0.25">
      <c r="A1065" t="s">
        <v>2169</v>
      </c>
      <c r="B1065" s="2">
        <v>45567</v>
      </c>
      <c r="C1065" t="s">
        <v>49</v>
      </c>
      <c r="D1065" t="s">
        <v>50</v>
      </c>
      <c r="E1065">
        <v>1198.8900000000001</v>
      </c>
      <c r="F1065">
        <v>0</v>
      </c>
      <c r="G1065" t="s">
        <v>13</v>
      </c>
      <c r="H1065" t="s">
        <v>34</v>
      </c>
      <c r="I1065" t="s">
        <v>2170</v>
      </c>
      <c r="J1065" t="s">
        <v>28</v>
      </c>
      <c r="K1065" s="4">
        <f>VLOOKUP(J1065,Exchange_Rates!A:B,2,FALSE)</f>
        <v>1.27</v>
      </c>
      <c r="L1065" s="4">
        <f t="shared" si="64"/>
        <v>1522.5903000000001</v>
      </c>
      <c r="M1065" s="4">
        <f t="shared" si="65"/>
        <v>0</v>
      </c>
      <c r="N1065" s="4">
        <f t="shared" si="66"/>
        <v>2024</v>
      </c>
      <c r="O1065" s="4">
        <f t="shared" si="67"/>
        <v>4</v>
      </c>
    </row>
    <row r="1066" spans="1:15" x14ac:dyDescent="0.25">
      <c r="A1066" t="s">
        <v>2171</v>
      </c>
      <c r="B1066" s="2">
        <v>45462</v>
      </c>
      <c r="C1066" t="s">
        <v>49</v>
      </c>
      <c r="D1066" t="s">
        <v>50</v>
      </c>
      <c r="E1066">
        <v>556.48</v>
      </c>
      <c r="F1066">
        <v>0</v>
      </c>
      <c r="G1066" t="s">
        <v>12</v>
      </c>
      <c r="H1066" t="s">
        <v>62</v>
      </c>
      <c r="I1066" t="s">
        <v>2172</v>
      </c>
      <c r="J1066" t="s">
        <v>28</v>
      </c>
      <c r="K1066" s="4">
        <f>VLOOKUP(J1066,Exchange_Rates!A:B,2,FALSE)</f>
        <v>1.27</v>
      </c>
      <c r="L1066" s="4">
        <f t="shared" si="64"/>
        <v>706.7296</v>
      </c>
      <c r="M1066" s="4">
        <f t="shared" si="65"/>
        <v>0</v>
      </c>
      <c r="N1066" s="4">
        <f t="shared" si="66"/>
        <v>2024</v>
      </c>
      <c r="O1066" s="4">
        <f t="shared" si="67"/>
        <v>2</v>
      </c>
    </row>
    <row r="1067" spans="1:15" x14ac:dyDescent="0.25">
      <c r="A1067" t="s">
        <v>2173</v>
      </c>
      <c r="B1067" s="2">
        <v>45103</v>
      </c>
      <c r="C1067" t="s">
        <v>60</v>
      </c>
      <c r="D1067" t="s">
        <v>61</v>
      </c>
      <c r="E1067">
        <v>0</v>
      </c>
      <c r="F1067">
        <v>3204.3</v>
      </c>
      <c r="G1067" t="s">
        <v>13</v>
      </c>
      <c r="H1067" t="s">
        <v>62</v>
      </c>
      <c r="I1067" t="s">
        <v>2174</v>
      </c>
      <c r="J1067" t="s">
        <v>64</v>
      </c>
      <c r="K1067" s="4">
        <f>VLOOKUP(J1067,Exchange_Rates!A:B,2,FALSE)</f>
        <v>0.73</v>
      </c>
      <c r="L1067" s="4">
        <f t="shared" si="64"/>
        <v>0</v>
      </c>
      <c r="M1067" s="4">
        <f t="shared" si="65"/>
        <v>2339.1390000000001</v>
      </c>
      <c r="N1067" s="4">
        <f t="shared" si="66"/>
        <v>2023</v>
      </c>
      <c r="O1067" s="4">
        <f t="shared" si="67"/>
        <v>2</v>
      </c>
    </row>
    <row r="1068" spans="1:15" x14ac:dyDescent="0.25">
      <c r="A1068" t="s">
        <v>2175</v>
      </c>
      <c r="B1068" s="2">
        <v>45827</v>
      </c>
      <c r="C1068" t="s">
        <v>38</v>
      </c>
      <c r="D1068" t="s">
        <v>39</v>
      </c>
      <c r="E1068">
        <v>322.5</v>
      </c>
      <c r="F1068">
        <v>0</v>
      </c>
      <c r="G1068" t="s">
        <v>9</v>
      </c>
      <c r="H1068" t="s">
        <v>62</v>
      </c>
      <c r="I1068" t="s">
        <v>2176</v>
      </c>
      <c r="J1068" t="s">
        <v>36</v>
      </c>
      <c r="K1068" s="4">
        <f>VLOOKUP(J1068,Exchange_Rates!A:B,2,FALSE)</f>
        <v>1.08</v>
      </c>
      <c r="L1068" s="4">
        <f t="shared" si="64"/>
        <v>348.3</v>
      </c>
      <c r="M1068" s="4">
        <f t="shared" si="65"/>
        <v>0</v>
      </c>
      <c r="N1068" s="4">
        <f t="shared" si="66"/>
        <v>2025</v>
      </c>
      <c r="O1068" s="4">
        <f t="shared" si="67"/>
        <v>2</v>
      </c>
    </row>
    <row r="1069" spans="1:15" x14ac:dyDescent="0.25">
      <c r="A1069" t="s">
        <v>2177</v>
      </c>
      <c r="B1069" s="2">
        <v>45033</v>
      </c>
      <c r="C1069" t="s">
        <v>38</v>
      </c>
      <c r="D1069" t="s">
        <v>39</v>
      </c>
      <c r="E1069">
        <v>916.19</v>
      </c>
      <c r="F1069">
        <v>0</v>
      </c>
      <c r="G1069" t="s">
        <v>13</v>
      </c>
      <c r="H1069" t="s">
        <v>51</v>
      </c>
      <c r="I1069" t="s">
        <v>2178</v>
      </c>
      <c r="J1069" t="s">
        <v>28</v>
      </c>
      <c r="K1069" s="4">
        <f>VLOOKUP(J1069,Exchange_Rates!A:B,2,FALSE)</f>
        <v>1.27</v>
      </c>
      <c r="L1069" s="4">
        <f t="shared" si="64"/>
        <v>1163.5613000000001</v>
      </c>
      <c r="M1069" s="4">
        <f t="shared" si="65"/>
        <v>0</v>
      </c>
      <c r="N1069" s="4">
        <f t="shared" si="66"/>
        <v>2023</v>
      </c>
      <c r="O1069" s="4">
        <f t="shared" si="67"/>
        <v>2</v>
      </c>
    </row>
    <row r="1070" spans="1:15" x14ac:dyDescent="0.25">
      <c r="A1070" t="s">
        <v>2179</v>
      </c>
      <c r="B1070" s="2">
        <v>45756</v>
      </c>
      <c r="C1070" t="s">
        <v>49</v>
      </c>
      <c r="D1070" t="s">
        <v>50</v>
      </c>
      <c r="E1070">
        <v>202.58</v>
      </c>
      <c r="F1070">
        <v>0</v>
      </c>
      <c r="G1070" t="s">
        <v>13</v>
      </c>
      <c r="H1070" t="s">
        <v>51</v>
      </c>
      <c r="I1070" t="s">
        <v>2180</v>
      </c>
      <c r="J1070" t="s">
        <v>42</v>
      </c>
      <c r="K1070" s="4">
        <f>VLOOKUP(J1070,Exchange_Rates!A:B,2,FALSE)</f>
        <v>0.66</v>
      </c>
      <c r="L1070" s="4">
        <f t="shared" si="64"/>
        <v>133.70280000000002</v>
      </c>
      <c r="M1070" s="4">
        <f t="shared" si="65"/>
        <v>0</v>
      </c>
      <c r="N1070" s="4">
        <f t="shared" si="66"/>
        <v>2025</v>
      </c>
      <c r="O1070" s="4">
        <f t="shared" si="67"/>
        <v>2</v>
      </c>
    </row>
    <row r="1071" spans="1:15" x14ac:dyDescent="0.25">
      <c r="A1071" t="s">
        <v>2181</v>
      </c>
      <c r="B1071" s="2">
        <v>45633</v>
      </c>
      <c r="C1071" t="s">
        <v>24</v>
      </c>
      <c r="D1071" t="s">
        <v>25</v>
      </c>
      <c r="E1071">
        <v>0</v>
      </c>
      <c r="F1071">
        <v>4558.3900000000003</v>
      </c>
      <c r="G1071" t="s">
        <v>8</v>
      </c>
      <c r="H1071" t="s">
        <v>40</v>
      </c>
      <c r="I1071" t="s">
        <v>2182</v>
      </c>
      <c r="J1071" t="s">
        <v>36</v>
      </c>
      <c r="K1071" s="4">
        <f>VLOOKUP(J1071,Exchange_Rates!A:B,2,FALSE)</f>
        <v>1.08</v>
      </c>
      <c r="L1071" s="4">
        <f t="shared" si="64"/>
        <v>0</v>
      </c>
      <c r="M1071" s="4">
        <f t="shared" si="65"/>
        <v>4923.061200000001</v>
      </c>
      <c r="N1071" s="4">
        <f t="shared" si="66"/>
        <v>2024</v>
      </c>
      <c r="O1071" s="4">
        <f t="shared" si="67"/>
        <v>4</v>
      </c>
    </row>
    <row r="1072" spans="1:15" x14ac:dyDescent="0.25">
      <c r="A1072" t="s">
        <v>2183</v>
      </c>
      <c r="B1072" s="2">
        <v>45018</v>
      </c>
      <c r="C1072" t="s">
        <v>38</v>
      </c>
      <c r="D1072" t="s">
        <v>39</v>
      </c>
      <c r="E1072">
        <v>962.74</v>
      </c>
      <c r="F1072">
        <v>0</v>
      </c>
      <c r="G1072" t="s">
        <v>9</v>
      </c>
      <c r="H1072" t="s">
        <v>62</v>
      </c>
      <c r="I1072" t="s">
        <v>2184</v>
      </c>
      <c r="J1072" t="s">
        <v>45</v>
      </c>
      <c r="K1072" s="4">
        <f>VLOOKUP(J1072,Exchange_Rates!A:B,2,FALSE)</f>
        <v>1</v>
      </c>
      <c r="L1072" s="4">
        <f t="shared" si="64"/>
        <v>962.74</v>
      </c>
      <c r="M1072" s="4">
        <f t="shared" si="65"/>
        <v>0</v>
      </c>
      <c r="N1072" s="4">
        <f t="shared" si="66"/>
        <v>2023</v>
      </c>
      <c r="O1072" s="4">
        <f t="shared" si="67"/>
        <v>2</v>
      </c>
    </row>
    <row r="1073" spans="1:15" x14ac:dyDescent="0.25">
      <c r="A1073" t="s">
        <v>2185</v>
      </c>
      <c r="B1073" s="2">
        <v>45389</v>
      </c>
      <c r="C1073" t="s">
        <v>38</v>
      </c>
      <c r="D1073" t="s">
        <v>39</v>
      </c>
      <c r="E1073">
        <v>996.08</v>
      </c>
      <c r="F1073">
        <v>0</v>
      </c>
      <c r="G1073" t="s">
        <v>9</v>
      </c>
      <c r="H1073" t="s">
        <v>62</v>
      </c>
      <c r="I1073" t="s">
        <v>2186</v>
      </c>
      <c r="J1073" t="s">
        <v>36</v>
      </c>
      <c r="K1073" s="4">
        <f>VLOOKUP(J1073,Exchange_Rates!A:B,2,FALSE)</f>
        <v>1.08</v>
      </c>
      <c r="L1073" s="4">
        <f t="shared" si="64"/>
        <v>1075.7664000000002</v>
      </c>
      <c r="M1073" s="4">
        <f t="shared" si="65"/>
        <v>0</v>
      </c>
      <c r="N1073" s="4">
        <f t="shared" si="66"/>
        <v>2024</v>
      </c>
      <c r="O1073" s="4">
        <f t="shared" si="67"/>
        <v>2</v>
      </c>
    </row>
    <row r="1074" spans="1:15" x14ac:dyDescent="0.25">
      <c r="A1074" t="s">
        <v>2187</v>
      </c>
      <c r="B1074" s="2">
        <v>45680</v>
      </c>
      <c r="C1074" t="s">
        <v>38</v>
      </c>
      <c r="D1074" t="s">
        <v>39</v>
      </c>
      <c r="E1074">
        <v>1399.67</v>
      </c>
      <c r="F1074">
        <v>0</v>
      </c>
      <c r="G1074" t="s">
        <v>8</v>
      </c>
      <c r="H1074" t="s">
        <v>62</v>
      </c>
      <c r="I1074" t="s">
        <v>2188</v>
      </c>
      <c r="J1074" t="s">
        <v>64</v>
      </c>
      <c r="K1074" s="4">
        <f>VLOOKUP(J1074,Exchange_Rates!A:B,2,FALSE)</f>
        <v>0.73</v>
      </c>
      <c r="L1074" s="4">
        <f t="shared" si="64"/>
        <v>1021.7591</v>
      </c>
      <c r="M1074" s="4">
        <f t="shared" si="65"/>
        <v>0</v>
      </c>
      <c r="N1074" s="4">
        <f t="shared" si="66"/>
        <v>2025</v>
      </c>
      <c r="O1074" s="4">
        <f t="shared" si="67"/>
        <v>1</v>
      </c>
    </row>
    <row r="1075" spans="1:15" x14ac:dyDescent="0.25">
      <c r="A1075" t="s">
        <v>2189</v>
      </c>
      <c r="B1075" s="2">
        <v>45213</v>
      </c>
      <c r="C1075" t="s">
        <v>60</v>
      </c>
      <c r="D1075" t="s">
        <v>61</v>
      </c>
      <c r="E1075">
        <v>0</v>
      </c>
      <c r="F1075">
        <v>1644.76</v>
      </c>
      <c r="G1075" t="s">
        <v>9</v>
      </c>
      <c r="H1075" t="s">
        <v>26</v>
      </c>
      <c r="I1075" t="s">
        <v>2190</v>
      </c>
      <c r="J1075" t="s">
        <v>64</v>
      </c>
      <c r="K1075" s="4">
        <f>VLOOKUP(J1075,Exchange_Rates!A:B,2,FALSE)</f>
        <v>0.73</v>
      </c>
      <c r="L1075" s="4">
        <f t="shared" si="64"/>
        <v>0</v>
      </c>
      <c r="M1075" s="4">
        <f t="shared" si="65"/>
        <v>1200.6748</v>
      </c>
      <c r="N1075" s="4">
        <f t="shared" si="66"/>
        <v>2023</v>
      </c>
      <c r="O1075" s="4">
        <f t="shared" si="67"/>
        <v>4</v>
      </c>
    </row>
    <row r="1076" spans="1:15" x14ac:dyDescent="0.25">
      <c r="A1076" t="s">
        <v>2191</v>
      </c>
      <c r="B1076" s="2">
        <v>45360</v>
      </c>
      <c r="C1076" t="s">
        <v>30</v>
      </c>
      <c r="D1076" t="s">
        <v>31</v>
      </c>
      <c r="E1076">
        <v>1049.23</v>
      </c>
      <c r="F1076">
        <v>0</v>
      </c>
      <c r="G1076" t="s">
        <v>11</v>
      </c>
      <c r="H1076" t="s">
        <v>26</v>
      </c>
      <c r="I1076" t="s">
        <v>2192</v>
      </c>
      <c r="J1076" t="s">
        <v>42</v>
      </c>
      <c r="K1076" s="4">
        <f>VLOOKUP(J1076,Exchange_Rates!A:B,2,FALSE)</f>
        <v>0.66</v>
      </c>
      <c r="L1076" s="4">
        <f t="shared" si="64"/>
        <v>692.49180000000001</v>
      </c>
      <c r="M1076" s="4">
        <f t="shared" si="65"/>
        <v>0</v>
      </c>
      <c r="N1076" s="4">
        <f t="shared" si="66"/>
        <v>2024</v>
      </c>
      <c r="O1076" s="4">
        <f t="shared" si="67"/>
        <v>1</v>
      </c>
    </row>
    <row r="1077" spans="1:15" x14ac:dyDescent="0.25">
      <c r="A1077" t="s">
        <v>2193</v>
      </c>
      <c r="B1077" s="2">
        <v>45072</v>
      </c>
      <c r="C1077" t="s">
        <v>30</v>
      </c>
      <c r="D1077" t="s">
        <v>31</v>
      </c>
      <c r="E1077">
        <v>1655.29</v>
      </c>
      <c r="F1077">
        <v>0</v>
      </c>
      <c r="G1077" t="s">
        <v>9</v>
      </c>
      <c r="H1077" t="s">
        <v>26</v>
      </c>
      <c r="I1077" t="s">
        <v>2194</v>
      </c>
      <c r="J1077" t="s">
        <v>45</v>
      </c>
      <c r="K1077" s="4">
        <f>VLOOKUP(J1077,Exchange_Rates!A:B,2,FALSE)</f>
        <v>1</v>
      </c>
      <c r="L1077" s="4">
        <f t="shared" si="64"/>
        <v>1655.29</v>
      </c>
      <c r="M1077" s="4">
        <f t="shared" si="65"/>
        <v>0</v>
      </c>
      <c r="N1077" s="4">
        <f t="shared" si="66"/>
        <v>2023</v>
      </c>
      <c r="O1077" s="4">
        <f t="shared" si="67"/>
        <v>2</v>
      </c>
    </row>
    <row r="1078" spans="1:15" x14ac:dyDescent="0.25">
      <c r="A1078" t="s">
        <v>2195</v>
      </c>
      <c r="B1078" s="2">
        <v>45656</v>
      </c>
      <c r="C1078" t="s">
        <v>49</v>
      </c>
      <c r="D1078" t="s">
        <v>50</v>
      </c>
      <c r="E1078">
        <v>1402.31</v>
      </c>
      <c r="F1078">
        <v>0</v>
      </c>
      <c r="G1078" t="s">
        <v>13</v>
      </c>
      <c r="H1078" t="s">
        <v>62</v>
      </c>
      <c r="I1078" t="s">
        <v>2196</v>
      </c>
      <c r="J1078" t="s">
        <v>36</v>
      </c>
      <c r="K1078" s="4">
        <f>VLOOKUP(J1078,Exchange_Rates!A:B,2,FALSE)</f>
        <v>1.08</v>
      </c>
      <c r="L1078" s="4">
        <f t="shared" si="64"/>
        <v>1514.4947999999999</v>
      </c>
      <c r="M1078" s="4">
        <f t="shared" si="65"/>
        <v>0</v>
      </c>
      <c r="N1078" s="4">
        <f t="shared" si="66"/>
        <v>2024</v>
      </c>
      <c r="O1078" s="4">
        <f t="shared" si="67"/>
        <v>4</v>
      </c>
    </row>
    <row r="1079" spans="1:15" x14ac:dyDescent="0.25">
      <c r="A1079" t="s">
        <v>2197</v>
      </c>
      <c r="B1079" s="2">
        <v>45134</v>
      </c>
      <c r="C1079" t="s">
        <v>49</v>
      </c>
      <c r="D1079" t="s">
        <v>50</v>
      </c>
      <c r="E1079">
        <v>833.9</v>
      </c>
      <c r="F1079">
        <v>0</v>
      </c>
      <c r="G1079" t="s">
        <v>11</v>
      </c>
      <c r="H1079" t="s">
        <v>40</v>
      </c>
      <c r="I1079" t="s">
        <v>2198</v>
      </c>
      <c r="J1079" t="s">
        <v>36</v>
      </c>
      <c r="K1079" s="4">
        <f>VLOOKUP(J1079,Exchange_Rates!A:B,2,FALSE)</f>
        <v>1.08</v>
      </c>
      <c r="L1079" s="4">
        <f t="shared" si="64"/>
        <v>900.61200000000008</v>
      </c>
      <c r="M1079" s="4">
        <f t="shared" si="65"/>
        <v>0</v>
      </c>
      <c r="N1079" s="4">
        <f t="shared" si="66"/>
        <v>2023</v>
      </c>
      <c r="O1079" s="4">
        <f t="shared" si="67"/>
        <v>3</v>
      </c>
    </row>
    <row r="1080" spans="1:15" x14ac:dyDescent="0.25">
      <c r="A1080" t="s">
        <v>2199</v>
      </c>
      <c r="B1080" s="2">
        <v>45032</v>
      </c>
      <c r="C1080" t="s">
        <v>24</v>
      </c>
      <c r="D1080" t="s">
        <v>25</v>
      </c>
      <c r="E1080">
        <v>0</v>
      </c>
      <c r="F1080">
        <v>3759.18</v>
      </c>
      <c r="G1080" t="s">
        <v>12</v>
      </c>
      <c r="H1080" t="s">
        <v>26</v>
      </c>
      <c r="I1080" t="s">
        <v>2200</v>
      </c>
      <c r="J1080" t="s">
        <v>64</v>
      </c>
      <c r="K1080" s="4">
        <f>VLOOKUP(J1080,Exchange_Rates!A:B,2,FALSE)</f>
        <v>0.73</v>
      </c>
      <c r="L1080" s="4">
        <f t="shared" si="64"/>
        <v>0</v>
      </c>
      <c r="M1080" s="4">
        <f t="shared" si="65"/>
        <v>2744.2013999999999</v>
      </c>
      <c r="N1080" s="4">
        <f t="shared" si="66"/>
        <v>2023</v>
      </c>
      <c r="O1080" s="4">
        <f t="shared" si="67"/>
        <v>2</v>
      </c>
    </row>
    <row r="1081" spans="1:15" x14ac:dyDescent="0.25">
      <c r="A1081" t="s">
        <v>2201</v>
      </c>
      <c r="B1081" s="2">
        <v>45470</v>
      </c>
      <c r="C1081" t="s">
        <v>38</v>
      </c>
      <c r="D1081" t="s">
        <v>39</v>
      </c>
      <c r="E1081">
        <v>67.150000000000006</v>
      </c>
      <c r="F1081">
        <v>0</v>
      </c>
      <c r="G1081" t="s">
        <v>12</v>
      </c>
      <c r="H1081" t="s">
        <v>34</v>
      </c>
      <c r="I1081" t="s">
        <v>2202</v>
      </c>
      <c r="J1081" t="s">
        <v>45</v>
      </c>
      <c r="K1081" s="4">
        <f>VLOOKUP(J1081,Exchange_Rates!A:B,2,FALSE)</f>
        <v>1</v>
      </c>
      <c r="L1081" s="4">
        <f t="shared" si="64"/>
        <v>67.150000000000006</v>
      </c>
      <c r="M1081" s="4">
        <f t="shared" si="65"/>
        <v>0</v>
      </c>
      <c r="N1081" s="4">
        <f t="shared" si="66"/>
        <v>2024</v>
      </c>
      <c r="O1081" s="4">
        <f t="shared" si="67"/>
        <v>2</v>
      </c>
    </row>
    <row r="1082" spans="1:15" x14ac:dyDescent="0.25">
      <c r="A1082" t="s">
        <v>2203</v>
      </c>
      <c r="B1082" s="2">
        <v>44968</v>
      </c>
      <c r="C1082" t="s">
        <v>30</v>
      </c>
      <c r="D1082" t="s">
        <v>31</v>
      </c>
      <c r="E1082">
        <v>1138.3599999999999</v>
      </c>
      <c r="F1082">
        <v>0</v>
      </c>
      <c r="G1082" t="s">
        <v>13</v>
      </c>
      <c r="H1082" t="s">
        <v>40</v>
      </c>
      <c r="I1082" t="s">
        <v>2204</v>
      </c>
      <c r="J1082" t="s">
        <v>64</v>
      </c>
      <c r="K1082" s="4">
        <f>VLOOKUP(J1082,Exchange_Rates!A:B,2,FALSE)</f>
        <v>0.73</v>
      </c>
      <c r="L1082" s="4">
        <f t="shared" si="64"/>
        <v>831.00279999999987</v>
      </c>
      <c r="M1082" s="4">
        <f t="shared" si="65"/>
        <v>0</v>
      </c>
      <c r="N1082" s="4">
        <f t="shared" si="66"/>
        <v>2023</v>
      </c>
      <c r="O1082" s="4">
        <f t="shared" si="67"/>
        <v>1</v>
      </c>
    </row>
    <row r="1083" spans="1:15" x14ac:dyDescent="0.25">
      <c r="A1083" t="s">
        <v>2205</v>
      </c>
      <c r="B1083" s="2">
        <v>45066</v>
      </c>
      <c r="C1083" t="s">
        <v>38</v>
      </c>
      <c r="D1083" t="s">
        <v>39</v>
      </c>
      <c r="E1083">
        <v>1356.38</v>
      </c>
      <c r="F1083">
        <v>0</v>
      </c>
      <c r="G1083" t="s">
        <v>8</v>
      </c>
      <c r="H1083" t="s">
        <v>51</v>
      </c>
      <c r="I1083" t="s">
        <v>2206</v>
      </c>
      <c r="J1083" t="s">
        <v>64</v>
      </c>
      <c r="K1083" s="4">
        <f>VLOOKUP(J1083,Exchange_Rates!A:B,2,FALSE)</f>
        <v>0.73</v>
      </c>
      <c r="L1083" s="4">
        <f t="shared" si="64"/>
        <v>990.15740000000005</v>
      </c>
      <c r="M1083" s="4">
        <f t="shared" si="65"/>
        <v>0</v>
      </c>
      <c r="N1083" s="4">
        <f t="shared" si="66"/>
        <v>2023</v>
      </c>
      <c r="O1083" s="4">
        <f t="shared" si="67"/>
        <v>2</v>
      </c>
    </row>
    <row r="1084" spans="1:15" x14ac:dyDescent="0.25">
      <c r="A1084" t="s">
        <v>2207</v>
      </c>
      <c r="B1084" s="2">
        <v>45721</v>
      </c>
      <c r="C1084" t="s">
        <v>49</v>
      </c>
      <c r="D1084" t="s">
        <v>50</v>
      </c>
      <c r="E1084">
        <v>1770.21</v>
      </c>
      <c r="F1084">
        <v>0</v>
      </c>
      <c r="G1084" t="s">
        <v>11</v>
      </c>
      <c r="H1084" t="s">
        <v>51</v>
      </c>
      <c r="I1084" t="s">
        <v>2208</v>
      </c>
      <c r="J1084" t="s">
        <v>28</v>
      </c>
      <c r="K1084" s="4">
        <f>VLOOKUP(J1084,Exchange_Rates!A:B,2,FALSE)</f>
        <v>1.27</v>
      </c>
      <c r="L1084" s="4">
        <f t="shared" si="64"/>
        <v>2248.1667000000002</v>
      </c>
      <c r="M1084" s="4">
        <f t="shared" si="65"/>
        <v>0</v>
      </c>
      <c r="N1084" s="4">
        <f t="shared" si="66"/>
        <v>2025</v>
      </c>
      <c r="O1084" s="4">
        <f t="shared" si="67"/>
        <v>1</v>
      </c>
    </row>
    <row r="1085" spans="1:15" x14ac:dyDescent="0.25">
      <c r="A1085" t="s">
        <v>2209</v>
      </c>
      <c r="B1085" s="2">
        <v>45716</v>
      </c>
      <c r="C1085" t="s">
        <v>30</v>
      </c>
      <c r="D1085" t="s">
        <v>31</v>
      </c>
      <c r="E1085">
        <v>1240.48</v>
      </c>
      <c r="F1085">
        <v>0</v>
      </c>
      <c r="G1085" t="s">
        <v>12</v>
      </c>
      <c r="H1085" t="s">
        <v>34</v>
      </c>
      <c r="I1085" t="s">
        <v>2210</v>
      </c>
      <c r="J1085" t="s">
        <v>36</v>
      </c>
      <c r="K1085" s="4">
        <f>VLOOKUP(J1085,Exchange_Rates!A:B,2,FALSE)</f>
        <v>1.08</v>
      </c>
      <c r="L1085" s="4">
        <f t="shared" si="64"/>
        <v>1339.7184000000002</v>
      </c>
      <c r="M1085" s="4">
        <f t="shared" si="65"/>
        <v>0</v>
      </c>
      <c r="N1085" s="4">
        <f t="shared" si="66"/>
        <v>2025</v>
      </c>
      <c r="O1085" s="4">
        <f t="shared" si="67"/>
        <v>1</v>
      </c>
    </row>
    <row r="1086" spans="1:15" x14ac:dyDescent="0.25">
      <c r="A1086" t="s">
        <v>2211</v>
      </c>
      <c r="B1086" s="2">
        <v>45752</v>
      </c>
      <c r="C1086" t="s">
        <v>49</v>
      </c>
      <c r="D1086" t="s">
        <v>50</v>
      </c>
      <c r="E1086">
        <v>1870.74</v>
      </c>
      <c r="F1086">
        <v>0</v>
      </c>
      <c r="G1086" t="s">
        <v>9</v>
      </c>
      <c r="H1086" t="s">
        <v>51</v>
      </c>
      <c r="I1086" t="s">
        <v>2212</v>
      </c>
      <c r="J1086" t="s">
        <v>42</v>
      </c>
      <c r="K1086" s="4">
        <f>VLOOKUP(J1086,Exchange_Rates!A:B,2,FALSE)</f>
        <v>0.66</v>
      </c>
      <c r="L1086" s="4">
        <f t="shared" si="64"/>
        <v>1234.6884</v>
      </c>
      <c r="M1086" s="4">
        <f t="shared" si="65"/>
        <v>0</v>
      </c>
      <c r="N1086" s="4">
        <f t="shared" si="66"/>
        <v>2025</v>
      </c>
      <c r="O1086" s="4">
        <f t="shared" si="67"/>
        <v>2</v>
      </c>
    </row>
    <row r="1087" spans="1:15" x14ac:dyDescent="0.25">
      <c r="A1087" t="s">
        <v>2213</v>
      </c>
      <c r="B1087" s="2">
        <v>45628</v>
      </c>
      <c r="C1087" t="s">
        <v>49</v>
      </c>
      <c r="D1087" t="s">
        <v>50</v>
      </c>
      <c r="E1087">
        <v>1295.49</v>
      </c>
      <c r="F1087">
        <v>0</v>
      </c>
      <c r="G1087" t="s">
        <v>11</v>
      </c>
      <c r="H1087" t="s">
        <v>51</v>
      </c>
      <c r="I1087" t="s">
        <v>2214</v>
      </c>
      <c r="J1087" t="s">
        <v>28</v>
      </c>
      <c r="K1087" s="4">
        <f>VLOOKUP(J1087,Exchange_Rates!A:B,2,FALSE)</f>
        <v>1.27</v>
      </c>
      <c r="L1087" s="4">
        <f t="shared" si="64"/>
        <v>1645.2723000000001</v>
      </c>
      <c r="M1087" s="4">
        <f t="shared" si="65"/>
        <v>0</v>
      </c>
      <c r="N1087" s="4">
        <f t="shared" si="66"/>
        <v>2024</v>
      </c>
      <c r="O1087" s="4">
        <f t="shared" si="67"/>
        <v>4</v>
      </c>
    </row>
    <row r="1088" spans="1:15" x14ac:dyDescent="0.25">
      <c r="A1088" t="s">
        <v>2215</v>
      </c>
      <c r="B1088" s="2">
        <v>45827</v>
      </c>
      <c r="C1088" t="s">
        <v>49</v>
      </c>
      <c r="D1088" t="s">
        <v>50</v>
      </c>
      <c r="E1088">
        <v>403.44</v>
      </c>
      <c r="F1088">
        <v>0</v>
      </c>
      <c r="G1088" t="s">
        <v>12</v>
      </c>
      <c r="H1088" t="s">
        <v>62</v>
      </c>
      <c r="I1088" t="s">
        <v>2216</v>
      </c>
      <c r="J1088" t="s">
        <v>36</v>
      </c>
      <c r="K1088" s="4">
        <f>VLOOKUP(J1088,Exchange_Rates!A:B,2,FALSE)</f>
        <v>1.08</v>
      </c>
      <c r="L1088" s="4">
        <f t="shared" si="64"/>
        <v>435.71520000000004</v>
      </c>
      <c r="M1088" s="4">
        <f t="shared" si="65"/>
        <v>0</v>
      </c>
      <c r="N1088" s="4">
        <f t="shared" si="66"/>
        <v>2025</v>
      </c>
      <c r="O1088" s="4">
        <f t="shared" si="67"/>
        <v>2</v>
      </c>
    </row>
    <row r="1089" spans="1:15" x14ac:dyDescent="0.25">
      <c r="A1089" t="s">
        <v>2217</v>
      </c>
      <c r="B1089" s="2">
        <v>45215</v>
      </c>
      <c r="C1089" t="s">
        <v>60</v>
      </c>
      <c r="D1089" t="s">
        <v>61</v>
      </c>
      <c r="E1089">
        <v>0</v>
      </c>
      <c r="F1089">
        <v>298.58</v>
      </c>
      <c r="G1089" t="s">
        <v>10</v>
      </c>
      <c r="H1089" t="s">
        <v>34</v>
      </c>
      <c r="I1089" t="s">
        <v>2218</v>
      </c>
      <c r="J1089" t="s">
        <v>42</v>
      </c>
      <c r="K1089" s="4">
        <f>VLOOKUP(J1089,Exchange_Rates!A:B,2,FALSE)</f>
        <v>0.66</v>
      </c>
      <c r="L1089" s="4">
        <f t="shared" si="64"/>
        <v>0</v>
      </c>
      <c r="M1089" s="4">
        <f t="shared" si="65"/>
        <v>197.06280000000001</v>
      </c>
      <c r="N1089" s="4">
        <f t="shared" si="66"/>
        <v>2023</v>
      </c>
      <c r="O1089" s="4">
        <f t="shared" si="67"/>
        <v>4</v>
      </c>
    </row>
    <row r="1090" spans="1:15" x14ac:dyDescent="0.25">
      <c r="A1090" t="s">
        <v>2219</v>
      </c>
      <c r="B1090" s="2">
        <v>45314</v>
      </c>
      <c r="C1090" t="s">
        <v>60</v>
      </c>
      <c r="D1090" t="s">
        <v>61</v>
      </c>
      <c r="E1090">
        <v>0</v>
      </c>
      <c r="F1090">
        <v>2967.77</v>
      </c>
      <c r="G1090" t="s">
        <v>13</v>
      </c>
      <c r="H1090" t="s">
        <v>26</v>
      </c>
      <c r="I1090" t="s">
        <v>2220</v>
      </c>
      <c r="J1090" t="s">
        <v>28</v>
      </c>
      <c r="K1090" s="4">
        <f>VLOOKUP(J1090,Exchange_Rates!A:B,2,FALSE)</f>
        <v>1.27</v>
      </c>
      <c r="L1090" s="4">
        <f t="shared" si="64"/>
        <v>0</v>
      </c>
      <c r="M1090" s="4">
        <f t="shared" si="65"/>
        <v>3769.0679</v>
      </c>
      <c r="N1090" s="4">
        <f t="shared" si="66"/>
        <v>2024</v>
      </c>
      <c r="O1090" s="4">
        <f t="shared" si="67"/>
        <v>1</v>
      </c>
    </row>
    <row r="1091" spans="1:15" x14ac:dyDescent="0.25">
      <c r="A1091" t="s">
        <v>2221</v>
      </c>
      <c r="B1091" s="2">
        <v>44958</v>
      </c>
      <c r="C1091" t="s">
        <v>60</v>
      </c>
      <c r="D1091" t="s">
        <v>61</v>
      </c>
      <c r="E1091">
        <v>0</v>
      </c>
      <c r="F1091">
        <v>322.85000000000002</v>
      </c>
      <c r="G1091" t="s">
        <v>13</v>
      </c>
      <c r="H1091" t="s">
        <v>40</v>
      </c>
      <c r="I1091" t="s">
        <v>2222</v>
      </c>
      <c r="J1091" t="s">
        <v>45</v>
      </c>
      <c r="K1091" s="4">
        <f>VLOOKUP(J1091,Exchange_Rates!A:B,2,FALSE)</f>
        <v>1</v>
      </c>
      <c r="L1091" s="4">
        <f t="shared" ref="L1091:L1154" si="68">E1091*K1091</f>
        <v>0</v>
      </c>
      <c r="M1091" s="4">
        <f t="shared" ref="M1091:M1154" si="69">F1091*K1091</f>
        <v>322.85000000000002</v>
      </c>
      <c r="N1091" s="4">
        <f t="shared" ref="N1091:N1154" si="70">YEAR(B1091)</f>
        <v>2023</v>
      </c>
      <c r="O1091" s="4">
        <f t="shared" ref="O1091:O1154" si="71">ROUNDUP(MONTH(B1091)/3,0)</f>
        <v>1</v>
      </c>
    </row>
    <row r="1092" spans="1:15" x14ac:dyDescent="0.25">
      <c r="A1092" t="s">
        <v>2223</v>
      </c>
      <c r="B1092" s="2">
        <v>45025</v>
      </c>
      <c r="C1092" t="s">
        <v>49</v>
      </c>
      <c r="D1092" t="s">
        <v>50</v>
      </c>
      <c r="E1092">
        <v>1178.57</v>
      </c>
      <c r="F1092">
        <v>0</v>
      </c>
      <c r="G1092" t="s">
        <v>10</v>
      </c>
      <c r="H1092" t="s">
        <v>62</v>
      </c>
      <c r="I1092" t="s">
        <v>2224</v>
      </c>
      <c r="J1092" t="s">
        <v>64</v>
      </c>
      <c r="K1092" s="4">
        <f>VLOOKUP(J1092,Exchange_Rates!A:B,2,FALSE)</f>
        <v>0.73</v>
      </c>
      <c r="L1092" s="4">
        <f t="shared" si="68"/>
        <v>860.35609999999997</v>
      </c>
      <c r="M1092" s="4">
        <f t="shared" si="69"/>
        <v>0</v>
      </c>
      <c r="N1092" s="4">
        <f t="shared" si="70"/>
        <v>2023</v>
      </c>
      <c r="O1092" s="4">
        <f t="shared" si="71"/>
        <v>2</v>
      </c>
    </row>
    <row r="1093" spans="1:15" x14ac:dyDescent="0.25">
      <c r="A1093" t="s">
        <v>2225</v>
      </c>
      <c r="B1093" s="2">
        <v>45454</v>
      </c>
      <c r="C1093" t="s">
        <v>49</v>
      </c>
      <c r="D1093" t="s">
        <v>50</v>
      </c>
      <c r="E1093">
        <v>572.52</v>
      </c>
      <c r="F1093">
        <v>0</v>
      </c>
      <c r="G1093" t="s">
        <v>13</v>
      </c>
      <c r="H1093" t="s">
        <v>51</v>
      </c>
      <c r="I1093" t="s">
        <v>2226</v>
      </c>
      <c r="J1093" t="s">
        <v>45</v>
      </c>
      <c r="K1093" s="4">
        <f>VLOOKUP(J1093,Exchange_Rates!A:B,2,FALSE)</f>
        <v>1</v>
      </c>
      <c r="L1093" s="4">
        <f t="shared" si="68"/>
        <v>572.52</v>
      </c>
      <c r="M1093" s="4">
        <f t="shared" si="69"/>
        <v>0</v>
      </c>
      <c r="N1093" s="4">
        <f t="shared" si="70"/>
        <v>2024</v>
      </c>
      <c r="O1093" s="4">
        <f t="shared" si="71"/>
        <v>2</v>
      </c>
    </row>
    <row r="1094" spans="1:15" x14ac:dyDescent="0.25">
      <c r="A1094" t="s">
        <v>2227</v>
      </c>
      <c r="B1094" s="2">
        <v>45228</v>
      </c>
      <c r="C1094" t="s">
        <v>24</v>
      </c>
      <c r="D1094" t="s">
        <v>25</v>
      </c>
      <c r="E1094">
        <v>0</v>
      </c>
      <c r="F1094">
        <v>1038.25</v>
      </c>
      <c r="G1094" t="s">
        <v>12</v>
      </c>
      <c r="H1094" t="s">
        <v>40</v>
      </c>
      <c r="I1094" t="s">
        <v>2228</v>
      </c>
      <c r="J1094" t="s">
        <v>28</v>
      </c>
      <c r="K1094" s="4">
        <f>VLOOKUP(J1094,Exchange_Rates!A:B,2,FALSE)</f>
        <v>1.27</v>
      </c>
      <c r="L1094" s="4">
        <f t="shared" si="68"/>
        <v>0</v>
      </c>
      <c r="M1094" s="4">
        <f t="shared" si="69"/>
        <v>1318.5775000000001</v>
      </c>
      <c r="N1094" s="4">
        <f t="shared" si="70"/>
        <v>2023</v>
      </c>
      <c r="O1094" s="4">
        <f t="shared" si="71"/>
        <v>4</v>
      </c>
    </row>
    <row r="1095" spans="1:15" x14ac:dyDescent="0.25">
      <c r="A1095" t="s">
        <v>2229</v>
      </c>
      <c r="B1095" s="2">
        <v>44982</v>
      </c>
      <c r="C1095" t="s">
        <v>49</v>
      </c>
      <c r="D1095" t="s">
        <v>50</v>
      </c>
      <c r="E1095">
        <v>54.75</v>
      </c>
      <c r="F1095">
        <v>0</v>
      </c>
      <c r="G1095" t="s">
        <v>9</v>
      </c>
      <c r="H1095" t="s">
        <v>34</v>
      </c>
      <c r="I1095" t="s">
        <v>2230</v>
      </c>
      <c r="J1095" t="s">
        <v>28</v>
      </c>
      <c r="K1095" s="4">
        <f>VLOOKUP(J1095,Exchange_Rates!A:B,2,FALSE)</f>
        <v>1.27</v>
      </c>
      <c r="L1095" s="4">
        <f t="shared" si="68"/>
        <v>69.532499999999999</v>
      </c>
      <c r="M1095" s="4">
        <f t="shared" si="69"/>
        <v>0</v>
      </c>
      <c r="N1095" s="4">
        <f t="shared" si="70"/>
        <v>2023</v>
      </c>
      <c r="O1095" s="4">
        <f t="shared" si="71"/>
        <v>1</v>
      </c>
    </row>
    <row r="1096" spans="1:15" x14ac:dyDescent="0.25">
      <c r="A1096" t="s">
        <v>2231</v>
      </c>
      <c r="B1096" s="2">
        <v>45401</v>
      </c>
      <c r="C1096" t="s">
        <v>49</v>
      </c>
      <c r="D1096" t="s">
        <v>50</v>
      </c>
      <c r="E1096">
        <v>229.78</v>
      </c>
      <c r="F1096">
        <v>0</v>
      </c>
      <c r="G1096" t="s">
        <v>12</v>
      </c>
      <c r="H1096" t="s">
        <v>34</v>
      </c>
      <c r="I1096" t="s">
        <v>2232</v>
      </c>
      <c r="J1096" t="s">
        <v>45</v>
      </c>
      <c r="K1096" s="4">
        <f>VLOOKUP(J1096,Exchange_Rates!A:B,2,FALSE)</f>
        <v>1</v>
      </c>
      <c r="L1096" s="4">
        <f t="shared" si="68"/>
        <v>229.78</v>
      </c>
      <c r="M1096" s="4">
        <f t="shared" si="69"/>
        <v>0</v>
      </c>
      <c r="N1096" s="4">
        <f t="shared" si="70"/>
        <v>2024</v>
      </c>
      <c r="O1096" s="4">
        <f t="shared" si="71"/>
        <v>2</v>
      </c>
    </row>
    <row r="1097" spans="1:15" x14ac:dyDescent="0.25">
      <c r="A1097" t="s">
        <v>2233</v>
      </c>
      <c r="B1097" s="2">
        <v>45497</v>
      </c>
      <c r="C1097" t="s">
        <v>49</v>
      </c>
      <c r="D1097" t="s">
        <v>50</v>
      </c>
      <c r="E1097">
        <v>1195.8599999999999</v>
      </c>
      <c r="F1097">
        <v>0</v>
      </c>
      <c r="G1097" t="s">
        <v>13</v>
      </c>
      <c r="H1097" t="s">
        <v>34</v>
      </c>
      <c r="I1097" t="s">
        <v>2234</v>
      </c>
      <c r="J1097" t="s">
        <v>64</v>
      </c>
      <c r="K1097" s="4">
        <f>VLOOKUP(J1097,Exchange_Rates!A:B,2,FALSE)</f>
        <v>0.73</v>
      </c>
      <c r="L1097" s="4">
        <f t="shared" si="68"/>
        <v>872.97779999999989</v>
      </c>
      <c r="M1097" s="4">
        <f t="shared" si="69"/>
        <v>0</v>
      </c>
      <c r="N1097" s="4">
        <f t="shared" si="70"/>
        <v>2024</v>
      </c>
      <c r="O1097" s="4">
        <f t="shared" si="71"/>
        <v>3</v>
      </c>
    </row>
    <row r="1098" spans="1:15" x14ac:dyDescent="0.25">
      <c r="A1098" t="s">
        <v>2235</v>
      </c>
      <c r="B1098" s="2">
        <v>45765</v>
      </c>
      <c r="C1098" t="s">
        <v>24</v>
      </c>
      <c r="D1098" t="s">
        <v>25</v>
      </c>
      <c r="E1098">
        <v>0</v>
      </c>
      <c r="F1098">
        <v>183.89</v>
      </c>
      <c r="G1098" t="s">
        <v>12</v>
      </c>
      <c r="H1098" t="s">
        <v>51</v>
      </c>
      <c r="I1098" t="s">
        <v>2236</v>
      </c>
      <c r="J1098" t="s">
        <v>42</v>
      </c>
      <c r="K1098" s="4">
        <f>VLOOKUP(J1098,Exchange_Rates!A:B,2,FALSE)</f>
        <v>0.66</v>
      </c>
      <c r="L1098" s="4">
        <f t="shared" si="68"/>
        <v>0</v>
      </c>
      <c r="M1098" s="4">
        <f t="shared" si="69"/>
        <v>121.3674</v>
      </c>
      <c r="N1098" s="4">
        <f t="shared" si="70"/>
        <v>2025</v>
      </c>
      <c r="O1098" s="4">
        <f t="shared" si="71"/>
        <v>2</v>
      </c>
    </row>
    <row r="1099" spans="1:15" x14ac:dyDescent="0.25">
      <c r="A1099" t="s">
        <v>2237</v>
      </c>
      <c r="B1099" s="2">
        <v>45708</v>
      </c>
      <c r="C1099" t="s">
        <v>49</v>
      </c>
      <c r="D1099" t="s">
        <v>50</v>
      </c>
      <c r="E1099">
        <v>786.38</v>
      </c>
      <c r="F1099">
        <v>0</v>
      </c>
      <c r="G1099" t="s">
        <v>8</v>
      </c>
      <c r="H1099" t="s">
        <v>51</v>
      </c>
      <c r="I1099" t="s">
        <v>2238</v>
      </c>
      <c r="J1099" t="s">
        <v>64</v>
      </c>
      <c r="K1099" s="4">
        <f>VLOOKUP(J1099,Exchange_Rates!A:B,2,FALSE)</f>
        <v>0.73</v>
      </c>
      <c r="L1099" s="4">
        <f t="shared" si="68"/>
        <v>574.05740000000003</v>
      </c>
      <c r="M1099" s="4">
        <f t="shared" si="69"/>
        <v>0</v>
      </c>
      <c r="N1099" s="4">
        <f t="shared" si="70"/>
        <v>2025</v>
      </c>
      <c r="O1099" s="4">
        <f t="shared" si="71"/>
        <v>1</v>
      </c>
    </row>
    <row r="1100" spans="1:15" x14ac:dyDescent="0.25">
      <c r="A1100" t="s">
        <v>2239</v>
      </c>
      <c r="B1100" s="2">
        <v>45809</v>
      </c>
      <c r="C1100" t="s">
        <v>49</v>
      </c>
      <c r="D1100" t="s">
        <v>50</v>
      </c>
      <c r="E1100">
        <v>352.55</v>
      </c>
      <c r="F1100">
        <v>0</v>
      </c>
      <c r="G1100" t="s">
        <v>10</v>
      </c>
      <c r="H1100" t="s">
        <v>51</v>
      </c>
      <c r="I1100" t="s">
        <v>2240</v>
      </c>
      <c r="J1100" t="s">
        <v>36</v>
      </c>
      <c r="K1100" s="4">
        <f>VLOOKUP(J1100,Exchange_Rates!A:B,2,FALSE)</f>
        <v>1.08</v>
      </c>
      <c r="L1100" s="4">
        <f t="shared" si="68"/>
        <v>380.75400000000002</v>
      </c>
      <c r="M1100" s="4">
        <f t="shared" si="69"/>
        <v>0</v>
      </c>
      <c r="N1100" s="4">
        <f t="shared" si="70"/>
        <v>2025</v>
      </c>
      <c r="O1100" s="4">
        <f t="shared" si="71"/>
        <v>2</v>
      </c>
    </row>
    <row r="1101" spans="1:15" x14ac:dyDescent="0.25">
      <c r="A1101" t="s">
        <v>2241</v>
      </c>
      <c r="B1101" s="2">
        <v>45094</v>
      </c>
      <c r="C1101" t="s">
        <v>38</v>
      </c>
      <c r="D1101" t="s">
        <v>39</v>
      </c>
      <c r="E1101">
        <v>1814.7</v>
      </c>
      <c r="F1101">
        <v>0</v>
      </c>
      <c r="G1101" t="s">
        <v>10</v>
      </c>
      <c r="H1101" t="s">
        <v>62</v>
      </c>
      <c r="I1101" t="s">
        <v>2242</v>
      </c>
      <c r="J1101" t="s">
        <v>45</v>
      </c>
      <c r="K1101" s="4">
        <f>VLOOKUP(J1101,Exchange_Rates!A:B,2,FALSE)</f>
        <v>1</v>
      </c>
      <c r="L1101" s="4">
        <f t="shared" si="68"/>
        <v>1814.7</v>
      </c>
      <c r="M1101" s="4">
        <f t="shared" si="69"/>
        <v>0</v>
      </c>
      <c r="N1101" s="4">
        <f t="shared" si="70"/>
        <v>2023</v>
      </c>
      <c r="O1101" s="4">
        <f t="shared" si="71"/>
        <v>2</v>
      </c>
    </row>
    <row r="1102" spans="1:15" x14ac:dyDescent="0.25">
      <c r="A1102" t="s">
        <v>2243</v>
      </c>
      <c r="B1102" s="2">
        <v>45182</v>
      </c>
      <c r="C1102" t="s">
        <v>24</v>
      </c>
      <c r="D1102" t="s">
        <v>25</v>
      </c>
      <c r="E1102">
        <v>0</v>
      </c>
      <c r="F1102">
        <v>4099.41</v>
      </c>
      <c r="G1102" t="s">
        <v>12</v>
      </c>
      <c r="H1102" t="s">
        <v>26</v>
      </c>
      <c r="I1102" t="s">
        <v>2244</v>
      </c>
      <c r="J1102" t="s">
        <v>45</v>
      </c>
      <c r="K1102" s="4">
        <f>VLOOKUP(J1102,Exchange_Rates!A:B,2,FALSE)</f>
        <v>1</v>
      </c>
      <c r="L1102" s="4">
        <f t="shared" si="68"/>
        <v>0</v>
      </c>
      <c r="M1102" s="4">
        <f t="shared" si="69"/>
        <v>4099.41</v>
      </c>
      <c r="N1102" s="4">
        <f t="shared" si="70"/>
        <v>2023</v>
      </c>
      <c r="O1102" s="4">
        <f t="shared" si="71"/>
        <v>3</v>
      </c>
    </row>
    <row r="1103" spans="1:15" x14ac:dyDescent="0.25">
      <c r="A1103" t="s">
        <v>2245</v>
      </c>
      <c r="B1103" s="2">
        <v>45793</v>
      </c>
      <c r="C1103" t="s">
        <v>24</v>
      </c>
      <c r="D1103" t="s">
        <v>25</v>
      </c>
      <c r="E1103">
        <v>0</v>
      </c>
      <c r="F1103">
        <v>1953.74</v>
      </c>
      <c r="G1103" t="s">
        <v>13</v>
      </c>
      <c r="H1103" t="s">
        <v>34</v>
      </c>
      <c r="I1103" t="s">
        <v>2246</v>
      </c>
      <c r="J1103" t="s">
        <v>28</v>
      </c>
      <c r="K1103" s="4">
        <f>VLOOKUP(J1103,Exchange_Rates!A:B,2,FALSE)</f>
        <v>1.27</v>
      </c>
      <c r="L1103" s="4">
        <f t="shared" si="68"/>
        <v>0</v>
      </c>
      <c r="M1103" s="4">
        <f t="shared" si="69"/>
        <v>2481.2498000000001</v>
      </c>
      <c r="N1103" s="4">
        <f t="shared" si="70"/>
        <v>2025</v>
      </c>
      <c r="O1103" s="4">
        <f t="shared" si="71"/>
        <v>2</v>
      </c>
    </row>
    <row r="1104" spans="1:15" x14ac:dyDescent="0.25">
      <c r="A1104" t="s">
        <v>2247</v>
      </c>
      <c r="B1104" s="2">
        <v>45319</v>
      </c>
      <c r="C1104" t="s">
        <v>30</v>
      </c>
      <c r="D1104" t="s">
        <v>31</v>
      </c>
      <c r="E1104">
        <v>242.28</v>
      </c>
      <c r="F1104">
        <v>0</v>
      </c>
      <c r="G1104" t="s">
        <v>8</v>
      </c>
      <c r="H1104" t="s">
        <v>40</v>
      </c>
      <c r="I1104" t="s">
        <v>2248</v>
      </c>
      <c r="J1104" t="s">
        <v>45</v>
      </c>
      <c r="K1104" s="4">
        <f>VLOOKUP(J1104,Exchange_Rates!A:B,2,FALSE)</f>
        <v>1</v>
      </c>
      <c r="L1104" s="4">
        <f t="shared" si="68"/>
        <v>242.28</v>
      </c>
      <c r="M1104" s="4">
        <f t="shared" si="69"/>
        <v>0</v>
      </c>
      <c r="N1104" s="4">
        <f t="shared" si="70"/>
        <v>2024</v>
      </c>
      <c r="O1104" s="4">
        <f t="shared" si="71"/>
        <v>1</v>
      </c>
    </row>
    <row r="1105" spans="1:15" x14ac:dyDescent="0.25">
      <c r="A1105" t="s">
        <v>2249</v>
      </c>
      <c r="B1105" s="2">
        <v>45434</v>
      </c>
      <c r="C1105" t="s">
        <v>60</v>
      </c>
      <c r="D1105" t="s">
        <v>61</v>
      </c>
      <c r="E1105">
        <v>0</v>
      </c>
      <c r="F1105">
        <v>3335.43</v>
      </c>
      <c r="G1105" t="s">
        <v>13</v>
      </c>
      <c r="H1105" t="s">
        <v>51</v>
      </c>
      <c r="I1105" t="s">
        <v>2250</v>
      </c>
      <c r="J1105" t="s">
        <v>45</v>
      </c>
      <c r="K1105" s="4">
        <f>VLOOKUP(J1105,Exchange_Rates!A:B,2,FALSE)</f>
        <v>1</v>
      </c>
      <c r="L1105" s="4">
        <f t="shared" si="68"/>
        <v>0</v>
      </c>
      <c r="M1105" s="4">
        <f t="shared" si="69"/>
        <v>3335.43</v>
      </c>
      <c r="N1105" s="4">
        <f t="shared" si="70"/>
        <v>2024</v>
      </c>
      <c r="O1105" s="4">
        <f t="shared" si="71"/>
        <v>2</v>
      </c>
    </row>
    <row r="1106" spans="1:15" x14ac:dyDescent="0.25">
      <c r="A1106" t="s">
        <v>2251</v>
      </c>
      <c r="B1106" s="2">
        <v>45167</v>
      </c>
      <c r="C1106" t="s">
        <v>49</v>
      </c>
      <c r="D1106" t="s">
        <v>50</v>
      </c>
      <c r="E1106">
        <v>831.33</v>
      </c>
      <c r="F1106">
        <v>0</v>
      </c>
      <c r="G1106" t="s">
        <v>13</v>
      </c>
      <c r="H1106" t="s">
        <v>51</v>
      </c>
      <c r="I1106" t="s">
        <v>2252</v>
      </c>
      <c r="J1106" t="s">
        <v>64</v>
      </c>
      <c r="K1106" s="4">
        <f>VLOOKUP(J1106,Exchange_Rates!A:B,2,FALSE)</f>
        <v>0.73</v>
      </c>
      <c r="L1106" s="4">
        <f t="shared" si="68"/>
        <v>606.87090000000001</v>
      </c>
      <c r="M1106" s="4">
        <f t="shared" si="69"/>
        <v>0</v>
      </c>
      <c r="N1106" s="4">
        <f t="shared" si="70"/>
        <v>2023</v>
      </c>
      <c r="O1106" s="4">
        <f t="shared" si="71"/>
        <v>3</v>
      </c>
    </row>
    <row r="1107" spans="1:15" x14ac:dyDescent="0.25">
      <c r="A1107" t="s">
        <v>2253</v>
      </c>
      <c r="B1107" s="2">
        <v>45344</v>
      </c>
      <c r="C1107" t="s">
        <v>24</v>
      </c>
      <c r="D1107" t="s">
        <v>25</v>
      </c>
      <c r="E1107">
        <v>0</v>
      </c>
      <c r="F1107">
        <v>406.59</v>
      </c>
      <c r="G1107" t="s">
        <v>11</v>
      </c>
      <c r="H1107" t="s">
        <v>62</v>
      </c>
      <c r="I1107" t="s">
        <v>2254</v>
      </c>
      <c r="J1107" t="s">
        <v>36</v>
      </c>
      <c r="K1107" s="4">
        <f>VLOOKUP(J1107,Exchange_Rates!A:B,2,FALSE)</f>
        <v>1.08</v>
      </c>
      <c r="L1107" s="4">
        <f t="shared" si="68"/>
        <v>0</v>
      </c>
      <c r="M1107" s="4">
        <f t="shared" si="69"/>
        <v>439.11720000000003</v>
      </c>
      <c r="N1107" s="4">
        <f t="shared" si="70"/>
        <v>2024</v>
      </c>
      <c r="O1107" s="4">
        <f t="shared" si="71"/>
        <v>1</v>
      </c>
    </row>
    <row r="1108" spans="1:15" x14ac:dyDescent="0.25">
      <c r="A1108" t="s">
        <v>2255</v>
      </c>
      <c r="B1108" s="2">
        <v>45325</v>
      </c>
      <c r="C1108" t="s">
        <v>38</v>
      </c>
      <c r="D1108" t="s">
        <v>39</v>
      </c>
      <c r="E1108">
        <v>1813.03</v>
      </c>
      <c r="F1108">
        <v>0</v>
      </c>
      <c r="G1108" t="s">
        <v>8</v>
      </c>
      <c r="H1108" t="s">
        <v>62</v>
      </c>
      <c r="I1108" t="s">
        <v>2256</v>
      </c>
      <c r="J1108" t="s">
        <v>36</v>
      </c>
      <c r="K1108" s="4">
        <f>VLOOKUP(J1108,Exchange_Rates!A:B,2,FALSE)</f>
        <v>1.08</v>
      </c>
      <c r="L1108" s="4">
        <f t="shared" si="68"/>
        <v>1958.0724</v>
      </c>
      <c r="M1108" s="4">
        <f t="shared" si="69"/>
        <v>0</v>
      </c>
      <c r="N1108" s="4">
        <f t="shared" si="70"/>
        <v>2024</v>
      </c>
      <c r="O1108" s="4">
        <f t="shared" si="71"/>
        <v>1</v>
      </c>
    </row>
    <row r="1109" spans="1:15" x14ac:dyDescent="0.25">
      <c r="A1109" t="s">
        <v>2257</v>
      </c>
      <c r="B1109" s="2">
        <v>45338</v>
      </c>
      <c r="C1109" t="s">
        <v>24</v>
      </c>
      <c r="D1109" t="s">
        <v>25</v>
      </c>
      <c r="E1109">
        <v>0</v>
      </c>
      <c r="F1109">
        <v>2019.11</v>
      </c>
      <c r="G1109" t="s">
        <v>9</v>
      </c>
      <c r="H1109" t="s">
        <v>34</v>
      </c>
      <c r="I1109" t="s">
        <v>2258</v>
      </c>
      <c r="J1109" t="s">
        <v>42</v>
      </c>
      <c r="K1109" s="4">
        <f>VLOOKUP(J1109,Exchange_Rates!A:B,2,FALSE)</f>
        <v>0.66</v>
      </c>
      <c r="L1109" s="4">
        <f t="shared" si="68"/>
        <v>0</v>
      </c>
      <c r="M1109" s="4">
        <f t="shared" si="69"/>
        <v>1332.6125999999999</v>
      </c>
      <c r="N1109" s="4">
        <f t="shared" si="70"/>
        <v>2024</v>
      </c>
      <c r="O1109" s="4">
        <f t="shared" si="71"/>
        <v>1</v>
      </c>
    </row>
    <row r="1110" spans="1:15" x14ac:dyDescent="0.25">
      <c r="A1110" t="s">
        <v>2259</v>
      </c>
      <c r="B1110" s="2">
        <v>45359</v>
      </c>
      <c r="C1110" t="s">
        <v>38</v>
      </c>
      <c r="D1110" t="s">
        <v>39</v>
      </c>
      <c r="E1110">
        <v>1278.3800000000001</v>
      </c>
      <c r="F1110">
        <v>0</v>
      </c>
      <c r="G1110" t="s">
        <v>9</v>
      </c>
      <c r="H1110" t="s">
        <v>51</v>
      </c>
      <c r="I1110" t="s">
        <v>2260</v>
      </c>
      <c r="J1110" t="s">
        <v>36</v>
      </c>
      <c r="K1110" s="4">
        <f>VLOOKUP(J1110,Exchange_Rates!A:B,2,FALSE)</f>
        <v>1.08</v>
      </c>
      <c r="L1110" s="4">
        <f t="shared" si="68"/>
        <v>1380.6504000000002</v>
      </c>
      <c r="M1110" s="4">
        <f t="shared" si="69"/>
        <v>0</v>
      </c>
      <c r="N1110" s="4">
        <f t="shared" si="70"/>
        <v>2024</v>
      </c>
      <c r="O1110" s="4">
        <f t="shared" si="71"/>
        <v>1</v>
      </c>
    </row>
    <row r="1111" spans="1:15" x14ac:dyDescent="0.25">
      <c r="A1111" t="s">
        <v>2261</v>
      </c>
      <c r="B1111" s="2">
        <v>45023</v>
      </c>
      <c r="C1111" t="s">
        <v>24</v>
      </c>
      <c r="D1111" t="s">
        <v>25</v>
      </c>
      <c r="E1111">
        <v>0</v>
      </c>
      <c r="F1111">
        <v>2058.58</v>
      </c>
      <c r="G1111" t="s">
        <v>8</v>
      </c>
      <c r="H1111" t="s">
        <v>34</v>
      </c>
      <c r="I1111" t="s">
        <v>2262</v>
      </c>
      <c r="J1111" t="s">
        <v>64</v>
      </c>
      <c r="K1111" s="4">
        <f>VLOOKUP(J1111,Exchange_Rates!A:B,2,FALSE)</f>
        <v>0.73</v>
      </c>
      <c r="L1111" s="4">
        <f t="shared" si="68"/>
        <v>0</v>
      </c>
      <c r="M1111" s="4">
        <f t="shared" si="69"/>
        <v>1502.7633999999998</v>
      </c>
      <c r="N1111" s="4">
        <f t="shared" si="70"/>
        <v>2023</v>
      </c>
      <c r="O1111" s="4">
        <f t="shared" si="71"/>
        <v>2</v>
      </c>
    </row>
    <row r="1112" spans="1:15" x14ac:dyDescent="0.25">
      <c r="A1112" t="s">
        <v>2263</v>
      </c>
      <c r="B1112" s="2">
        <v>45532</v>
      </c>
      <c r="C1112" t="s">
        <v>38</v>
      </c>
      <c r="D1112" t="s">
        <v>39</v>
      </c>
      <c r="E1112">
        <v>1453.63</v>
      </c>
      <c r="F1112">
        <v>0</v>
      </c>
      <c r="G1112" t="s">
        <v>11</v>
      </c>
      <c r="H1112" t="s">
        <v>40</v>
      </c>
      <c r="I1112" t="s">
        <v>2264</v>
      </c>
      <c r="J1112" t="s">
        <v>42</v>
      </c>
      <c r="K1112" s="4">
        <f>VLOOKUP(J1112,Exchange_Rates!A:B,2,FALSE)</f>
        <v>0.66</v>
      </c>
      <c r="L1112" s="4">
        <f t="shared" si="68"/>
        <v>959.39580000000012</v>
      </c>
      <c r="M1112" s="4">
        <f t="shared" si="69"/>
        <v>0</v>
      </c>
      <c r="N1112" s="4">
        <f t="shared" si="70"/>
        <v>2024</v>
      </c>
      <c r="O1112" s="4">
        <f t="shared" si="71"/>
        <v>3</v>
      </c>
    </row>
    <row r="1113" spans="1:15" x14ac:dyDescent="0.25">
      <c r="A1113" t="s">
        <v>2265</v>
      </c>
      <c r="B1113" s="2">
        <v>45173</v>
      </c>
      <c r="C1113" t="s">
        <v>24</v>
      </c>
      <c r="D1113" t="s">
        <v>25</v>
      </c>
      <c r="E1113">
        <v>0</v>
      </c>
      <c r="F1113">
        <v>2233.0500000000002</v>
      </c>
      <c r="G1113" t="s">
        <v>8</v>
      </c>
      <c r="H1113" t="s">
        <v>34</v>
      </c>
      <c r="I1113" t="s">
        <v>2266</v>
      </c>
      <c r="J1113" t="s">
        <v>42</v>
      </c>
      <c r="K1113" s="4">
        <f>VLOOKUP(J1113,Exchange_Rates!A:B,2,FALSE)</f>
        <v>0.66</v>
      </c>
      <c r="L1113" s="4">
        <f t="shared" si="68"/>
        <v>0</v>
      </c>
      <c r="M1113" s="4">
        <f t="shared" si="69"/>
        <v>1473.8130000000001</v>
      </c>
      <c r="N1113" s="4">
        <f t="shared" si="70"/>
        <v>2023</v>
      </c>
      <c r="O1113" s="4">
        <f t="shared" si="71"/>
        <v>3</v>
      </c>
    </row>
    <row r="1114" spans="1:15" x14ac:dyDescent="0.25">
      <c r="A1114" t="s">
        <v>2267</v>
      </c>
      <c r="B1114" s="2">
        <v>45191</v>
      </c>
      <c r="C1114" t="s">
        <v>49</v>
      </c>
      <c r="D1114" t="s">
        <v>50</v>
      </c>
      <c r="E1114">
        <v>836.69</v>
      </c>
      <c r="F1114">
        <v>0</v>
      </c>
      <c r="G1114" t="s">
        <v>11</v>
      </c>
      <c r="H1114" t="s">
        <v>34</v>
      </c>
      <c r="I1114" t="s">
        <v>2268</v>
      </c>
      <c r="J1114" t="s">
        <v>42</v>
      </c>
      <c r="K1114" s="4">
        <f>VLOOKUP(J1114,Exchange_Rates!A:B,2,FALSE)</f>
        <v>0.66</v>
      </c>
      <c r="L1114" s="4">
        <f t="shared" si="68"/>
        <v>552.21540000000005</v>
      </c>
      <c r="M1114" s="4">
        <f t="shared" si="69"/>
        <v>0</v>
      </c>
      <c r="N1114" s="4">
        <f t="shared" si="70"/>
        <v>2023</v>
      </c>
      <c r="O1114" s="4">
        <f t="shared" si="71"/>
        <v>3</v>
      </c>
    </row>
    <row r="1115" spans="1:15" x14ac:dyDescent="0.25">
      <c r="A1115" t="s">
        <v>2269</v>
      </c>
      <c r="B1115" s="2">
        <v>44928</v>
      </c>
      <c r="C1115" t="s">
        <v>24</v>
      </c>
      <c r="D1115" t="s">
        <v>25</v>
      </c>
      <c r="E1115">
        <v>0</v>
      </c>
      <c r="F1115">
        <v>2173.0100000000002</v>
      </c>
      <c r="G1115" t="s">
        <v>12</v>
      </c>
      <c r="H1115" t="s">
        <v>51</v>
      </c>
      <c r="I1115" t="s">
        <v>2270</v>
      </c>
      <c r="J1115" t="s">
        <v>28</v>
      </c>
      <c r="K1115" s="4">
        <f>VLOOKUP(J1115,Exchange_Rates!A:B,2,FALSE)</f>
        <v>1.27</v>
      </c>
      <c r="L1115" s="4">
        <f t="shared" si="68"/>
        <v>0</v>
      </c>
      <c r="M1115" s="4">
        <f t="shared" si="69"/>
        <v>2759.7227000000003</v>
      </c>
      <c r="N1115" s="4">
        <f t="shared" si="70"/>
        <v>2023</v>
      </c>
      <c r="O1115" s="4">
        <f t="shared" si="71"/>
        <v>1</v>
      </c>
    </row>
    <row r="1116" spans="1:15" x14ac:dyDescent="0.25">
      <c r="A1116" t="s">
        <v>2271</v>
      </c>
      <c r="B1116" s="2">
        <v>45334</v>
      </c>
      <c r="C1116" t="s">
        <v>24</v>
      </c>
      <c r="D1116" t="s">
        <v>25</v>
      </c>
      <c r="E1116">
        <v>0</v>
      </c>
      <c r="F1116">
        <v>3592.24</v>
      </c>
      <c r="G1116" t="s">
        <v>8</v>
      </c>
      <c r="H1116" t="s">
        <v>40</v>
      </c>
      <c r="I1116" t="s">
        <v>2272</v>
      </c>
      <c r="J1116" t="s">
        <v>42</v>
      </c>
      <c r="K1116" s="4">
        <f>VLOOKUP(J1116,Exchange_Rates!A:B,2,FALSE)</f>
        <v>0.66</v>
      </c>
      <c r="L1116" s="4">
        <f t="shared" si="68"/>
        <v>0</v>
      </c>
      <c r="M1116" s="4">
        <f t="shared" si="69"/>
        <v>2370.8784000000001</v>
      </c>
      <c r="N1116" s="4">
        <f t="shared" si="70"/>
        <v>2024</v>
      </c>
      <c r="O1116" s="4">
        <f t="shared" si="71"/>
        <v>1</v>
      </c>
    </row>
    <row r="1117" spans="1:15" x14ac:dyDescent="0.25">
      <c r="A1117" t="s">
        <v>2273</v>
      </c>
      <c r="B1117" s="2">
        <v>45551</v>
      </c>
      <c r="C1117" t="s">
        <v>49</v>
      </c>
      <c r="D1117" t="s">
        <v>50</v>
      </c>
      <c r="E1117">
        <v>412.97</v>
      </c>
      <c r="F1117">
        <v>0</v>
      </c>
      <c r="G1117" t="s">
        <v>13</v>
      </c>
      <c r="H1117" t="s">
        <v>40</v>
      </c>
      <c r="I1117" t="s">
        <v>2274</v>
      </c>
      <c r="J1117" t="s">
        <v>42</v>
      </c>
      <c r="K1117" s="4">
        <f>VLOOKUP(J1117,Exchange_Rates!A:B,2,FALSE)</f>
        <v>0.66</v>
      </c>
      <c r="L1117" s="4">
        <f t="shared" si="68"/>
        <v>272.56020000000001</v>
      </c>
      <c r="M1117" s="4">
        <f t="shared" si="69"/>
        <v>0</v>
      </c>
      <c r="N1117" s="4">
        <f t="shared" si="70"/>
        <v>2024</v>
      </c>
      <c r="O1117" s="4">
        <f t="shared" si="71"/>
        <v>3</v>
      </c>
    </row>
    <row r="1118" spans="1:15" x14ac:dyDescent="0.25">
      <c r="A1118" t="s">
        <v>2275</v>
      </c>
      <c r="B1118" s="2">
        <v>45370</v>
      </c>
      <c r="C1118" t="s">
        <v>38</v>
      </c>
      <c r="D1118" t="s">
        <v>39</v>
      </c>
      <c r="E1118">
        <v>732.61</v>
      </c>
      <c r="F1118">
        <v>0</v>
      </c>
      <c r="G1118" t="s">
        <v>8</v>
      </c>
      <c r="H1118" t="s">
        <v>34</v>
      </c>
      <c r="I1118" t="s">
        <v>2276</v>
      </c>
      <c r="J1118" t="s">
        <v>42</v>
      </c>
      <c r="K1118" s="4">
        <f>VLOOKUP(J1118,Exchange_Rates!A:B,2,FALSE)</f>
        <v>0.66</v>
      </c>
      <c r="L1118" s="4">
        <f t="shared" si="68"/>
        <v>483.52260000000001</v>
      </c>
      <c r="M1118" s="4">
        <f t="shared" si="69"/>
        <v>0</v>
      </c>
      <c r="N1118" s="4">
        <f t="shared" si="70"/>
        <v>2024</v>
      </c>
      <c r="O1118" s="4">
        <f t="shared" si="71"/>
        <v>1</v>
      </c>
    </row>
    <row r="1119" spans="1:15" x14ac:dyDescent="0.25">
      <c r="A1119" t="s">
        <v>2277</v>
      </c>
      <c r="B1119" s="2">
        <v>45219</v>
      </c>
      <c r="C1119" t="s">
        <v>60</v>
      </c>
      <c r="D1119" t="s">
        <v>61</v>
      </c>
      <c r="E1119">
        <v>0</v>
      </c>
      <c r="F1119">
        <v>2538.6999999999998</v>
      </c>
      <c r="G1119" t="s">
        <v>11</v>
      </c>
      <c r="H1119" t="s">
        <v>62</v>
      </c>
      <c r="I1119" t="s">
        <v>2278</v>
      </c>
      <c r="J1119" t="s">
        <v>28</v>
      </c>
      <c r="K1119" s="4">
        <f>VLOOKUP(J1119,Exchange_Rates!A:B,2,FALSE)</f>
        <v>1.27</v>
      </c>
      <c r="L1119" s="4">
        <f t="shared" si="68"/>
        <v>0</v>
      </c>
      <c r="M1119" s="4">
        <f t="shared" si="69"/>
        <v>3224.1489999999999</v>
      </c>
      <c r="N1119" s="4">
        <f t="shared" si="70"/>
        <v>2023</v>
      </c>
      <c r="O1119" s="4">
        <f t="shared" si="71"/>
        <v>4</v>
      </c>
    </row>
    <row r="1120" spans="1:15" x14ac:dyDescent="0.25">
      <c r="A1120" t="s">
        <v>2279</v>
      </c>
      <c r="B1120" s="2">
        <v>45539</v>
      </c>
      <c r="C1120" t="s">
        <v>49</v>
      </c>
      <c r="D1120" t="s">
        <v>50</v>
      </c>
      <c r="E1120">
        <v>436.55</v>
      </c>
      <c r="F1120">
        <v>0</v>
      </c>
      <c r="G1120" t="s">
        <v>11</v>
      </c>
      <c r="H1120" t="s">
        <v>34</v>
      </c>
      <c r="I1120" t="s">
        <v>2280</v>
      </c>
      <c r="J1120" t="s">
        <v>28</v>
      </c>
      <c r="K1120" s="4">
        <f>VLOOKUP(J1120,Exchange_Rates!A:B,2,FALSE)</f>
        <v>1.27</v>
      </c>
      <c r="L1120" s="4">
        <f t="shared" si="68"/>
        <v>554.41849999999999</v>
      </c>
      <c r="M1120" s="4">
        <f t="shared" si="69"/>
        <v>0</v>
      </c>
      <c r="N1120" s="4">
        <f t="shared" si="70"/>
        <v>2024</v>
      </c>
      <c r="O1120" s="4">
        <f t="shared" si="71"/>
        <v>3</v>
      </c>
    </row>
    <row r="1121" spans="1:15" x14ac:dyDescent="0.25">
      <c r="A1121" t="s">
        <v>2281</v>
      </c>
      <c r="B1121" s="2">
        <v>45135</v>
      </c>
      <c r="C1121" t="s">
        <v>49</v>
      </c>
      <c r="D1121" t="s">
        <v>50</v>
      </c>
      <c r="E1121">
        <v>1687.08</v>
      </c>
      <c r="F1121">
        <v>0</v>
      </c>
      <c r="G1121" t="s">
        <v>13</v>
      </c>
      <c r="H1121" t="s">
        <v>51</v>
      </c>
      <c r="I1121" t="s">
        <v>2282</v>
      </c>
      <c r="J1121" t="s">
        <v>64</v>
      </c>
      <c r="K1121" s="4">
        <f>VLOOKUP(J1121,Exchange_Rates!A:B,2,FALSE)</f>
        <v>0.73</v>
      </c>
      <c r="L1121" s="4">
        <f t="shared" si="68"/>
        <v>1231.5683999999999</v>
      </c>
      <c r="M1121" s="4">
        <f t="shared" si="69"/>
        <v>0</v>
      </c>
      <c r="N1121" s="4">
        <f t="shared" si="70"/>
        <v>2023</v>
      </c>
      <c r="O1121" s="4">
        <f t="shared" si="71"/>
        <v>3</v>
      </c>
    </row>
    <row r="1122" spans="1:15" x14ac:dyDescent="0.25">
      <c r="A1122" t="s">
        <v>2283</v>
      </c>
      <c r="B1122" s="2">
        <v>45342</v>
      </c>
      <c r="C1122" t="s">
        <v>30</v>
      </c>
      <c r="D1122" t="s">
        <v>31</v>
      </c>
      <c r="E1122">
        <v>1337.28</v>
      </c>
      <c r="F1122">
        <v>0</v>
      </c>
      <c r="G1122" t="s">
        <v>9</v>
      </c>
      <c r="H1122" t="s">
        <v>40</v>
      </c>
      <c r="I1122" t="s">
        <v>2284</v>
      </c>
      <c r="J1122" t="s">
        <v>28</v>
      </c>
      <c r="K1122" s="4">
        <f>VLOOKUP(J1122,Exchange_Rates!A:B,2,FALSE)</f>
        <v>1.27</v>
      </c>
      <c r="L1122" s="4">
        <f t="shared" si="68"/>
        <v>1698.3455999999999</v>
      </c>
      <c r="M1122" s="4">
        <f t="shared" si="69"/>
        <v>0</v>
      </c>
      <c r="N1122" s="4">
        <f t="shared" si="70"/>
        <v>2024</v>
      </c>
      <c r="O1122" s="4">
        <f t="shared" si="71"/>
        <v>1</v>
      </c>
    </row>
    <row r="1123" spans="1:15" x14ac:dyDescent="0.25">
      <c r="A1123" t="s">
        <v>2285</v>
      </c>
      <c r="B1123" s="2">
        <v>45712</v>
      </c>
      <c r="C1123" t="s">
        <v>60</v>
      </c>
      <c r="D1123" t="s">
        <v>61</v>
      </c>
      <c r="E1123">
        <v>0</v>
      </c>
      <c r="F1123">
        <v>2049.4499999999998</v>
      </c>
      <c r="G1123" t="s">
        <v>8</v>
      </c>
      <c r="H1123" t="s">
        <v>34</v>
      </c>
      <c r="I1123" t="s">
        <v>2286</v>
      </c>
      <c r="J1123" t="s">
        <v>64</v>
      </c>
      <c r="K1123" s="4">
        <f>VLOOKUP(J1123,Exchange_Rates!A:B,2,FALSE)</f>
        <v>0.73</v>
      </c>
      <c r="L1123" s="4">
        <f t="shared" si="68"/>
        <v>0</v>
      </c>
      <c r="M1123" s="4">
        <f t="shared" si="69"/>
        <v>1496.0984999999998</v>
      </c>
      <c r="N1123" s="4">
        <f t="shared" si="70"/>
        <v>2025</v>
      </c>
      <c r="O1123" s="4">
        <f t="shared" si="71"/>
        <v>1</v>
      </c>
    </row>
    <row r="1124" spans="1:15" x14ac:dyDescent="0.25">
      <c r="A1124" t="s">
        <v>2287</v>
      </c>
      <c r="B1124" s="2">
        <v>45122</v>
      </c>
      <c r="C1124" t="s">
        <v>60</v>
      </c>
      <c r="D1124" t="s">
        <v>61</v>
      </c>
      <c r="E1124">
        <v>0</v>
      </c>
      <c r="F1124">
        <v>760.5</v>
      </c>
      <c r="G1124" t="s">
        <v>12</v>
      </c>
      <c r="H1124" t="s">
        <v>40</v>
      </c>
      <c r="I1124" t="s">
        <v>2288</v>
      </c>
      <c r="J1124" t="s">
        <v>64</v>
      </c>
      <c r="K1124" s="4">
        <f>VLOOKUP(J1124,Exchange_Rates!A:B,2,FALSE)</f>
        <v>0.73</v>
      </c>
      <c r="L1124" s="4">
        <f t="shared" si="68"/>
        <v>0</v>
      </c>
      <c r="M1124" s="4">
        <f t="shared" si="69"/>
        <v>555.16499999999996</v>
      </c>
      <c r="N1124" s="4">
        <f t="shared" si="70"/>
        <v>2023</v>
      </c>
      <c r="O1124" s="4">
        <f t="shared" si="71"/>
        <v>3</v>
      </c>
    </row>
    <row r="1125" spans="1:15" x14ac:dyDescent="0.25">
      <c r="A1125" t="s">
        <v>2289</v>
      </c>
      <c r="B1125" s="2">
        <v>45582</v>
      </c>
      <c r="C1125" t="s">
        <v>38</v>
      </c>
      <c r="D1125" t="s">
        <v>39</v>
      </c>
      <c r="E1125">
        <v>239.34</v>
      </c>
      <c r="F1125">
        <v>0</v>
      </c>
      <c r="G1125" t="s">
        <v>9</v>
      </c>
      <c r="H1125" t="s">
        <v>62</v>
      </c>
      <c r="I1125" t="s">
        <v>2290</v>
      </c>
      <c r="J1125" t="s">
        <v>28</v>
      </c>
      <c r="K1125" s="4">
        <f>VLOOKUP(J1125,Exchange_Rates!A:B,2,FALSE)</f>
        <v>1.27</v>
      </c>
      <c r="L1125" s="4">
        <f t="shared" si="68"/>
        <v>303.96179999999998</v>
      </c>
      <c r="M1125" s="4">
        <f t="shared" si="69"/>
        <v>0</v>
      </c>
      <c r="N1125" s="4">
        <f t="shared" si="70"/>
        <v>2024</v>
      </c>
      <c r="O1125" s="4">
        <f t="shared" si="71"/>
        <v>4</v>
      </c>
    </row>
    <row r="1126" spans="1:15" x14ac:dyDescent="0.25">
      <c r="A1126" t="s">
        <v>2291</v>
      </c>
      <c r="B1126" s="2">
        <v>45722</v>
      </c>
      <c r="C1126" t="s">
        <v>38</v>
      </c>
      <c r="D1126" t="s">
        <v>39</v>
      </c>
      <c r="E1126">
        <v>882.43</v>
      </c>
      <c r="F1126">
        <v>0</v>
      </c>
      <c r="G1126" t="s">
        <v>11</v>
      </c>
      <c r="H1126" t="s">
        <v>26</v>
      </c>
      <c r="I1126" t="s">
        <v>2292</v>
      </c>
      <c r="J1126" t="s">
        <v>36</v>
      </c>
      <c r="K1126" s="4">
        <f>VLOOKUP(J1126,Exchange_Rates!A:B,2,FALSE)</f>
        <v>1.08</v>
      </c>
      <c r="L1126" s="4">
        <f t="shared" si="68"/>
        <v>953.02440000000001</v>
      </c>
      <c r="M1126" s="4">
        <f t="shared" si="69"/>
        <v>0</v>
      </c>
      <c r="N1126" s="4">
        <f t="shared" si="70"/>
        <v>2025</v>
      </c>
      <c r="O1126" s="4">
        <f t="shared" si="71"/>
        <v>1</v>
      </c>
    </row>
    <row r="1127" spans="1:15" x14ac:dyDescent="0.25">
      <c r="A1127" t="s">
        <v>2293</v>
      </c>
      <c r="B1127" s="2">
        <v>45451</v>
      </c>
      <c r="C1127" t="s">
        <v>60</v>
      </c>
      <c r="D1127" t="s">
        <v>61</v>
      </c>
      <c r="E1127">
        <v>0</v>
      </c>
      <c r="F1127">
        <v>4016.46</v>
      </c>
      <c r="G1127" t="s">
        <v>8</v>
      </c>
      <c r="H1127" t="s">
        <v>34</v>
      </c>
      <c r="I1127" t="s">
        <v>2294</v>
      </c>
      <c r="J1127" t="s">
        <v>36</v>
      </c>
      <c r="K1127" s="4">
        <f>VLOOKUP(J1127,Exchange_Rates!A:B,2,FALSE)</f>
        <v>1.08</v>
      </c>
      <c r="L1127" s="4">
        <f t="shared" si="68"/>
        <v>0</v>
      </c>
      <c r="M1127" s="4">
        <f t="shared" si="69"/>
        <v>4337.7768000000005</v>
      </c>
      <c r="N1127" s="4">
        <f t="shared" si="70"/>
        <v>2024</v>
      </c>
      <c r="O1127" s="4">
        <f t="shared" si="71"/>
        <v>2</v>
      </c>
    </row>
    <row r="1128" spans="1:15" x14ac:dyDescent="0.25">
      <c r="A1128" t="s">
        <v>2295</v>
      </c>
      <c r="B1128" s="2">
        <v>45027</v>
      </c>
      <c r="C1128" t="s">
        <v>38</v>
      </c>
      <c r="D1128" t="s">
        <v>39</v>
      </c>
      <c r="E1128">
        <v>1217.1199999999999</v>
      </c>
      <c r="F1128">
        <v>0</v>
      </c>
      <c r="G1128" t="s">
        <v>8</v>
      </c>
      <c r="H1128" t="s">
        <v>26</v>
      </c>
      <c r="I1128" t="s">
        <v>2296</v>
      </c>
      <c r="J1128" t="s">
        <v>42</v>
      </c>
      <c r="K1128" s="4">
        <f>VLOOKUP(J1128,Exchange_Rates!A:B,2,FALSE)</f>
        <v>0.66</v>
      </c>
      <c r="L1128" s="4">
        <f t="shared" si="68"/>
        <v>803.29919999999993</v>
      </c>
      <c r="M1128" s="4">
        <f t="shared" si="69"/>
        <v>0</v>
      </c>
      <c r="N1128" s="4">
        <f t="shared" si="70"/>
        <v>2023</v>
      </c>
      <c r="O1128" s="4">
        <f t="shared" si="71"/>
        <v>2</v>
      </c>
    </row>
    <row r="1129" spans="1:15" x14ac:dyDescent="0.25">
      <c r="A1129" t="s">
        <v>2297</v>
      </c>
      <c r="B1129" s="2">
        <v>45570</v>
      </c>
      <c r="C1129" t="s">
        <v>24</v>
      </c>
      <c r="D1129" t="s">
        <v>25</v>
      </c>
      <c r="E1129">
        <v>0</v>
      </c>
      <c r="F1129">
        <v>396.28</v>
      </c>
      <c r="G1129" t="s">
        <v>11</v>
      </c>
      <c r="H1129" t="s">
        <v>51</v>
      </c>
      <c r="I1129" t="s">
        <v>2298</v>
      </c>
      <c r="J1129" t="s">
        <v>42</v>
      </c>
      <c r="K1129" s="4">
        <f>VLOOKUP(J1129,Exchange_Rates!A:B,2,FALSE)</f>
        <v>0.66</v>
      </c>
      <c r="L1129" s="4">
        <f t="shared" si="68"/>
        <v>0</v>
      </c>
      <c r="M1129" s="4">
        <f t="shared" si="69"/>
        <v>261.54480000000001</v>
      </c>
      <c r="N1129" s="4">
        <f t="shared" si="70"/>
        <v>2024</v>
      </c>
      <c r="O1129" s="4">
        <f t="shared" si="71"/>
        <v>4</v>
      </c>
    </row>
    <row r="1130" spans="1:15" x14ac:dyDescent="0.25">
      <c r="A1130" t="s">
        <v>2299</v>
      </c>
      <c r="B1130" s="2">
        <v>45060</v>
      </c>
      <c r="C1130" t="s">
        <v>49</v>
      </c>
      <c r="D1130" t="s">
        <v>50</v>
      </c>
      <c r="E1130">
        <v>682.65</v>
      </c>
      <c r="F1130">
        <v>0</v>
      </c>
      <c r="G1130" t="s">
        <v>11</v>
      </c>
      <c r="H1130" t="s">
        <v>40</v>
      </c>
      <c r="I1130" t="s">
        <v>2300</v>
      </c>
      <c r="J1130" t="s">
        <v>28</v>
      </c>
      <c r="K1130" s="4">
        <f>VLOOKUP(J1130,Exchange_Rates!A:B,2,FALSE)</f>
        <v>1.27</v>
      </c>
      <c r="L1130" s="4">
        <f t="shared" si="68"/>
        <v>866.96550000000002</v>
      </c>
      <c r="M1130" s="4">
        <f t="shared" si="69"/>
        <v>0</v>
      </c>
      <c r="N1130" s="4">
        <f t="shared" si="70"/>
        <v>2023</v>
      </c>
      <c r="O1130" s="4">
        <f t="shared" si="71"/>
        <v>2</v>
      </c>
    </row>
    <row r="1131" spans="1:15" x14ac:dyDescent="0.25">
      <c r="A1131" t="s">
        <v>2301</v>
      </c>
      <c r="B1131" s="2">
        <v>45039</v>
      </c>
      <c r="C1131" t="s">
        <v>30</v>
      </c>
      <c r="D1131" t="s">
        <v>31</v>
      </c>
      <c r="E1131">
        <v>959.31</v>
      </c>
      <c r="F1131">
        <v>0</v>
      </c>
      <c r="G1131" t="s">
        <v>11</v>
      </c>
      <c r="H1131" t="s">
        <v>34</v>
      </c>
      <c r="I1131" t="s">
        <v>2302</v>
      </c>
      <c r="J1131" t="s">
        <v>28</v>
      </c>
      <c r="K1131" s="4">
        <f>VLOOKUP(J1131,Exchange_Rates!A:B,2,FALSE)</f>
        <v>1.27</v>
      </c>
      <c r="L1131" s="4">
        <f t="shared" si="68"/>
        <v>1218.3236999999999</v>
      </c>
      <c r="M1131" s="4">
        <f t="shared" si="69"/>
        <v>0</v>
      </c>
      <c r="N1131" s="4">
        <f t="shared" si="70"/>
        <v>2023</v>
      </c>
      <c r="O1131" s="4">
        <f t="shared" si="71"/>
        <v>2</v>
      </c>
    </row>
    <row r="1132" spans="1:15" x14ac:dyDescent="0.25">
      <c r="A1132" t="s">
        <v>2303</v>
      </c>
      <c r="B1132" s="2">
        <v>45371</v>
      </c>
      <c r="C1132" t="s">
        <v>38</v>
      </c>
      <c r="D1132" t="s">
        <v>39</v>
      </c>
      <c r="E1132">
        <v>431.95</v>
      </c>
      <c r="F1132">
        <v>0</v>
      </c>
      <c r="G1132" t="s">
        <v>12</v>
      </c>
      <c r="H1132" t="s">
        <v>40</v>
      </c>
      <c r="I1132" t="s">
        <v>2304</v>
      </c>
      <c r="J1132" t="s">
        <v>45</v>
      </c>
      <c r="K1132" s="4">
        <f>VLOOKUP(J1132,Exchange_Rates!A:B,2,FALSE)</f>
        <v>1</v>
      </c>
      <c r="L1132" s="4">
        <f t="shared" si="68"/>
        <v>431.95</v>
      </c>
      <c r="M1132" s="4">
        <f t="shared" si="69"/>
        <v>0</v>
      </c>
      <c r="N1132" s="4">
        <f t="shared" si="70"/>
        <v>2024</v>
      </c>
      <c r="O1132" s="4">
        <f t="shared" si="71"/>
        <v>1</v>
      </c>
    </row>
    <row r="1133" spans="1:15" x14ac:dyDescent="0.25">
      <c r="A1133" t="s">
        <v>2305</v>
      </c>
      <c r="B1133" s="2">
        <v>45817</v>
      </c>
      <c r="C1133" t="s">
        <v>30</v>
      </c>
      <c r="D1133" t="s">
        <v>31</v>
      </c>
      <c r="E1133">
        <v>274.33</v>
      </c>
      <c r="F1133">
        <v>0</v>
      </c>
      <c r="G1133" t="s">
        <v>8</v>
      </c>
      <c r="H1133" t="s">
        <v>40</v>
      </c>
      <c r="I1133" t="s">
        <v>2306</v>
      </c>
      <c r="J1133" t="s">
        <v>64</v>
      </c>
      <c r="K1133" s="4">
        <f>VLOOKUP(J1133,Exchange_Rates!A:B,2,FALSE)</f>
        <v>0.73</v>
      </c>
      <c r="L1133" s="4">
        <f t="shared" si="68"/>
        <v>200.26089999999999</v>
      </c>
      <c r="M1133" s="4">
        <f t="shared" si="69"/>
        <v>0</v>
      </c>
      <c r="N1133" s="4">
        <f t="shared" si="70"/>
        <v>2025</v>
      </c>
      <c r="O1133" s="4">
        <f t="shared" si="71"/>
        <v>2</v>
      </c>
    </row>
    <row r="1134" spans="1:15" x14ac:dyDescent="0.25">
      <c r="A1134" t="s">
        <v>2307</v>
      </c>
      <c r="B1134" s="2">
        <v>45544</v>
      </c>
      <c r="C1134" t="s">
        <v>24</v>
      </c>
      <c r="D1134" t="s">
        <v>25</v>
      </c>
      <c r="E1134">
        <v>0</v>
      </c>
      <c r="F1134">
        <v>4439.8900000000003</v>
      </c>
      <c r="G1134" t="s">
        <v>11</v>
      </c>
      <c r="H1134" t="s">
        <v>40</v>
      </c>
      <c r="I1134" t="s">
        <v>2308</v>
      </c>
      <c r="J1134" t="s">
        <v>36</v>
      </c>
      <c r="K1134" s="4">
        <f>VLOOKUP(J1134,Exchange_Rates!A:B,2,FALSE)</f>
        <v>1.08</v>
      </c>
      <c r="L1134" s="4">
        <f t="shared" si="68"/>
        <v>0</v>
      </c>
      <c r="M1134" s="4">
        <f t="shared" si="69"/>
        <v>4795.0812000000005</v>
      </c>
      <c r="N1134" s="4">
        <f t="shared" si="70"/>
        <v>2024</v>
      </c>
      <c r="O1134" s="4">
        <f t="shared" si="71"/>
        <v>3</v>
      </c>
    </row>
    <row r="1135" spans="1:15" x14ac:dyDescent="0.25">
      <c r="A1135" t="s">
        <v>2309</v>
      </c>
      <c r="B1135" s="2">
        <v>45490</v>
      </c>
      <c r="C1135" t="s">
        <v>60</v>
      </c>
      <c r="D1135" t="s">
        <v>61</v>
      </c>
      <c r="E1135">
        <v>0</v>
      </c>
      <c r="F1135">
        <v>1093.95</v>
      </c>
      <c r="G1135" t="s">
        <v>8</v>
      </c>
      <c r="H1135" t="s">
        <v>62</v>
      </c>
      <c r="I1135" t="s">
        <v>2310</v>
      </c>
      <c r="J1135" t="s">
        <v>45</v>
      </c>
      <c r="K1135" s="4">
        <f>VLOOKUP(J1135,Exchange_Rates!A:B,2,FALSE)</f>
        <v>1</v>
      </c>
      <c r="L1135" s="4">
        <f t="shared" si="68"/>
        <v>0</v>
      </c>
      <c r="M1135" s="4">
        <f t="shared" si="69"/>
        <v>1093.95</v>
      </c>
      <c r="N1135" s="4">
        <f t="shared" si="70"/>
        <v>2024</v>
      </c>
      <c r="O1135" s="4">
        <f t="shared" si="71"/>
        <v>3</v>
      </c>
    </row>
    <row r="1136" spans="1:15" x14ac:dyDescent="0.25">
      <c r="A1136" t="s">
        <v>2311</v>
      </c>
      <c r="B1136" s="2">
        <v>45614</v>
      </c>
      <c r="C1136" t="s">
        <v>30</v>
      </c>
      <c r="D1136" t="s">
        <v>31</v>
      </c>
      <c r="E1136">
        <v>900.67</v>
      </c>
      <c r="F1136">
        <v>0</v>
      </c>
      <c r="G1136" t="s">
        <v>12</v>
      </c>
      <c r="H1136" t="s">
        <v>51</v>
      </c>
      <c r="I1136" t="s">
        <v>2312</v>
      </c>
      <c r="J1136" t="s">
        <v>42</v>
      </c>
      <c r="K1136" s="4">
        <f>VLOOKUP(J1136,Exchange_Rates!A:B,2,FALSE)</f>
        <v>0.66</v>
      </c>
      <c r="L1136" s="4">
        <f t="shared" si="68"/>
        <v>594.44219999999996</v>
      </c>
      <c r="M1136" s="4">
        <f t="shared" si="69"/>
        <v>0</v>
      </c>
      <c r="N1136" s="4">
        <f t="shared" si="70"/>
        <v>2024</v>
      </c>
      <c r="O1136" s="4">
        <f t="shared" si="71"/>
        <v>4</v>
      </c>
    </row>
    <row r="1137" spans="1:15" x14ac:dyDescent="0.25">
      <c r="A1137" t="s">
        <v>2313</v>
      </c>
      <c r="B1137" s="2">
        <v>45242</v>
      </c>
      <c r="C1137" t="s">
        <v>24</v>
      </c>
      <c r="D1137" t="s">
        <v>25</v>
      </c>
      <c r="E1137">
        <v>0</v>
      </c>
      <c r="F1137">
        <v>2284.31</v>
      </c>
      <c r="G1137" t="s">
        <v>10</v>
      </c>
      <c r="H1137" t="s">
        <v>26</v>
      </c>
      <c r="I1137" t="s">
        <v>2314</v>
      </c>
      <c r="J1137" t="s">
        <v>42</v>
      </c>
      <c r="K1137" s="4">
        <f>VLOOKUP(J1137,Exchange_Rates!A:B,2,FALSE)</f>
        <v>0.66</v>
      </c>
      <c r="L1137" s="4">
        <f t="shared" si="68"/>
        <v>0</v>
      </c>
      <c r="M1137" s="4">
        <f t="shared" si="69"/>
        <v>1507.6446000000001</v>
      </c>
      <c r="N1137" s="4">
        <f t="shared" si="70"/>
        <v>2023</v>
      </c>
      <c r="O1137" s="4">
        <f t="shared" si="71"/>
        <v>4</v>
      </c>
    </row>
    <row r="1138" spans="1:15" x14ac:dyDescent="0.25">
      <c r="A1138" t="s">
        <v>2315</v>
      </c>
      <c r="B1138" s="2">
        <v>45280</v>
      </c>
      <c r="C1138" t="s">
        <v>30</v>
      </c>
      <c r="D1138" t="s">
        <v>31</v>
      </c>
      <c r="E1138">
        <v>1994.11</v>
      </c>
      <c r="F1138">
        <v>0</v>
      </c>
      <c r="G1138" t="s">
        <v>13</v>
      </c>
      <c r="H1138" t="s">
        <v>40</v>
      </c>
      <c r="I1138" t="s">
        <v>2316</v>
      </c>
      <c r="J1138" t="s">
        <v>42</v>
      </c>
      <c r="K1138" s="4">
        <f>VLOOKUP(J1138,Exchange_Rates!A:B,2,FALSE)</f>
        <v>0.66</v>
      </c>
      <c r="L1138" s="4">
        <f t="shared" si="68"/>
        <v>1316.1125999999999</v>
      </c>
      <c r="M1138" s="4">
        <f t="shared" si="69"/>
        <v>0</v>
      </c>
      <c r="N1138" s="4">
        <f t="shared" si="70"/>
        <v>2023</v>
      </c>
      <c r="O1138" s="4">
        <f t="shared" si="71"/>
        <v>4</v>
      </c>
    </row>
    <row r="1139" spans="1:15" x14ac:dyDescent="0.25">
      <c r="A1139" t="s">
        <v>2317</v>
      </c>
      <c r="B1139" s="2">
        <v>45083</v>
      </c>
      <c r="C1139" t="s">
        <v>30</v>
      </c>
      <c r="D1139" t="s">
        <v>31</v>
      </c>
      <c r="E1139">
        <v>286.3</v>
      </c>
      <c r="F1139">
        <v>0</v>
      </c>
      <c r="G1139" t="s">
        <v>12</v>
      </c>
      <c r="H1139" t="s">
        <v>51</v>
      </c>
      <c r="I1139" t="s">
        <v>2318</v>
      </c>
      <c r="J1139" t="s">
        <v>64</v>
      </c>
      <c r="K1139" s="4">
        <f>VLOOKUP(J1139,Exchange_Rates!A:B,2,FALSE)</f>
        <v>0.73</v>
      </c>
      <c r="L1139" s="4">
        <f t="shared" si="68"/>
        <v>208.999</v>
      </c>
      <c r="M1139" s="4">
        <f t="shared" si="69"/>
        <v>0</v>
      </c>
      <c r="N1139" s="4">
        <f t="shared" si="70"/>
        <v>2023</v>
      </c>
      <c r="O1139" s="4">
        <f t="shared" si="71"/>
        <v>2</v>
      </c>
    </row>
    <row r="1140" spans="1:15" x14ac:dyDescent="0.25">
      <c r="A1140" t="s">
        <v>2319</v>
      </c>
      <c r="B1140" s="2">
        <v>44953</v>
      </c>
      <c r="C1140" t="s">
        <v>38</v>
      </c>
      <c r="D1140" t="s">
        <v>39</v>
      </c>
      <c r="E1140">
        <v>1069.23</v>
      </c>
      <c r="F1140">
        <v>0</v>
      </c>
      <c r="G1140" t="s">
        <v>13</v>
      </c>
      <c r="H1140" t="s">
        <v>40</v>
      </c>
      <c r="I1140" t="s">
        <v>2320</v>
      </c>
      <c r="J1140" t="s">
        <v>64</v>
      </c>
      <c r="K1140" s="4">
        <f>VLOOKUP(J1140,Exchange_Rates!A:B,2,FALSE)</f>
        <v>0.73</v>
      </c>
      <c r="L1140" s="4">
        <f t="shared" si="68"/>
        <v>780.53790000000004</v>
      </c>
      <c r="M1140" s="4">
        <f t="shared" si="69"/>
        <v>0</v>
      </c>
      <c r="N1140" s="4">
        <f t="shared" si="70"/>
        <v>2023</v>
      </c>
      <c r="O1140" s="4">
        <f t="shared" si="71"/>
        <v>1</v>
      </c>
    </row>
    <row r="1141" spans="1:15" x14ac:dyDescent="0.25">
      <c r="A1141" t="s">
        <v>2321</v>
      </c>
      <c r="B1141" s="2">
        <v>45547</v>
      </c>
      <c r="C1141" t="s">
        <v>38</v>
      </c>
      <c r="D1141" t="s">
        <v>39</v>
      </c>
      <c r="E1141">
        <v>901.69</v>
      </c>
      <c r="F1141">
        <v>0</v>
      </c>
      <c r="G1141" t="s">
        <v>9</v>
      </c>
      <c r="H1141" t="s">
        <v>26</v>
      </c>
      <c r="I1141" t="s">
        <v>2322</v>
      </c>
      <c r="J1141" t="s">
        <v>42</v>
      </c>
      <c r="K1141" s="4">
        <f>VLOOKUP(J1141,Exchange_Rates!A:B,2,FALSE)</f>
        <v>0.66</v>
      </c>
      <c r="L1141" s="4">
        <f t="shared" si="68"/>
        <v>595.11540000000002</v>
      </c>
      <c r="M1141" s="4">
        <f t="shared" si="69"/>
        <v>0</v>
      </c>
      <c r="N1141" s="4">
        <f t="shared" si="70"/>
        <v>2024</v>
      </c>
      <c r="O1141" s="4">
        <f t="shared" si="71"/>
        <v>3</v>
      </c>
    </row>
    <row r="1142" spans="1:15" x14ac:dyDescent="0.25">
      <c r="A1142" t="s">
        <v>2323</v>
      </c>
      <c r="B1142" s="2">
        <v>45251</v>
      </c>
      <c r="C1142" t="s">
        <v>38</v>
      </c>
      <c r="D1142" t="s">
        <v>39</v>
      </c>
      <c r="E1142">
        <v>1692.4</v>
      </c>
      <c r="F1142">
        <v>0</v>
      </c>
      <c r="G1142" t="s">
        <v>10</v>
      </c>
      <c r="H1142" t="s">
        <v>51</v>
      </c>
      <c r="I1142" t="s">
        <v>2324</v>
      </c>
      <c r="J1142" t="s">
        <v>64</v>
      </c>
      <c r="K1142" s="4">
        <f>VLOOKUP(J1142,Exchange_Rates!A:B,2,FALSE)</f>
        <v>0.73</v>
      </c>
      <c r="L1142" s="4">
        <f t="shared" si="68"/>
        <v>1235.452</v>
      </c>
      <c r="M1142" s="4">
        <f t="shared" si="69"/>
        <v>0</v>
      </c>
      <c r="N1142" s="4">
        <f t="shared" si="70"/>
        <v>2023</v>
      </c>
      <c r="O1142" s="4">
        <f t="shared" si="71"/>
        <v>4</v>
      </c>
    </row>
    <row r="1143" spans="1:15" x14ac:dyDescent="0.25">
      <c r="A1143" t="s">
        <v>2325</v>
      </c>
      <c r="B1143" s="2">
        <v>45504</v>
      </c>
      <c r="C1143" t="s">
        <v>60</v>
      </c>
      <c r="D1143" t="s">
        <v>61</v>
      </c>
      <c r="E1143">
        <v>0</v>
      </c>
      <c r="F1143">
        <v>4894.3999999999996</v>
      </c>
      <c r="G1143" t="s">
        <v>11</v>
      </c>
      <c r="H1143" t="s">
        <v>26</v>
      </c>
      <c r="I1143" t="s">
        <v>2326</v>
      </c>
      <c r="J1143" t="s">
        <v>45</v>
      </c>
      <c r="K1143" s="4">
        <f>VLOOKUP(J1143,Exchange_Rates!A:B,2,FALSE)</f>
        <v>1</v>
      </c>
      <c r="L1143" s="4">
        <f t="shared" si="68"/>
        <v>0</v>
      </c>
      <c r="M1143" s="4">
        <f t="shared" si="69"/>
        <v>4894.3999999999996</v>
      </c>
      <c r="N1143" s="4">
        <f t="shared" si="70"/>
        <v>2024</v>
      </c>
      <c r="O1143" s="4">
        <f t="shared" si="71"/>
        <v>3</v>
      </c>
    </row>
    <row r="1144" spans="1:15" x14ac:dyDescent="0.25">
      <c r="A1144" t="s">
        <v>2327</v>
      </c>
      <c r="B1144" s="2">
        <v>45290</v>
      </c>
      <c r="C1144" t="s">
        <v>30</v>
      </c>
      <c r="D1144" t="s">
        <v>31</v>
      </c>
      <c r="E1144">
        <v>535.66999999999996</v>
      </c>
      <c r="F1144">
        <v>0</v>
      </c>
      <c r="G1144" t="s">
        <v>11</v>
      </c>
      <c r="H1144" t="s">
        <v>26</v>
      </c>
      <c r="I1144" t="s">
        <v>2328</v>
      </c>
      <c r="J1144" t="s">
        <v>64</v>
      </c>
      <c r="K1144" s="4">
        <f>VLOOKUP(J1144,Exchange_Rates!A:B,2,FALSE)</f>
        <v>0.73</v>
      </c>
      <c r="L1144" s="4">
        <f t="shared" si="68"/>
        <v>391.03909999999996</v>
      </c>
      <c r="M1144" s="4">
        <f t="shared" si="69"/>
        <v>0</v>
      </c>
      <c r="N1144" s="4">
        <f t="shared" si="70"/>
        <v>2023</v>
      </c>
      <c r="O1144" s="4">
        <f t="shared" si="71"/>
        <v>4</v>
      </c>
    </row>
    <row r="1145" spans="1:15" x14ac:dyDescent="0.25">
      <c r="A1145" t="s">
        <v>2329</v>
      </c>
      <c r="B1145" s="2">
        <v>45512</v>
      </c>
      <c r="C1145" t="s">
        <v>38</v>
      </c>
      <c r="D1145" t="s">
        <v>39</v>
      </c>
      <c r="E1145">
        <v>1153.45</v>
      </c>
      <c r="F1145">
        <v>0</v>
      </c>
      <c r="G1145" t="s">
        <v>13</v>
      </c>
      <c r="H1145" t="s">
        <v>40</v>
      </c>
      <c r="I1145" t="s">
        <v>2330</v>
      </c>
      <c r="J1145" t="s">
        <v>28</v>
      </c>
      <c r="K1145" s="4">
        <f>VLOOKUP(J1145,Exchange_Rates!A:B,2,FALSE)</f>
        <v>1.27</v>
      </c>
      <c r="L1145" s="4">
        <f t="shared" si="68"/>
        <v>1464.8815000000002</v>
      </c>
      <c r="M1145" s="4">
        <f t="shared" si="69"/>
        <v>0</v>
      </c>
      <c r="N1145" s="4">
        <f t="shared" si="70"/>
        <v>2024</v>
      </c>
      <c r="O1145" s="4">
        <f t="shared" si="71"/>
        <v>3</v>
      </c>
    </row>
    <row r="1146" spans="1:15" x14ac:dyDescent="0.25">
      <c r="A1146" t="s">
        <v>2331</v>
      </c>
      <c r="B1146" s="2">
        <v>45139</v>
      </c>
      <c r="C1146" t="s">
        <v>60</v>
      </c>
      <c r="D1146" t="s">
        <v>61</v>
      </c>
      <c r="E1146">
        <v>0</v>
      </c>
      <c r="F1146">
        <v>2523.88</v>
      </c>
      <c r="G1146" t="s">
        <v>9</v>
      </c>
      <c r="H1146" t="s">
        <v>34</v>
      </c>
      <c r="I1146" t="s">
        <v>2332</v>
      </c>
      <c r="J1146" t="s">
        <v>42</v>
      </c>
      <c r="K1146" s="4">
        <f>VLOOKUP(J1146,Exchange_Rates!A:B,2,FALSE)</f>
        <v>0.66</v>
      </c>
      <c r="L1146" s="4">
        <f t="shared" si="68"/>
        <v>0</v>
      </c>
      <c r="M1146" s="4">
        <f t="shared" si="69"/>
        <v>1665.7608000000002</v>
      </c>
      <c r="N1146" s="4">
        <f t="shared" si="70"/>
        <v>2023</v>
      </c>
      <c r="O1146" s="4">
        <f t="shared" si="71"/>
        <v>3</v>
      </c>
    </row>
    <row r="1147" spans="1:15" x14ac:dyDescent="0.25">
      <c r="A1147" t="s">
        <v>2333</v>
      </c>
      <c r="B1147" s="2">
        <v>45216</v>
      </c>
      <c r="C1147" t="s">
        <v>38</v>
      </c>
      <c r="D1147" t="s">
        <v>39</v>
      </c>
      <c r="E1147">
        <v>621.37</v>
      </c>
      <c r="F1147">
        <v>0</v>
      </c>
      <c r="G1147" t="s">
        <v>12</v>
      </c>
      <c r="H1147" t="s">
        <v>34</v>
      </c>
      <c r="I1147" t="s">
        <v>2334</v>
      </c>
      <c r="J1147" t="s">
        <v>36</v>
      </c>
      <c r="K1147" s="4">
        <f>VLOOKUP(J1147,Exchange_Rates!A:B,2,FALSE)</f>
        <v>1.08</v>
      </c>
      <c r="L1147" s="4">
        <f t="shared" si="68"/>
        <v>671.07960000000003</v>
      </c>
      <c r="M1147" s="4">
        <f t="shared" si="69"/>
        <v>0</v>
      </c>
      <c r="N1147" s="4">
        <f t="shared" si="70"/>
        <v>2023</v>
      </c>
      <c r="O1147" s="4">
        <f t="shared" si="71"/>
        <v>4</v>
      </c>
    </row>
    <row r="1148" spans="1:15" x14ac:dyDescent="0.25">
      <c r="A1148" t="s">
        <v>2335</v>
      </c>
      <c r="B1148" s="2">
        <v>45681</v>
      </c>
      <c r="C1148" t="s">
        <v>49</v>
      </c>
      <c r="D1148" t="s">
        <v>50</v>
      </c>
      <c r="E1148">
        <v>991.7</v>
      </c>
      <c r="F1148">
        <v>0</v>
      </c>
      <c r="G1148" t="s">
        <v>9</v>
      </c>
      <c r="H1148" t="s">
        <v>26</v>
      </c>
      <c r="I1148" t="s">
        <v>2336</v>
      </c>
      <c r="J1148" t="s">
        <v>36</v>
      </c>
      <c r="K1148" s="4">
        <f>VLOOKUP(J1148,Exchange_Rates!A:B,2,FALSE)</f>
        <v>1.08</v>
      </c>
      <c r="L1148" s="4">
        <f t="shared" si="68"/>
        <v>1071.0360000000001</v>
      </c>
      <c r="M1148" s="4">
        <f t="shared" si="69"/>
        <v>0</v>
      </c>
      <c r="N1148" s="4">
        <f t="shared" si="70"/>
        <v>2025</v>
      </c>
      <c r="O1148" s="4">
        <f t="shared" si="71"/>
        <v>1</v>
      </c>
    </row>
    <row r="1149" spans="1:15" x14ac:dyDescent="0.25">
      <c r="A1149" t="s">
        <v>2337</v>
      </c>
      <c r="B1149" s="2">
        <v>45800</v>
      </c>
      <c r="C1149" t="s">
        <v>38</v>
      </c>
      <c r="D1149" t="s">
        <v>39</v>
      </c>
      <c r="E1149">
        <v>1727.08</v>
      </c>
      <c r="F1149">
        <v>0</v>
      </c>
      <c r="G1149" t="s">
        <v>10</v>
      </c>
      <c r="H1149" t="s">
        <v>34</v>
      </c>
      <c r="I1149" t="s">
        <v>2338</v>
      </c>
      <c r="J1149" t="s">
        <v>42</v>
      </c>
      <c r="K1149" s="4">
        <f>VLOOKUP(J1149,Exchange_Rates!A:B,2,FALSE)</f>
        <v>0.66</v>
      </c>
      <c r="L1149" s="4">
        <f t="shared" si="68"/>
        <v>1139.8728000000001</v>
      </c>
      <c r="M1149" s="4">
        <f t="shared" si="69"/>
        <v>0</v>
      </c>
      <c r="N1149" s="4">
        <f t="shared" si="70"/>
        <v>2025</v>
      </c>
      <c r="O1149" s="4">
        <f t="shared" si="71"/>
        <v>2</v>
      </c>
    </row>
    <row r="1150" spans="1:15" x14ac:dyDescent="0.25">
      <c r="A1150" t="s">
        <v>2339</v>
      </c>
      <c r="B1150" s="2">
        <v>45236</v>
      </c>
      <c r="C1150" t="s">
        <v>38</v>
      </c>
      <c r="D1150" t="s">
        <v>39</v>
      </c>
      <c r="E1150">
        <v>1518.91</v>
      </c>
      <c r="F1150">
        <v>0</v>
      </c>
      <c r="G1150" t="s">
        <v>11</v>
      </c>
      <c r="H1150" t="s">
        <v>62</v>
      </c>
      <c r="I1150" t="s">
        <v>2340</v>
      </c>
      <c r="J1150" t="s">
        <v>42</v>
      </c>
      <c r="K1150" s="4">
        <f>VLOOKUP(J1150,Exchange_Rates!A:B,2,FALSE)</f>
        <v>0.66</v>
      </c>
      <c r="L1150" s="4">
        <f t="shared" si="68"/>
        <v>1002.4806000000001</v>
      </c>
      <c r="M1150" s="4">
        <f t="shared" si="69"/>
        <v>0</v>
      </c>
      <c r="N1150" s="4">
        <f t="shared" si="70"/>
        <v>2023</v>
      </c>
      <c r="O1150" s="4">
        <f t="shared" si="71"/>
        <v>4</v>
      </c>
    </row>
    <row r="1151" spans="1:15" x14ac:dyDescent="0.25">
      <c r="A1151" t="s">
        <v>2341</v>
      </c>
      <c r="B1151" s="2">
        <v>45338</v>
      </c>
      <c r="C1151" t="s">
        <v>24</v>
      </c>
      <c r="D1151" t="s">
        <v>25</v>
      </c>
      <c r="E1151">
        <v>0</v>
      </c>
      <c r="F1151">
        <v>1266.3499999999999</v>
      </c>
      <c r="G1151" t="s">
        <v>13</v>
      </c>
      <c r="H1151" t="s">
        <v>34</v>
      </c>
      <c r="I1151" t="s">
        <v>2342</v>
      </c>
      <c r="J1151" t="s">
        <v>64</v>
      </c>
      <c r="K1151" s="4">
        <f>VLOOKUP(J1151,Exchange_Rates!A:B,2,FALSE)</f>
        <v>0.73</v>
      </c>
      <c r="L1151" s="4">
        <f t="shared" si="68"/>
        <v>0</v>
      </c>
      <c r="M1151" s="4">
        <f t="shared" si="69"/>
        <v>924.43549999999993</v>
      </c>
      <c r="N1151" s="4">
        <f t="shared" si="70"/>
        <v>2024</v>
      </c>
      <c r="O1151" s="4">
        <f t="shared" si="71"/>
        <v>1</v>
      </c>
    </row>
    <row r="1152" spans="1:15" x14ac:dyDescent="0.25">
      <c r="A1152" t="s">
        <v>2343</v>
      </c>
      <c r="B1152" s="2">
        <v>45654</v>
      </c>
      <c r="C1152" t="s">
        <v>24</v>
      </c>
      <c r="D1152" t="s">
        <v>25</v>
      </c>
      <c r="E1152">
        <v>0</v>
      </c>
      <c r="F1152">
        <v>3886.29</v>
      </c>
      <c r="G1152" t="s">
        <v>10</v>
      </c>
      <c r="H1152" t="s">
        <v>34</v>
      </c>
      <c r="I1152" t="s">
        <v>2344</v>
      </c>
      <c r="J1152" t="s">
        <v>28</v>
      </c>
      <c r="K1152" s="4">
        <f>VLOOKUP(J1152,Exchange_Rates!A:B,2,FALSE)</f>
        <v>1.27</v>
      </c>
      <c r="L1152" s="4">
        <f t="shared" si="68"/>
        <v>0</v>
      </c>
      <c r="M1152" s="4">
        <f t="shared" si="69"/>
        <v>4935.5883000000003</v>
      </c>
      <c r="N1152" s="4">
        <f t="shared" si="70"/>
        <v>2024</v>
      </c>
      <c r="O1152" s="4">
        <f t="shared" si="71"/>
        <v>4</v>
      </c>
    </row>
    <row r="1153" spans="1:15" x14ac:dyDescent="0.25">
      <c r="A1153" t="s">
        <v>2345</v>
      </c>
      <c r="B1153" s="2">
        <v>44962</v>
      </c>
      <c r="C1153" t="s">
        <v>38</v>
      </c>
      <c r="D1153" t="s">
        <v>39</v>
      </c>
      <c r="E1153">
        <v>584.9</v>
      </c>
      <c r="F1153">
        <v>0</v>
      </c>
      <c r="G1153" t="s">
        <v>10</v>
      </c>
      <c r="H1153" t="s">
        <v>40</v>
      </c>
      <c r="I1153" t="s">
        <v>2346</v>
      </c>
      <c r="J1153" t="s">
        <v>36</v>
      </c>
      <c r="K1153" s="4">
        <f>VLOOKUP(J1153,Exchange_Rates!A:B,2,FALSE)</f>
        <v>1.08</v>
      </c>
      <c r="L1153" s="4">
        <f t="shared" si="68"/>
        <v>631.69200000000001</v>
      </c>
      <c r="M1153" s="4">
        <f t="shared" si="69"/>
        <v>0</v>
      </c>
      <c r="N1153" s="4">
        <f t="shared" si="70"/>
        <v>2023</v>
      </c>
      <c r="O1153" s="4">
        <f t="shared" si="71"/>
        <v>1</v>
      </c>
    </row>
    <row r="1154" spans="1:15" x14ac:dyDescent="0.25">
      <c r="A1154" t="s">
        <v>2347</v>
      </c>
      <c r="B1154" s="2">
        <v>45332</v>
      </c>
      <c r="C1154" t="s">
        <v>30</v>
      </c>
      <c r="D1154" t="s">
        <v>31</v>
      </c>
      <c r="E1154">
        <v>1212.48</v>
      </c>
      <c r="F1154">
        <v>0</v>
      </c>
      <c r="G1154" t="s">
        <v>8</v>
      </c>
      <c r="H1154" t="s">
        <v>34</v>
      </c>
      <c r="I1154" t="s">
        <v>2348</v>
      </c>
      <c r="J1154" t="s">
        <v>36</v>
      </c>
      <c r="K1154" s="4">
        <f>VLOOKUP(J1154,Exchange_Rates!A:B,2,FALSE)</f>
        <v>1.08</v>
      </c>
      <c r="L1154" s="4">
        <f t="shared" si="68"/>
        <v>1309.4784000000002</v>
      </c>
      <c r="M1154" s="4">
        <f t="shared" si="69"/>
        <v>0</v>
      </c>
      <c r="N1154" s="4">
        <f t="shared" si="70"/>
        <v>2024</v>
      </c>
      <c r="O1154" s="4">
        <f t="shared" si="71"/>
        <v>1</v>
      </c>
    </row>
    <row r="1155" spans="1:15" x14ac:dyDescent="0.25">
      <c r="A1155" t="s">
        <v>2349</v>
      </c>
      <c r="B1155" s="2">
        <v>45405</v>
      </c>
      <c r="C1155" t="s">
        <v>38</v>
      </c>
      <c r="D1155" t="s">
        <v>39</v>
      </c>
      <c r="E1155">
        <v>1084.73</v>
      </c>
      <c r="F1155">
        <v>0</v>
      </c>
      <c r="G1155" t="s">
        <v>11</v>
      </c>
      <c r="H1155" t="s">
        <v>62</v>
      </c>
      <c r="I1155" t="s">
        <v>2350</v>
      </c>
      <c r="J1155" t="s">
        <v>64</v>
      </c>
      <c r="K1155" s="4">
        <f>VLOOKUP(J1155,Exchange_Rates!A:B,2,FALSE)</f>
        <v>0.73</v>
      </c>
      <c r="L1155" s="4">
        <f t="shared" ref="L1155:L1218" si="72">E1155*K1155</f>
        <v>791.85289999999998</v>
      </c>
      <c r="M1155" s="4">
        <f t="shared" ref="M1155:M1218" si="73">F1155*K1155</f>
        <v>0</v>
      </c>
      <c r="N1155" s="4">
        <f t="shared" ref="N1155:N1218" si="74">YEAR(B1155)</f>
        <v>2024</v>
      </c>
      <c r="O1155" s="4">
        <f t="shared" ref="O1155:O1218" si="75">ROUNDUP(MONTH(B1155)/3,0)</f>
        <v>2</v>
      </c>
    </row>
    <row r="1156" spans="1:15" x14ac:dyDescent="0.25">
      <c r="A1156" t="s">
        <v>2351</v>
      </c>
      <c r="B1156" s="2">
        <v>45274</v>
      </c>
      <c r="C1156" t="s">
        <v>38</v>
      </c>
      <c r="D1156" t="s">
        <v>39</v>
      </c>
      <c r="E1156">
        <v>1218.47</v>
      </c>
      <c r="F1156">
        <v>0</v>
      </c>
      <c r="G1156" t="s">
        <v>9</v>
      </c>
      <c r="H1156" t="s">
        <v>51</v>
      </c>
      <c r="I1156" t="s">
        <v>2352</v>
      </c>
      <c r="J1156" t="s">
        <v>28</v>
      </c>
      <c r="K1156" s="4">
        <f>VLOOKUP(J1156,Exchange_Rates!A:B,2,FALSE)</f>
        <v>1.27</v>
      </c>
      <c r="L1156" s="4">
        <f t="shared" si="72"/>
        <v>1547.4569000000001</v>
      </c>
      <c r="M1156" s="4">
        <f t="shared" si="73"/>
        <v>0</v>
      </c>
      <c r="N1156" s="4">
        <f t="shared" si="74"/>
        <v>2023</v>
      </c>
      <c r="O1156" s="4">
        <f t="shared" si="75"/>
        <v>4</v>
      </c>
    </row>
    <row r="1157" spans="1:15" x14ac:dyDescent="0.25">
      <c r="A1157" t="s">
        <v>2353</v>
      </c>
      <c r="B1157" s="2">
        <v>45370</v>
      </c>
      <c r="C1157" t="s">
        <v>38</v>
      </c>
      <c r="D1157" t="s">
        <v>39</v>
      </c>
      <c r="E1157">
        <v>134.03</v>
      </c>
      <c r="F1157">
        <v>0</v>
      </c>
      <c r="G1157" t="s">
        <v>8</v>
      </c>
      <c r="H1157" t="s">
        <v>26</v>
      </c>
      <c r="I1157" t="s">
        <v>2354</v>
      </c>
      <c r="J1157" t="s">
        <v>64</v>
      </c>
      <c r="K1157" s="4">
        <f>VLOOKUP(J1157,Exchange_Rates!A:B,2,FALSE)</f>
        <v>0.73</v>
      </c>
      <c r="L1157" s="4">
        <f t="shared" si="72"/>
        <v>97.841899999999995</v>
      </c>
      <c r="M1157" s="4">
        <f t="shared" si="73"/>
        <v>0</v>
      </c>
      <c r="N1157" s="4">
        <f t="shared" si="74"/>
        <v>2024</v>
      </c>
      <c r="O1157" s="4">
        <f t="shared" si="75"/>
        <v>1</v>
      </c>
    </row>
    <row r="1158" spans="1:15" x14ac:dyDescent="0.25">
      <c r="A1158" t="s">
        <v>2355</v>
      </c>
      <c r="B1158" s="2">
        <v>45057</v>
      </c>
      <c r="C1158" t="s">
        <v>49</v>
      </c>
      <c r="D1158" t="s">
        <v>50</v>
      </c>
      <c r="E1158">
        <v>1961.58</v>
      </c>
      <c r="F1158">
        <v>0</v>
      </c>
      <c r="G1158" t="s">
        <v>8</v>
      </c>
      <c r="H1158" t="s">
        <v>34</v>
      </c>
      <c r="I1158" t="s">
        <v>2356</v>
      </c>
      <c r="J1158" t="s">
        <v>45</v>
      </c>
      <c r="K1158" s="4">
        <f>VLOOKUP(J1158,Exchange_Rates!A:B,2,FALSE)</f>
        <v>1</v>
      </c>
      <c r="L1158" s="4">
        <f t="shared" si="72"/>
        <v>1961.58</v>
      </c>
      <c r="M1158" s="4">
        <f t="shared" si="73"/>
        <v>0</v>
      </c>
      <c r="N1158" s="4">
        <f t="shared" si="74"/>
        <v>2023</v>
      </c>
      <c r="O1158" s="4">
        <f t="shared" si="75"/>
        <v>2</v>
      </c>
    </row>
    <row r="1159" spans="1:15" x14ac:dyDescent="0.25">
      <c r="A1159" t="s">
        <v>2357</v>
      </c>
      <c r="B1159" s="2">
        <v>44953</v>
      </c>
      <c r="C1159" t="s">
        <v>38</v>
      </c>
      <c r="D1159" t="s">
        <v>39</v>
      </c>
      <c r="E1159">
        <v>320.36</v>
      </c>
      <c r="F1159">
        <v>0</v>
      </c>
      <c r="G1159" t="s">
        <v>13</v>
      </c>
      <c r="H1159" t="s">
        <v>51</v>
      </c>
      <c r="I1159" t="s">
        <v>2358</v>
      </c>
      <c r="J1159" t="s">
        <v>45</v>
      </c>
      <c r="K1159" s="4">
        <f>VLOOKUP(J1159,Exchange_Rates!A:B,2,FALSE)</f>
        <v>1</v>
      </c>
      <c r="L1159" s="4">
        <f t="shared" si="72"/>
        <v>320.36</v>
      </c>
      <c r="M1159" s="4">
        <f t="shared" si="73"/>
        <v>0</v>
      </c>
      <c r="N1159" s="4">
        <f t="shared" si="74"/>
        <v>2023</v>
      </c>
      <c r="O1159" s="4">
        <f t="shared" si="75"/>
        <v>1</v>
      </c>
    </row>
    <row r="1160" spans="1:15" x14ac:dyDescent="0.25">
      <c r="A1160" t="s">
        <v>2359</v>
      </c>
      <c r="B1160" s="2">
        <v>45541</v>
      </c>
      <c r="C1160" t="s">
        <v>49</v>
      </c>
      <c r="D1160" t="s">
        <v>50</v>
      </c>
      <c r="E1160">
        <v>727.24</v>
      </c>
      <c r="F1160">
        <v>0</v>
      </c>
      <c r="G1160" t="s">
        <v>12</v>
      </c>
      <c r="H1160" t="s">
        <v>62</v>
      </c>
      <c r="I1160" t="s">
        <v>2360</v>
      </c>
      <c r="J1160" t="s">
        <v>36</v>
      </c>
      <c r="K1160" s="4">
        <f>VLOOKUP(J1160,Exchange_Rates!A:B,2,FALSE)</f>
        <v>1.08</v>
      </c>
      <c r="L1160" s="4">
        <f t="shared" si="72"/>
        <v>785.41920000000005</v>
      </c>
      <c r="M1160" s="4">
        <f t="shared" si="73"/>
        <v>0</v>
      </c>
      <c r="N1160" s="4">
        <f t="shared" si="74"/>
        <v>2024</v>
      </c>
      <c r="O1160" s="4">
        <f t="shared" si="75"/>
        <v>3</v>
      </c>
    </row>
    <row r="1161" spans="1:15" x14ac:dyDescent="0.25">
      <c r="A1161" t="s">
        <v>2361</v>
      </c>
      <c r="B1161" s="2">
        <v>45030</v>
      </c>
      <c r="C1161" t="s">
        <v>30</v>
      </c>
      <c r="D1161" t="s">
        <v>31</v>
      </c>
      <c r="E1161">
        <v>334.7</v>
      </c>
      <c r="F1161">
        <v>0</v>
      </c>
      <c r="G1161" t="s">
        <v>13</v>
      </c>
      <c r="H1161" t="s">
        <v>40</v>
      </c>
      <c r="I1161" t="s">
        <v>2362</v>
      </c>
      <c r="J1161" t="s">
        <v>36</v>
      </c>
      <c r="K1161" s="4">
        <f>VLOOKUP(J1161,Exchange_Rates!A:B,2,FALSE)</f>
        <v>1.08</v>
      </c>
      <c r="L1161" s="4">
        <f t="shared" si="72"/>
        <v>361.476</v>
      </c>
      <c r="M1161" s="4">
        <f t="shared" si="73"/>
        <v>0</v>
      </c>
      <c r="N1161" s="4">
        <f t="shared" si="74"/>
        <v>2023</v>
      </c>
      <c r="O1161" s="4">
        <f t="shared" si="75"/>
        <v>2</v>
      </c>
    </row>
    <row r="1162" spans="1:15" x14ac:dyDescent="0.25">
      <c r="A1162" t="s">
        <v>2363</v>
      </c>
      <c r="B1162" s="2">
        <v>45021</v>
      </c>
      <c r="C1162" t="s">
        <v>38</v>
      </c>
      <c r="D1162" t="s">
        <v>39</v>
      </c>
      <c r="E1162">
        <v>620.16999999999996</v>
      </c>
      <c r="F1162">
        <v>0</v>
      </c>
      <c r="G1162" t="s">
        <v>11</v>
      </c>
      <c r="H1162" t="s">
        <v>51</v>
      </c>
      <c r="I1162" t="s">
        <v>2364</v>
      </c>
      <c r="J1162" t="s">
        <v>42</v>
      </c>
      <c r="K1162" s="4">
        <f>VLOOKUP(J1162,Exchange_Rates!A:B,2,FALSE)</f>
        <v>0.66</v>
      </c>
      <c r="L1162" s="4">
        <f t="shared" si="72"/>
        <v>409.31220000000002</v>
      </c>
      <c r="M1162" s="4">
        <f t="shared" si="73"/>
        <v>0</v>
      </c>
      <c r="N1162" s="4">
        <f t="shared" si="74"/>
        <v>2023</v>
      </c>
      <c r="O1162" s="4">
        <f t="shared" si="75"/>
        <v>2</v>
      </c>
    </row>
    <row r="1163" spans="1:15" x14ac:dyDescent="0.25">
      <c r="A1163" t="s">
        <v>2365</v>
      </c>
      <c r="B1163" s="2">
        <v>45475</v>
      </c>
      <c r="C1163" t="s">
        <v>60</v>
      </c>
      <c r="D1163" t="s">
        <v>61</v>
      </c>
      <c r="E1163">
        <v>0</v>
      </c>
      <c r="F1163">
        <v>2933.41</v>
      </c>
      <c r="G1163" t="s">
        <v>11</v>
      </c>
      <c r="H1163" t="s">
        <v>26</v>
      </c>
      <c r="I1163" t="s">
        <v>2366</v>
      </c>
      <c r="J1163" t="s">
        <v>28</v>
      </c>
      <c r="K1163" s="4">
        <f>VLOOKUP(J1163,Exchange_Rates!A:B,2,FALSE)</f>
        <v>1.27</v>
      </c>
      <c r="L1163" s="4">
        <f t="shared" si="72"/>
        <v>0</v>
      </c>
      <c r="M1163" s="4">
        <f t="shared" si="73"/>
        <v>3725.4306999999999</v>
      </c>
      <c r="N1163" s="4">
        <f t="shared" si="74"/>
        <v>2024</v>
      </c>
      <c r="O1163" s="4">
        <f t="shared" si="75"/>
        <v>3</v>
      </c>
    </row>
    <row r="1164" spans="1:15" x14ac:dyDescent="0.25">
      <c r="A1164" t="s">
        <v>2367</v>
      </c>
      <c r="B1164" s="2">
        <v>45093</v>
      </c>
      <c r="C1164" t="s">
        <v>60</v>
      </c>
      <c r="D1164" t="s">
        <v>61</v>
      </c>
      <c r="E1164">
        <v>0</v>
      </c>
      <c r="F1164">
        <v>2103.91</v>
      </c>
      <c r="G1164" t="s">
        <v>11</v>
      </c>
      <c r="H1164" t="s">
        <v>40</v>
      </c>
      <c r="I1164" t="s">
        <v>2368</v>
      </c>
      <c r="J1164" t="s">
        <v>64</v>
      </c>
      <c r="K1164" s="4">
        <f>VLOOKUP(J1164,Exchange_Rates!A:B,2,FALSE)</f>
        <v>0.73</v>
      </c>
      <c r="L1164" s="4">
        <f t="shared" si="72"/>
        <v>0</v>
      </c>
      <c r="M1164" s="4">
        <f t="shared" si="73"/>
        <v>1535.8543</v>
      </c>
      <c r="N1164" s="4">
        <f t="shared" si="74"/>
        <v>2023</v>
      </c>
      <c r="O1164" s="4">
        <f t="shared" si="75"/>
        <v>2</v>
      </c>
    </row>
    <row r="1165" spans="1:15" x14ac:dyDescent="0.25">
      <c r="A1165" t="s">
        <v>2369</v>
      </c>
      <c r="B1165" s="2">
        <v>45121</v>
      </c>
      <c r="C1165" t="s">
        <v>38</v>
      </c>
      <c r="D1165" t="s">
        <v>39</v>
      </c>
      <c r="E1165">
        <v>626.96</v>
      </c>
      <c r="F1165">
        <v>0</v>
      </c>
      <c r="G1165" t="s">
        <v>13</v>
      </c>
      <c r="H1165" t="s">
        <v>62</v>
      </c>
      <c r="I1165" t="s">
        <v>2370</v>
      </c>
      <c r="J1165" t="s">
        <v>28</v>
      </c>
      <c r="K1165" s="4">
        <f>VLOOKUP(J1165,Exchange_Rates!A:B,2,FALSE)</f>
        <v>1.27</v>
      </c>
      <c r="L1165" s="4">
        <f t="shared" si="72"/>
        <v>796.2392000000001</v>
      </c>
      <c r="M1165" s="4">
        <f t="shared" si="73"/>
        <v>0</v>
      </c>
      <c r="N1165" s="4">
        <f t="shared" si="74"/>
        <v>2023</v>
      </c>
      <c r="O1165" s="4">
        <f t="shared" si="75"/>
        <v>3</v>
      </c>
    </row>
    <row r="1166" spans="1:15" x14ac:dyDescent="0.25">
      <c r="A1166" t="s">
        <v>2371</v>
      </c>
      <c r="B1166" s="2">
        <v>45480</v>
      </c>
      <c r="C1166" t="s">
        <v>24</v>
      </c>
      <c r="D1166" t="s">
        <v>25</v>
      </c>
      <c r="E1166">
        <v>0</v>
      </c>
      <c r="F1166">
        <v>3001.97</v>
      </c>
      <c r="G1166" t="s">
        <v>10</v>
      </c>
      <c r="H1166" t="s">
        <v>51</v>
      </c>
      <c r="I1166" t="s">
        <v>2372</v>
      </c>
      <c r="J1166" t="s">
        <v>45</v>
      </c>
      <c r="K1166" s="4">
        <f>VLOOKUP(J1166,Exchange_Rates!A:B,2,FALSE)</f>
        <v>1</v>
      </c>
      <c r="L1166" s="4">
        <f t="shared" si="72"/>
        <v>0</v>
      </c>
      <c r="M1166" s="4">
        <f t="shared" si="73"/>
        <v>3001.97</v>
      </c>
      <c r="N1166" s="4">
        <f t="shared" si="74"/>
        <v>2024</v>
      </c>
      <c r="O1166" s="4">
        <f t="shared" si="75"/>
        <v>3</v>
      </c>
    </row>
    <row r="1167" spans="1:15" x14ac:dyDescent="0.25">
      <c r="A1167" t="s">
        <v>2373</v>
      </c>
      <c r="B1167" s="2">
        <v>45668</v>
      </c>
      <c r="C1167" t="s">
        <v>30</v>
      </c>
      <c r="D1167" t="s">
        <v>31</v>
      </c>
      <c r="E1167">
        <v>1130.18</v>
      </c>
      <c r="F1167">
        <v>0</v>
      </c>
      <c r="G1167" t="s">
        <v>13</v>
      </c>
      <c r="H1167" t="s">
        <v>51</v>
      </c>
      <c r="I1167" t="s">
        <v>2374</v>
      </c>
      <c r="J1167" t="s">
        <v>28</v>
      </c>
      <c r="K1167" s="4">
        <f>VLOOKUP(J1167,Exchange_Rates!A:B,2,FALSE)</f>
        <v>1.27</v>
      </c>
      <c r="L1167" s="4">
        <f t="shared" si="72"/>
        <v>1435.3286000000001</v>
      </c>
      <c r="M1167" s="4">
        <f t="shared" si="73"/>
        <v>0</v>
      </c>
      <c r="N1167" s="4">
        <f t="shared" si="74"/>
        <v>2025</v>
      </c>
      <c r="O1167" s="4">
        <f t="shared" si="75"/>
        <v>1</v>
      </c>
    </row>
    <row r="1168" spans="1:15" x14ac:dyDescent="0.25">
      <c r="A1168" t="s">
        <v>2375</v>
      </c>
      <c r="B1168" s="2">
        <v>45261</v>
      </c>
      <c r="C1168" t="s">
        <v>49</v>
      </c>
      <c r="D1168" t="s">
        <v>50</v>
      </c>
      <c r="E1168">
        <v>1772.72</v>
      </c>
      <c r="F1168">
        <v>0</v>
      </c>
      <c r="G1168" t="s">
        <v>12</v>
      </c>
      <c r="H1168" t="s">
        <v>26</v>
      </c>
      <c r="I1168" t="s">
        <v>2376</v>
      </c>
      <c r="J1168" t="s">
        <v>64</v>
      </c>
      <c r="K1168" s="4">
        <f>VLOOKUP(J1168,Exchange_Rates!A:B,2,FALSE)</f>
        <v>0.73</v>
      </c>
      <c r="L1168" s="4">
        <f t="shared" si="72"/>
        <v>1294.0855999999999</v>
      </c>
      <c r="M1168" s="4">
        <f t="shared" si="73"/>
        <v>0</v>
      </c>
      <c r="N1168" s="4">
        <f t="shared" si="74"/>
        <v>2023</v>
      </c>
      <c r="O1168" s="4">
        <f t="shared" si="75"/>
        <v>4</v>
      </c>
    </row>
    <row r="1169" spans="1:15" x14ac:dyDescent="0.25">
      <c r="A1169" t="s">
        <v>2377</v>
      </c>
      <c r="B1169" s="2">
        <v>45332</v>
      </c>
      <c r="C1169" t="s">
        <v>49</v>
      </c>
      <c r="D1169" t="s">
        <v>50</v>
      </c>
      <c r="E1169">
        <v>152.83000000000001</v>
      </c>
      <c r="F1169">
        <v>0</v>
      </c>
      <c r="G1169" t="s">
        <v>11</v>
      </c>
      <c r="H1169" t="s">
        <v>51</v>
      </c>
      <c r="I1169" t="s">
        <v>2378</v>
      </c>
      <c r="J1169" t="s">
        <v>64</v>
      </c>
      <c r="K1169" s="4">
        <f>VLOOKUP(J1169,Exchange_Rates!A:B,2,FALSE)</f>
        <v>0.73</v>
      </c>
      <c r="L1169" s="4">
        <f t="shared" si="72"/>
        <v>111.56590000000001</v>
      </c>
      <c r="M1169" s="4">
        <f t="shared" si="73"/>
        <v>0</v>
      </c>
      <c r="N1169" s="4">
        <f t="shared" si="74"/>
        <v>2024</v>
      </c>
      <c r="O1169" s="4">
        <f t="shared" si="75"/>
        <v>1</v>
      </c>
    </row>
    <row r="1170" spans="1:15" x14ac:dyDescent="0.25">
      <c r="A1170" t="s">
        <v>2379</v>
      </c>
      <c r="B1170" s="2">
        <v>44928</v>
      </c>
      <c r="C1170" t="s">
        <v>30</v>
      </c>
      <c r="D1170" t="s">
        <v>31</v>
      </c>
      <c r="E1170">
        <v>954.94</v>
      </c>
      <c r="F1170">
        <v>0</v>
      </c>
      <c r="G1170" t="s">
        <v>9</v>
      </c>
      <c r="H1170" t="s">
        <v>51</v>
      </c>
      <c r="I1170" t="s">
        <v>2380</v>
      </c>
      <c r="J1170" t="s">
        <v>36</v>
      </c>
      <c r="K1170" s="4">
        <f>VLOOKUP(J1170,Exchange_Rates!A:B,2,FALSE)</f>
        <v>1.08</v>
      </c>
      <c r="L1170" s="4">
        <f t="shared" si="72"/>
        <v>1031.3352000000002</v>
      </c>
      <c r="M1170" s="4">
        <f t="shared" si="73"/>
        <v>0</v>
      </c>
      <c r="N1170" s="4">
        <f t="shared" si="74"/>
        <v>2023</v>
      </c>
      <c r="O1170" s="4">
        <f t="shared" si="75"/>
        <v>1</v>
      </c>
    </row>
    <row r="1171" spans="1:15" x14ac:dyDescent="0.25">
      <c r="A1171" t="s">
        <v>2381</v>
      </c>
      <c r="B1171" s="2">
        <v>45826</v>
      </c>
      <c r="C1171" t="s">
        <v>60</v>
      </c>
      <c r="D1171" t="s">
        <v>61</v>
      </c>
      <c r="E1171">
        <v>0</v>
      </c>
      <c r="F1171">
        <v>4418.1899999999996</v>
      </c>
      <c r="G1171" t="s">
        <v>10</v>
      </c>
      <c r="H1171" t="s">
        <v>40</v>
      </c>
      <c r="I1171" t="s">
        <v>2382</v>
      </c>
      <c r="J1171" t="s">
        <v>64</v>
      </c>
      <c r="K1171" s="4">
        <f>VLOOKUP(J1171,Exchange_Rates!A:B,2,FALSE)</f>
        <v>0.73</v>
      </c>
      <c r="L1171" s="4">
        <f t="shared" si="72"/>
        <v>0</v>
      </c>
      <c r="M1171" s="4">
        <f t="shared" si="73"/>
        <v>3225.2786999999998</v>
      </c>
      <c r="N1171" s="4">
        <f t="shared" si="74"/>
        <v>2025</v>
      </c>
      <c r="O1171" s="4">
        <f t="shared" si="75"/>
        <v>2</v>
      </c>
    </row>
    <row r="1172" spans="1:15" x14ac:dyDescent="0.25">
      <c r="A1172" t="s">
        <v>2383</v>
      </c>
      <c r="B1172" s="2">
        <v>45363</v>
      </c>
      <c r="C1172" t="s">
        <v>49</v>
      </c>
      <c r="D1172" t="s">
        <v>50</v>
      </c>
      <c r="E1172">
        <v>1814.27</v>
      </c>
      <c r="F1172">
        <v>0</v>
      </c>
      <c r="G1172" t="s">
        <v>11</v>
      </c>
      <c r="H1172" t="s">
        <v>62</v>
      </c>
      <c r="I1172" t="s">
        <v>2384</v>
      </c>
      <c r="J1172" t="s">
        <v>45</v>
      </c>
      <c r="K1172" s="4">
        <f>VLOOKUP(J1172,Exchange_Rates!A:B,2,FALSE)</f>
        <v>1</v>
      </c>
      <c r="L1172" s="4">
        <f t="shared" si="72"/>
        <v>1814.27</v>
      </c>
      <c r="M1172" s="4">
        <f t="shared" si="73"/>
        <v>0</v>
      </c>
      <c r="N1172" s="4">
        <f t="shared" si="74"/>
        <v>2024</v>
      </c>
      <c r="O1172" s="4">
        <f t="shared" si="75"/>
        <v>1</v>
      </c>
    </row>
    <row r="1173" spans="1:15" x14ac:dyDescent="0.25">
      <c r="A1173" t="s">
        <v>2385</v>
      </c>
      <c r="B1173" s="2">
        <v>45408</v>
      </c>
      <c r="C1173" t="s">
        <v>24</v>
      </c>
      <c r="D1173" t="s">
        <v>25</v>
      </c>
      <c r="E1173">
        <v>0</v>
      </c>
      <c r="F1173">
        <v>815.4</v>
      </c>
      <c r="G1173" t="s">
        <v>13</v>
      </c>
      <c r="H1173" t="s">
        <v>62</v>
      </c>
      <c r="I1173" t="s">
        <v>2386</v>
      </c>
      <c r="J1173" t="s">
        <v>36</v>
      </c>
      <c r="K1173" s="4">
        <f>VLOOKUP(J1173,Exchange_Rates!A:B,2,FALSE)</f>
        <v>1.08</v>
      </c>
      <c r="L1173" s="4">
        <f t="shared" si="72"/>
        <v>0</v>
      </c>
      <c r="M1173" s="4">
        <f t="shared" si="73"/>
        <v>880.63200000000006</v>
      </c>
      <c r="N1173" s="4">
        <f t="shared" si="74"/>
        <v>2024</v>
      </c>
      <c r="O1173" s="4">
        <f t="shared" si="75"/>
        <v>2</v>
      </c>
    </row>
    <row r="1174" spans="1:15" x14ac:dyDescent="0.25">
      <c r="A1174" t="s">
        <v>2387</v>
      </c>
      <c r="B1174" s="2">
        <v>45513</v>
      </c>
      <c r="C1174" t="s">
        <v>30</v>
      </c>
      <c r="D1174" t="s">
        <v>31</v>
      </c>
      <c r="E1174">
        <v>290.05</v>
      </c>
      <c r="F1174">
        <v>0</v>
      </c>
      <c r="G1174" t="s">
        <v>12</v>
      </c>
      <c r="H1174" t="s">
        <v>40</v>
      </c>
      <c r="I1174" t="s">
        <v>2388</v>
      </c>
      <c r="J1174" t="s">
        <v>64</v>
      </c>
      <c r="K1174" s="4">
        <f>VLOOKUP(J1174,Exchange_Rates!A:B,2,FALSE)</f>
        <v>0.73</v>
      </c>
      <c r="L1174" s="4">
        <f t="shared" si="72"/>
        <v>211.73650000000001</v>
      </c>
      <c r="M1174" s="4">
        <f t="shared" si="73"/>
        <v>0</v>
      </c>
      <c r="N1174" s="4">
        <f t="shared" si="74"/>
        <v>2024</v>
      </c>
      <c r="O1174" s="4">
        <f t="shared" si="75"/>
        <v>3</v>
      </c>
    </row>
    <row r="1175" spans="1:15" x14ac:dyDescent="0.25">
      <c r="A1175" t="s">
        <v>2389</v>
      </c>
      <c r="B1175" s="2">
        <v>45781</v>
      </c>
      <c r="C1175" t="s">
        <v>38</v>
      </c>
      <c r="D1175" t="s">
        <v>39</v>
      </c>
      <c r="E1175">
        <v>1726.68</v>
      </c>
      <c r="F1175">
        <v>0</v>
      </c>
      <c r="G1175" t="s">
        <v>8</v>
      </c>
      <c r="H1175" t="s">
        <v>34</v>
      </c>
      <c r="I1175" t="s">
        <v>2390</v>
      </c>
      <c r="J1175" t="s">
        <v>42</v>
      </c>
      <c r="K1175" s="4">
        <f>VLOOKUP(J1175,Exchange_Rates!A:B,2,FALSE)</f>
        <v>0.66</v>
      </c>
      <c r="L1175" s="4">
        <f t="shared" si="72"/>
        <v>1139.6088000000002</v>
      </c>
      <c r="M1175" s="4">
        <f t="shared" si="73"/>
        <v>0</v>
      </c>
      <c r="N1175" s="4">
        <f t="shared" si="74"/>
        <v>2025</v>
      </c>
      <c r="O1175" s="4">
        <f t="shared" si="75"/>
        <v>2</v>
      </c>
    </row>
    <row r="1176" spans="1:15" x14ac:dyDescent="0.25">
      <c r="A1176" t="s">
        <v>2391</v>
      </c>
      <c r="B1176" s="2">
        <v>45772</v>
      </c>
      <c r="C1176" t="s">
        <v>60</v>
      </c>
      <c r="D1176" t="s">
        <v>61</v>
      </c>
      <c r="E1176">
        <v>0</v>
      </c>
      <c r="F1176">
        <v>2724.33</v>
      </c>
      <c r="G1176" t="s">
        <v>8</v>
      </c>
      <c r="H1176" t="s">
        <v>26</v>
      </c>
      <c r="I1176" t="s">
        <v>2392</v>
      </c>
      <c r="J1176" t="s">
        <v>28</v>
      </c>
      <c r="K1176" s="4">
        <f>VLOOKUP(J1176,Exchange_Rates!A:B,2,FALSE)</f>
        <v>1.27</v>
      </c>
      <c r="L1176" s="4">
        <f t="shared" si="72"/>
        <v>0</v>
      </c>
      <c r="M1176" s="4">
        <f t="shared" si="73"/>
        <v>3459.8991000000001</v>
      </c>
      <c r="N1176" s="4">
        <f t="shared" si="74"/>
        <v>2025</v>
      </c>
      <c r="O1176" s="4">
        <f t="shared" si="75"/>
        <v>2</v>
      </c>
    </row>
    <row r="1177" spans="1:15" x14ac:dyDescent="0.25">
      <c r="A1177" t="s">
        <v>2393</v>
      </c>
      <c r="B1177" s="2">
        <v>45018</v>
      </c>
      <c r="C1177" t="s">
        <v>60</v>
      </c>
      <c r="D1177" t="s">
        <v>61</v>
      </c>
      <c r="E1177">
        <v>0</v>
      </c>
      <c r="F1177">
        <v>517.76</v>
      </c>
      <c r="G1177" t="s">
        <v>12</v>
      </c>
      <c r="H1177" t="s">
        <v>62</v>
      </c>
      <c r="I1177" t="s">
        <v>2394</v>
      </c>
      <c r="J1177" t="s">
        <v>64</v>
      </c>
      <c r="K1177" s="4">
        <f>VLOOKUP(J1177,Exchange_Rates!A:B,2,FALSE)</f>
        <v>0.73</v>
      </c>
      <c r="L1177" s="4">
        <f t="shared" si="72"/>
        <v>0</v>
      </c>
      <c r="M1177" s="4">
        <f t="shared" si="73"/>
        <v>377.96479999999997</v>
      </c>
      <c r="N1177" s="4">
        <f t="shared" si="74"/>
        <v>2023</v>
      </c>
      <c r="O1177" s="4">
        <f t="shared" si="75"/>
        <v>2</v>
      </c>
    </row>
    <row r="1178" spans="1:15" x14ac:dyDescent="0.25">
      <c r="A1178" t="s">
        <v>2395</v>
      </c>
      <c r="B1178" s="2">
        <v>45155</v>
      </c>
      <c r="C1178" t="s">
        <v>49</v>
      </c>
      <c r="D1178" t="s">
        <v>50</v>
      </c>
      <c r="E1178">
        <v>1718.84</v>
      </c>
      <c r="F1178">
        <v>0</v>
      </c>
      <c r="G1178" t="s">
        <v>10</v>
      </c>
      <c r="H1178" t="s">
        <v>51</v>
      </c>
      <c r="I1178" t="s">
        <v>2396</v>
      </c>
      <c r="J1178" t="s">
        <v>42</v>
      </c>
      <c r="K1178" s="4">
        <f>VLOOKUP(J1178,Exchange_Rates!A:B,2,FALSE)</f>
        <v>0.66</v>
      </c>
      <c r="L1178" s="4">
        <f t="shared" si="72"/>
        <v>1134.4344000000001</v>
      </c>
      <c r="M1178" s="4">
        <f t="shared" si="73"/>
        <v>0</v>
      </c>
      <c r="N1178" s="4">
        <f t="shared" si="74"/>
        <v>2023</v>
      </c>
      <c r="O1178" s="4">
        <f t="shared" si="75"/>
        <v>3</v>
      </c>
    </row>
    <row r="1179" spans="1:15" x14ac:dyDescent="0.25">
      <c r="A1179" t="s">
        <v>2397</v>
      </c>
      <c r="B1179" s="2">
        <v>45447</v>
      </c>
      <c r="C1179" t="s">
        <v>24</v>
      </c>
      <c r="D1179" t="s">
        <v>25</v>
      </c>
      <c r="E1179">
        <v>0</v>
      </c>
      <c r="F1179">
        <v>3902.53</v>
      </c>
      <c r="G1179" t="s">
        <v>10</v>
      </c>
      <c r="H1179" t="s">
        <v>26</v>
      </c>
      <c r="I1179" t="s">
        <v>2398</v>
      </c>
      <c r="J1179" t="s">
        <v>45</v>
      </c>
      <c r="K1179" s="4">
        <f>VLOOKUP(J1179,Exchange_Rates!A:B,2,FALSE)</f>
        <v>1</v>
      </c>
      <c r="L1179" s="4">
        <f t="shared" si="72"/>
        <v>0</v>
      </c>
      <c r="M1179" s="4">
        <f t="shared" si="73"/>
        <v>3902.53</v>
      </c>
      <c r="N1179" s="4">
        <f t="shared" si="74"/>
        <v>2024</v>
      </c>
      <c r="O1179" s="4">
        <f t="shared" si="75"/>
        <v>2</v>
      </c>
    </row>
    <row r="1180" spans="1:15" x14ac:dyDescent="0.25">
      <c r="A1180" t="s">
        <v>2399</v>
      </c>
      <c r="B1180" s="2">
        <v>45244</v>
      </c>
      <c r="C1180" t="s">
        <v>30</v>
      </c>
      <c r="D1180" t="s">
        <v>31</v>
      </c>
      <c r="E1180">
        <v>820.59</v>
      </c>
      <c r="F1180">
        <v>0</v>
      </c>
      <c r="G1180" t="s">
        <v>13</v>
      </c>
      <c r="H1180" t="s">
        <v>62</v>
      </c>
      <c r="I1180" t="s">
        <v>2400</v>
      </c>
      <c r="J1180" t="s">
        <v>36</v>
      </c>
      <c r="K1180" s="4">
        <f>VLOOKUP(J1180,Exchange_Rates!A:B,2,FALSE)</f>
        <v>1.08</v>
      </c>
      <c r="L1180" s="4">
        <f t="shared" si="72"/>
        <v>886.23720000000014</v>
      </c>
      <c r="M1180" s="4">
        <f t="shared" si="73"/>
        <v>0</v>
      </c>
      <c r="N1180" s="4">
        <f t="shared" si="74"/>
        <v>2023</v>
      </c>
      <c r="O1180" s="4">
        <f t="shared" si="75"/>
        <v>4</v>
      </c>
    </row>
    <row r="1181" spans="1:15" x14ac:dyDescent="0.25">
      <c r="A1181" t="s">
        <v>2401</v>
      </c>
      <c r="B1181" s="2">
        <v>45541</v>
      </c>
      <c r="C1181" t="s">
        <v>38</v>
      </c>
      <c r="D1181" t="s">
        <v>39</v>
      </c>
      <c r="E1181">
        <v>933.21</v>
      </c>
      <c r="F1181">
        <v>0</v>
      </c>
      <c r="G1181" t="s">
        <v>10</v>
      </c>
      <c r="H1181" t="s">
        <v>62</v>
      </c>
      <c r="I1181" t="s">
        <v>2402</v>
      </c>
      <c r="J1181" t="s">
        <v>42</v>
      </c>
      <c r="K1181" s="4">
        <f>VLOOKUP(J1181,Exchange_Rates!A:B,2,FALSE)</f>
        <v>0.66</v>
      </c>
      <c r="L1181" s="4">
        <f t="shared" si="72"/>
        <v>615.91860000000008</v>
      </c>
      <c r="M1181" s="4">
        <f t="shared" si="73"/>
        <v>0</v>
      </c>
      <c r="N1181" s="4">
        <f t="shared" si="74"/>
        <v>2024</v>
      </c>
      <c r="O1181" s="4">
        <f t="shared" si="75"/>
        <v>3</v>
      </c>
    </row>
    <row r="1182" spans="1:15" x14ac:dyDescent="0.25">
      <c r="A1182" t="s">
        <v>2403</v>
      </c>
      <c r="B1182" s="2">
        <v>45381</v>
      </c>
      <c r="C1182" t="s">
        <v>60</v>
      </c>
      <c r="D1182" t="s">
        <v>61</v>
      </c>
      <c r="E1182">
        <v>0</v>
      </c>
      <c r="F1182">
        <v>581.76</v>
      </c>
      <c r="G1182" t="s">
        <v>10</v>
      </c>
      <c r="H1182" t="s">
        <v>40</v>
      </c>
      <c r="I1182" t="s">
        <v>2404</v>
      </c>
      <c r="J1182" t="s">
        <v>64</v>
      </c>
      <c r="K1182" s="4">
        <f>VLOOKUP(J1182,Exchange_Rates!A:B,2,FALSE)</f>
        <v>0.73</v>
      </c>
      <c r="L1182" s="4">
        <f t="shared" si="72"/>
        <v>0</v>
      </c>
      <c r="M1182" s="4">
        <f t="shared" si="73"/>
        <v>424.6848</v>
      </c>
      <c r="N1182" s="4">
        <f t="shared" si="74"/>
        <v>2024</v>
      </c>
      <c r="O1182" s="4">
        <f t="shared" si="75"/>
        <v>1</v>
      </c>
    </row>
    <row r="1183" spans="1:15" x14ac:dyDescent="0.25">
      <c r="A1183" t="s">
        <v>2405</v>
      </c>
      <c r="B1183" s="2">
        <v>45030</v>
      </c>
      <c r="C1183" t="s">
        <v>24</v>
      </c>
      <c r="D1183" t="s">
        <v>25</v>
      </c>
      <c r="E1183">
        <v>0</v>
      </c>
      <c r="F1183">
        <v>2858.3</v>
      </c>
      <c r="G1183" t="s">
        <v>9</v>
      </c>
      <c r="H1183" t="s">
        <v>62</v>
      </c>
      <c r="I1183" t="s">
        <v>2406</v>
      </c>
      <c r="J1183" t="s">
        <v>28</v>
      </c>
      <c r="K1183" s="4">
        <f>VLOOKUP(J1183,Exchange_Rates!A:B,2,FALSE)</f>
        <v>1.27</v>
      </c>
      <c r="L1183" s="4">
        <f t="shared" si="72"/>
        <v>0</v>
      </c>
      <c r="M1183" s="4">
        <f t="shared" si="73"/>
        <v>3630.0410000000002</v>
      </c>
      <c r="N1183" s="4">
        <f t="shared" si="74"/>
        <v>2023</v>
      </c>
      <c r="O1183" s="4">
        <f t="shared" si="75"/>
        <v>2</v>
      </c>
    </row>
    <row r="1184" spans="1:15" x14ac:dyDescent="0.25">
      <c r="A1184" t="s">
        <v>2407</v>
      </c>
      <c r="B1184" s="2">
        <v>45299</v>
      </c>
      <c r="C1184" t="s">
        <v>60</v>
      </c>
      <c r="D1184" t="s">
        <v>61</v>
      </c>
      <c r="E1184">
        <v>0</v>
      </c>
      <c r="F1184">
        <v>1469.73</v>
      </c>
      <c r="G1184" t="s">
        <v>12</v>
      </c>
      <c r="H1184" t="s">
        <v>26</v>
      </c>
      <c r="I1184" t="s">
        <v>2408</v>
      </c>
      <c r="J1184" t="s">
        <v>42</v>
      </c>
      <c r="K1184" s="4">
        <f>VLOOKUP(J1184,Exchange_Rates!A:B,2,FALSE)</f>
        <v>0.66</v>
      </c>
      <c r="L1184" s="4">
        <f t="shared" si="72"/>
        <v>0</v>
      </c>
      <c r="M1184" s="4">
        <f t="shared" si="73"/>
        <v>970.0218000000001</v>
      </c>
      <c r="N1184" s="4">
        <f t="shared" si="74"/>
        <v>2024</v>
      </c>
      <c r="O1184" s="4">
        <f t="shared" si="75"/>
        <v>1</v>
      </c>
    </row>
    <row r="1185" spans="1:15" x14ac:dyDescent="0.25">
      <c r="A1185" t="s">
        <v>2409</v>
      </c>
      <c r="B1185" s="2">
        <v>45457</v>
      </c>
      <c r="C1185" t="s">
        <v>24</v>
      </c>
      <c r="D1185" t="s">
        <v>25</v>
      </c>
      <c r="E1185">
        <v>0</v>
      </c>
      <c r="F1185">
        <v>4440.72</v>
      </c>
      <c r="G1185" t="s">
        <v>11</v>
      </c>
      <c r="H1185" t="s">
        <v>51</v>
      </c>
      <c r="I1185" t="s">
        <v>2410</v>
      </c>
      <c r="J1185" t="s">
        <v>28</v>
      </c>
      <c r="K1185" s="4">
        <f>VLOOKUP(J1185,Exchange_Rates!A:B,2,FALSE)</f>
        <v>1.27</v>
      </c>
      <c r="L1185" s="4">
        <f t="shared" si="72"/>
        <v>0</v>
      </c>
      <c r="M1185" s="4">
        <f t="shared" si="73"/>
        <v>5639.7144000000008</v>
      </c>
      <c r="N1185" s="4">
        <f t="shared" si="74"/>
        <v>2024</v>
      </c>
      <c r="O1185" s="4">
        <f t="shared" si="75"/>
        <v>2</v>
      </c>
    </row>
    <row r="1186" spans="1:15" x14ac:dyDescent="0.25">
      <c r="A1186" t="s">
        <v>2411</v>
      </c>
      <c r="B1186" s="2">
        <v>45741</v>
      </c>
      <c r="C1186" t="s">
        <v>49</v>
      </c>
      <c r="D1186" t="s">
        <v>50</v>
      </c>
      <c r="E1186">
        <v>1972.41</v>
      </c>
      <c r="F1186">
        <v>0</v>
      </c>
      <c r="G1186" t="s">
        <v>8</v>
      </c>
      <c r="H1186" t="s">
        <v>40</v>
      </c>
      <c r="I1186" t="s">
        <v>2412</v>
      </c>
      <c r="J1186" t="s">
        <v>36</v>
      </c>
      <c r="K1186" s="4">
        <f>VLOOKUP(J1186,Exchange_Rates!A:B,2,FALSE)</f>
        <v>1.08</v>
      </c>
      <c r="L1186" s="4">
        <f t="shared" si="72"/>
        <v>2130.2028</v>
      </c>
      <c r="M1186" s="4">
        <f t="shared" si="73"/>
        <v>0</v>
      </c>
      <c r="N1186" s="4">
        <f t="shared" si="74"/>
        <v>2025</v>
      </c>
      <c r="O1186" s="4">
        <f t="shared" si="75"/>
        <v>1</v>
      </c>
    </row>
    <row r="1187" spans="1:15" x14ac:dyDescent="0.25">
      <c r="A1187" t="s">
        <v>2413</v>
      </c>
      <c r="B1187" s="2">
        <v>45328</v>
      </c>
      <c r="C1187" t="s">
        <v>60</v>
      </c>
      <c r="D1187" t="s">
        <v>61</v>
      </c>
      <c r="E1187">
        <v>0</v>
      </c>
      <c r="F1187">
        <v>841.52</v>
      </c>
      <c r="G1187" t="s">
        <v>9</v>
      </c>
      <c r="H1187" t="s">
        <v>62</v>
      </c>
      <c r="I1187" t="s">
        <v>2414</v>
      </c>
      <c r="J1187" t="s">
        <v>36</v>
      </c>
      <c r="K1187" s="4">
        <f>VLOOKUP(J1187,Exchange_Rates!A:B,2,FALSE)</f>
        <v>1.08</v>
      </c>
      <c r="L1187" s="4">
        <f t="shared" si="72"/>
        <v>0</v>
      </c>
      <c r="M1187" s="4">
        <f t="shared" si="73"/>
        <v>908.84160000000008</v>
      </c>
      <c r="N1187" s="4">
        <f t="shared" si="74"/>
        <v>2024</v>
      </c>
      <c r="O1187" s="4">
        <f t="shared" si="75"/>
        <v>1</v>
      </c>
    </row>
    <row r="1188" spans="1:15" x14ac:dyDescent="0.25">
      <c r="A1188" t="s">
        <v>2415</v>
      </c>
      <c r="B1188" s="2">
        <v>45083</v>
      </c>
      <c r="C1188" t="s">
        <v>38</v>
      </c>
      <c r="D1188" t="s">
        <v>39</v>
      </c>
      <c r="E1188">
        <v>316.14999999999998</v>
      </c>
      <c r="F1188">
        <v>0</v>
      </c>
      <c r="G1188" t="s">
        <v>12</v>
      </c>
      <c r="H1188" t="s">
        <v>62</v>
      </c>
      <c r="I1188" t="s">
        <v>2416</v>
      </c>
      <c r="J1188" t="s">
        <v>64</v>
      </c>
      <c r="K1188" s="4">
        <f>VLOOKUP(J1188,Exchange_Rates!A:B,2,FALSE)</f>
        <v>0.73</v>
      </c>
      <c r="L1188" s="4">
        <f t="shared" si="72"/>
        <v>230.78949999999998</v>
      </c>
      <c r="M1188" s="4">
        <f t="shared" si="73"/>
        <v>0</v>
      </c>
      <c r="N1188" s="4">
        <f t="shared" si="74"/>
        <v>2023</v>
      </c>
      <c r="O1188" s="4">
        <f t="shared" si="75"/>
        <v>2</v>
      </c>
    </row>
    <row r="1189" spans="1:15" x14ac:dyDescent="0.25">
      <c r="A1189" t="s">
        <v>2417</v>
      </c>
      <c r="B1189" s="2">
        <v>45292</v>
      </c>
      <c r="C1189" t="s">
        <v>49</v>
      </c>
      <c r="D1189" t="s">
        <v>50</v>
      </c>
      <c r="E1189">
        <v>475.92</v>
      </c>
      <c r="F1189">
        <v>0</v>
      </c>
      <c r="G1189" t="s">
        <v>13</v>
      </c>
      <c r="H1189" t="s">
        <v>62</v>
      </c>
      <c r="I1189" t="s">
        <v>2418</v>
      </c>
      <c r="J1189" t="s">
        <v>42</v>
      </c>
      <c r="K1189" s="4">
        <f>VLOOKUP(J1189,Exchange_Rates!A:B,2,FALSE)</f>
        <v>0.66</v>
      </c>
      <c r="L1189" s="4">
        <f t="shared" si="72"/>
        <v>314.10720000000003</v>
      </c>
      <c r="M1189" s="4">
        <f t="shared" si="73"/>
        <v>0</v>
      </c>
      <c r="N1189" s="4">
        <f t="shared" si="74"/>
        <v>2024</v>
      </c>
      <c r="O1189" s="4">
        <f t="shared" si="75"/>
        <v>1</v>
      </c>
    </row>
    <row r="1190" spans="1:15" x14ac:dyDescent="0.25">
      <c r="A1190" t="s">
        <v>2419</v>
      </c>
      <c r="B1190" s="2">
        <v>45294</v>
      </c>
      <c r="C1190" t="s">
        <v>38</v>
      </c>
      <c r="D1190" t="s">
        <v>39</v>
      </c>
      <c r="E1190">
        <v>1283.6099999999999</v>
      </c>
      <c r="F1190">
        <v>0</v>
      </c>
      <c r="G1190" t="s">
        <v>9</v>
      </c>
      <c r="H1190" t="s">
        <v>40</v>
      </c>
      <c r="I1190" t="s">
        <v>2420</v>
      </c>
      <c r="J1190" t="s">
        <v>28</v>
      </c>
      <c r="K1190" s="4">
        <f>VLOOKUP(J1190,Exchange_Rates!A:B,2,FALSE)</f>
        <v>1.27</v>
      </c>
      <c r="L1190" s="4">
        <f t="shared" si="72"/>
        <v>1630.1846999999998</v>
      </c>
      <c r="M1190" s="4">
        <f t="shared" si="73"/>
        <v>0</v>
      </c>
      <c r="N1190" s="4">
        <f t="shared" si="74"/>
        <v>2024</v>
      </c>
      <c r="O1190" s="4">
        <f t="shared" si="75"/>
        <v>1</v>
      </c>
    </row>
    <row r="1191" spans="1:15" x14ac:dyDescent="0.25">
      <c r="A1191" t="s">
        <v>2421</v>
      </c>
      <c r="B1191" s="2">
        <v>45296</v>
      </c>
      <c r="C1191" t="s">
        <v>24</v>
      </c>
      <c r="D1191" t="s">
        <v>25</v>
      </c>
      <c r="E1191">
        <v>0</v>
      </c>
      <c r="F1191">
        <v>242.31</v>
      </c>
      <c r="G1191" t="s">
        <v>9</v>
      </c>
      <c r="H1191" t="s">
        <v>62</v>
      </c>
      <c r="I1191" t="s">
        <v>2422</v>
      </c>
      <c r="J1191" t="s">
        <v>64</v>
      </c>
      <c r="K1191" s="4">
        <f>VLOOKUP(J1191,Exchange_Rates!A:B,2,FALSE)</f>
        <v>0.73</v>
      </c>
      <c r="L1191" s="4">
        <f t="shared" si="72"/>
        <v>0</v>
      </c>
      <c r="M1191" s="4">
        <f t="shared" si="73"/>
        <v>176.88630000000001</v>
      </c>
      <c r="N1191" s="4">
        <f t="shared" si="74"/>
        <v>2024</v>
      </c>
      <c r="O1191" s="4">
        <f t="shared" si="75"/>
        <v>1</v>
      </c>
    </row>
    <row r="1192" spans="1:15" x14ac:dyDescent="0.25">
      <c r="A1192" t="s">
        <v>2423</v>
      </c>
      <c r="B1192" s="2">
        <v>45371</v>
      </c>
      <c r="C1192" t="s">
        <v>30</v>
      </c>
      <c r="D1192" t="s">
        <v>31</v>
      </c>
      <c r="E1192">
        <v>309.44</v>
      </c>
      <c r="F1192">
        <v>0</v>
      </c>
      <c r="G1192" t="s">
        <v>9</v>
      </c>
      <c r="H1192" t="s">
        <v>51</v>
      </c>
      <c r="I1192" t="s">
        <v>2424</v>
      </c>
      <c r="J1192" t="s">
        <v>36</v>
      </c>
      <c r="K1192" s="4">
        <f>VLOOKUP(J1192,Exchange_Rates!A:B,2,FALSE)</f>
        <v>1.08</v>
      </c>
      <c r="L1192" s="4">
        <f t="shared" si="72"/>
        <v>334.1952</v>
      </c>
      <c r="M1192" s="4">
        <f t="shared" si="73"/>
        <v>0</v>
      </c>
      <c r="N1192" s="4">
        <f t="shared" si="74"/>
        <v>2024</v>
      </c>
      <c r="O1192" s="4">
        <f t="shared" si="75"/>
        <v>1</v>
      </c>
    </row>
    <row r="1193" spans="1:15" x14ac:dyDescent="0.25">
      <c r="A1193" t="s">
        <v>2425</v>
      </c>
      <c r="B1193" s="2">
        <v>45683</v>
      </c>
      <c r="C1193" t="s">
        <v>38</v>
      </c>
      <c r="D1193" t="s">
        <v>39</v>
      </c>
      <c r="E1193">
        <v>1158.3800000000001</v>
      </c>
      <c r="F1193">
        <v>0</v>
      </c>
      <c r="G1193" t="s">
        <v>11</v>
      </c>
      <c r="H1193" t="s">
        <v>26</v>
      </c>
      <c r="I1193" t="s">
        <v>2426</v>
      </c>
      <c r="J1193" t="s">
        <v>28</v>
      </c>
      <c r="K1193" s="4">
        <f>VLOOKUP(J1193,Exchange_Rates!A:B,2,FALSE)</f>
        <v>1.27</v>
      </c>
      <c r="L1193" s="4">
        <f t="shared" si="72"/>
        <v>1471.1426000000001</v>
      </c>
      <c r="M1193" s="4">
        <f t="shared" si="73"/>
        <v>0</v>
      </c>
      <c r="N1193" s="4">
        <f t="shared" si="74"/>
        <v>2025</v>
      </c>
      <c r="O1193" s="4">
        <f t="shared" si="75"/>
        <v>1</v>
      </c>
    </row>
    <row r="1194" spans="1:15" x14ac:dyDescent="0.25">
      <c r="A1194" t="s">
        <v>2427</v>
      </c>
      <c r="B1194" s="2">
        <v>44990</v>
      </c>
      <c r="C1194" t="s">
        <v>60</v>
      </c>
      <c r="D1194" t="s">
        <v>61</v>
      </c>
      <c r="E1194">
        <v>0</v>
      </c>
      <c r="F1194">
        <v>1546.54</v>
      </c>
      <c r="G1194" t="s">
        <v>11</v>
      </c>
      <c r="H1194" t="s">
        <v>51</v>
      </c>
      <c r="I1194" t="s">
        <v>2428</v>
      </c>
      <c r="J1194" t="s">
        <v>45</v>
      </c>
      <c r="K1194" s="4">
        <f>VLOOKUP(J1194,Exchange_Rates!A:B,2,FALSE)</f>
        <v>1</v>
      </c>
      <c r="L1194" s="4">
        <f t="shared" si="72"/>
        <v>0</v>
      </c>
      <c r="M1194" s="4">
        <f t="shared" si="73"/>
        <v>1546.54</v>
      </c>
      <c r="N1194" s="4">
        <f t="shared" si="74"/>
        <v>2023</v>
      </c>
      <c r="O1194" s="4">
        <f t="shared" si="75"/>
        <v>1</v>
      </c>
    </row>
    <row r="1195" spans="1:15" x14ac:dyDescent="0.25">
      <c r="A1195" t="s">
        <v>2429</v>
      </c>
      <c r="B1195" s="2">
        <v>45011</v>
      </c>
      <c r="C1195" t="s">
        <v>60</v>
      </c>
      <c r="D1195" t="s">
        <v>61</v>
      </c>
      <c r="E1195">
        <v>0</v>
      </c>
      <c r="F1195">
        <v>4731.97</v>
      </c>
      <c r="G1195" t="s">
        <v>11</v>
      </c>
      <c r="H1195" t="s">
        <v>34</v>
      </c>
      <c r="I1195" t="s">
        <v>2430</v>
      </c>
      <c r="J1195" t="s">
        <v>45</v>
      </c>
      <c r="K1195" s="4">
        <f>VLOOKUP(J1195,Exchange_Rates!A:B,2,FALSE)</f>
        <v>1</v>
      </c>
      <c r="L1195" s="4">
        <f t="shared" si="72"/>
        <v>0</v>
      </c>
      <c r="M1195" s="4">
        <f t="shared" si="73"/>
        <v>4731.97</v>
      </c>
      <c r="N1195" s="4">
        <f t="shared" si="74"/>
        <v>2023</v>
      </c>
      <c r="O1195" s="4">
        <f t="shared" si="75"/>
        <v>1</v>
      </c>
    </row>
    <row r="1196" spans="1:15" x14ac:dyDescent="0.25">
      <c r="A1196" t="s">
        <v>2431</v>
      </c>
      <c r="B1196" s="2">
        <v>45352</v>
      </c>
      <c r="C1196" t="s">
        <v>38</v>
      </c>
      <c r="D1196" t="s">
        <v>39</v>
      </c>
      <c r="E1196">
        <v>825.81</v>
      </c>
      <c r="F1196">
        <v>0</v>
      </c>
      <c r="G1196" t="s">
        <v>10</v>
      </c>
      <c r="H1196" t="s">
        <v>62</v>
      </c>
      <c r="I1196" t="s">
        <v>2432</v>
      </c>
      <c r="J1196" t="s">
        <v>45</v>
      </c>
      <c r="K1196" s="4">
        <f>VLOOKUP(J1196,Exchange_Rates!A:B,2,FALSE)</f>
        <v>1</v>
      </c>
      <c r="L1196" s="4">
        <f t="shared" si="72"/>
        <v>825.81</v>
      </c>
      <c r="M1196" s="4">
        <f t="shared" si="73"/>
        <v>0</v>
      </c>
      <c r="N1196" s="4">
        <f t="shared" si="74"/>
        <v>2024</v>
      </c>
      <c r="O1196" s="4">
        <f t="shared" si="75"/>
        <v>1</v>
      </c>
    </row>
    <row r="1197" spans="1:15" x14ac:dyDescent="0.25">
      <c r="A1197" t="s">
        <v>2433</v>
      </c>
      <c r="B1197" s="2">
        <v>45452</v>
      </c>
      <c r="C1197" t="s">
        <v>49</v>
      </c>
      <c r="D1197" t="s">
        <v>50</v>
      </c>
      <c r="E1197">
        <v>811.62</v>
      </c>
      <c r="F1197">
        <v>0</v>
      </c>
      <c r="G1197" t="s">
        <v>9</v>
      </c>
      <c r="H1197" t="s">
        <v>34</v>
      </c>
      <c r="I1197" t="s">
        <v>2434</v>
      </c>
      <c r="J1197" t="s">
        <v>64</v>
      </c>
      <c r="K1197" s="4">
        <f>VLOOKUP(J1197,Exchange_Rates!A:B,2,FALSE)</f>
        <v>0.73</v>
      </c>
      <c r="L1197" s="4">
        <f t="shared" si="72"/>
        <v>592.48259999999993</v>
      </c>
      <c r="M1197" s="4">
        <f t="shared" si="73"/>
        <v>0</v>
      </c>
      <c r="N1197" s="4">
        <f t="shared" si="74"/>
        <v>2024</v>
      </c>
      <c r="O1197" s="4">
        <f t="shared" si="75"/>
        <v>2</v>
      </c>
    </row>
    <row r="1198" spans="1:15" x14ac:dyDescent="0.25">
      <c r="A1198" t="s">
        <v>2435</v>
      </c>
      <c r="B1198" s="2">
        <v>45435</v>
      </c>
      <c r="C1198" t="s">
        <v>38</v>
      </c>
      <c r="D1198" t="s">
        <v>39</v>
      </c>
      <c r="E1198">
        <v>1792.82</v>
      </c>
      <c r="F1198">
        <v>0</v>
      </c>
      <c r="G1198" t="s">
        <v>9</v>
      </c>
      <c r="H1198" t="s">
        <v>26</v>
      </c>
      <c r="I1198" t="s">
        <v>2436</v>
      </c>
      <c r="J1198" t="s">
        <v>45</v>
      </c>
      <c r="K1198" s="4">
        <f>VLOOKUP(J1198,Exchange_Rates!A:B,2,FALSE)</f>
        <v>1</v>
      </c>
      <c r="L1198" s="4">
        <f t="shared" si="72"/>
        <v>1792.82</v>
      </c>
      <c r="M1198" s="4">
        <f t="shared" si="73"/>
        <v>0</v>
      </c>
      <c r="N1198" s="4">
        <f t="shared" si="74"/>
        <v>2024</v>
      </c>
      <c r="O1198" s="4">
        <f t="shared" si="75"/>
        <v>2</v>
      </c>
    </row>
    <row r="1199" spans="1:15" x14ac:dyDescent="0.25">
      <c r="A1199" t="s">
        <v>2437</v>
      </c>
      <c r="B1199" s="2">
        <v>45565</v>
      </c>
      <c r="C1199" t="s">
        <v>60</v>
      </c>
      <c r="D1199" t="s">
        <v>61</v>
      </c>
      <c r="E1199">
        <v>0</v>
      </c>
      <c r="F1199">
        <v>2374.8200000000002</v>
      </c>
      <c r="G1199" t="s">
        <v>9</v>
      </c>
      <c r="H1199" t="s">
        <v>34</v>
      </c>
      <c r="I1199" t="s">
        <v>2438</v>
      </c>
      <c r="J1199" t="s">
        <v>45</v>
      </c>
      <c r="K1199" s="4">
        <f>VLOOKUP(J1199,Exchange_Rates!A:B,2,FALSE)</f>
        <v>1</v>
      </c>
      <c r="L1199" s="4">
        <f t="shared" si="72"/>
        <v>0</v>
      </c>
      <c r="M1199" s="4">
        <f t="shared" si="73"/>
        <v>2374.8200000000002</v>
      </c>
      <c r="N1199" s="4">
        <f t="shared" si="74"/>
        <v>2024</v>
      </c>
      <c r="O1199" s="4">
        <f t="shared" si="75"/>
        <v>3</v>
      </c>
    </row>
    <row r="1200" spans="1:15" x14ac:dyDescent="0.25">
      <c r="A1200" t="s">
        <v>2439</v>
      </c>
      <c r="B1200" s="2">
        <v>45440</v>
      </c>
      <c r="C1200" t="s">
        <v>24</v>
      </c>
      <c r="D1200" t="s">
        <v>25</v>
      </c>
      <c r="E1200">
        <v>0</v>
      </c>
      <c r="F1200">
        <v>383.06</v>
      </c>
      <c r="G1200" t="s">
        <v>12</v>
      </c>
      <c r="H1200" t="s">
        <v>62</v>
      </c>
      <c r="I1200" t="s">
        <v>2440</v>
      </c>
      <c r="J1200" t="s">
        <v>28</v>
      </c>
      <c r="K1200" s="4">
        <f>VLOOKUP(J1200,Exchange_Rates!A:B,2,FALSE)</f>
        <v>1.27</v>
      </c>
      <c r="L1200" s="4">
        <f t="shared" si="72"/>
        <v>0</v>
      </c>
      <c r="M1200" s="4">
        <f t="shared" si="73"/>
        <v>486.4862</v>
      </c>
      <c r="N1200" s="4">
        <f t="shared" si="74"/>
        <v>2024</v>
      </c>
      <c r="O1200" s="4">
        <f t="shared" si="75"/>
        <v>2</v>
      </c>
    </row>
    <row r="1201" spans="1:15" x14ac:dyDescent="0.25">
      <c r="A1201" t="s">
        <v>2441</v>
      </c>
      <c r="B1201" s="2">
        <v>45496</v>
      </c>
      <c r="C1201" t="s">
        <v>60</v>
      </c>
      <c r="D1201" t="s">
        <v>61</v>
      </c>
      <c r="E1201">
        <v>0</v>
      </c>
      <c r="F1201">
        <v>3219.96</v>
      </c>
      <c r="G1201" t="s">
        <v>8</v>
      </c>
      <c r="H1201" t="s">
        <v>62</v>
      </c>
      <c r="I1201" t="s">
        <v>2442</v>
      </c>
      <c r="J1201" t="s">
        <v>36</v>
      </c>
      <c r="K1201" s="4">
        <f>VLOOKUP(J1201,Exchange_Rates!A:B,2,FALSE)</f>
        <v>1.08</v>
      </c>
      <c r="L1201" s="4">
        <f t="shared" si="72"/>
        <v>0</v>
      </c>
      <c r="M1201" s="4">
        <f t="shared" si="73"/>
        <v>3477.5568000000003</v>
      </c>
      <c r="N1201" s="4">
        <f t="shared" si="74"/>
        <v>2024</v>
      </c>
      <c r="O1201" s="4">
        <f t="shared" si="75"/>
        <v>3</v>
      </c>
    </row>
    <row r="1202" spans="1:15" x14ac:dyDescent="0.25">
      <c r="A1202" t="s">
        <v>2443</v>
      </c>
      <c r="B1202" s="2">
        <v>45004</v>
      </c>
      <c r="C1202" t="s">
        <v>24</v>
      </c>
      <c r="D1202" t="s">
        <v>25</v>
      </c>
      <c r="E1202">
        <v>0</v>
      </c>
      <c r="F1202">
        <v>1105.3800000000001</v>
      </c>
      <c r="G1202" t="s">
        <v>11</v>
      </c>
      <c r="H1202" t="s">
        <v>34</v>
      </c>
      <c r="I1202" t="s">
        <v>2444</v>
      </c>
      <c r="J1202" t="s">
        <v>42</v>
      </c>
      <c r="K1202" s="4">
        <f>VLOOKUP(J1202,Exchange_Rates!A:B,2,FALSE)</f>
        <v>0.66</v>
      </c>
      <c r="L1202" s="4">
        <f t="shared" si="72"/>
        <v>0</v>
      </c>
      <c r="M1202" s="4">
        <f t="shared" si="73"/>
        <v>729.55080000000009</v>
      </c>
      <c r="N1202" s="4">
        <f t="shared" si="74"/>
        <v>2023</v>
      </c>
      <c r="O1202" s="4">
        <f t="shared" si="75"/>
        <v>1</v>
      </c>
    </row>
    <row r="1203" spans="1:15" x14ac:dyDescent="0.25">
      <c r="A1203" t="s">
        <v>2445</v>
      </c>
      <c r="B1203" s="2">
        <v>45502</v>
      </c>
      <c r="C1203" t="s">
        <v>49</v>
      </c>
      <c r="D1203" t="s">
        <v>50</v>
      </c>
      <c r="E1203">
        <v>600.28</v>
      </c>
      <c r="F1203">
        <v>0</v>
      </c>
      <c r="G1203" t="s">
        <v>10</v>
      </c>
      <c r="H1203" t="s">
        <v>62</v>
      </c>
      <c r="I1203" t="s">
        <v>2446</v>
      </c>
      <c r="J1203" t="s">
        <v>64</v>
      </c>
      <c r="K1203" s="4">
        <f>VLOOKUP(J1203,Exchange_Rates!A:B,2,FALSE)</f>
        <v>0.73</v>
      </c>
      <c r="L1203" s="4">
        <f t="shared" si="72"/>
        <v>438.20439999999996</v>
      </c>
      <c r="M1203" s="4">
        <f t="shared" si="73"/>
        <v>0</v>
      </c>
      <c r="N1203" s="4">
        <f t="shared" si="74"/>
        <v>2024</v>
      </c>
      <c r="O1203" s="4">
        <f t="shared" si="75"/>
        <v>3</v>
      </c>
    </row>
    <row r="1204" spans="1:15" x14ac:dyDescent="0.25">
      <c r="A1204" t="s">
        <v>2447</v>
      </c>
      <c r="B1204" s="2">
        <v>45556</v>
      </c>
      <c r="C1204" t="s">
        <v>60</v>
      </c>
      <c r="D1204" t="s">
        <v>61</v>
      </c>
      <c r="E1204">
        <v>0</v>
      </c>
      <c r="F1204">
        <v>1634.89</v>
      </c>
      <c r="G1204" t="s">
        <v>8</v>
      </c>
      <c r="H1204" t="s">
        <v>62</v>
      </c>
      <c r="I1204" t="s">
        <v>2448</v>
      </c>
      <c r="J1204" t="s">
        <v>42</v>
      </c>
      <c r="K1204" s="4">
        <f>VLOOKUP(J1204,Exchange_Rates!A:B,2,FALSE)</f>
        <v>0.66</v>
      </c>
      <c r="L1204" s="4">
        <f t="shared" si="72"/>
        <v>0</v>
      </c>
      <c r="M1204" s="4">
        <f t="shared" si="73"/>
        <v>1079.0274000000002</v>
      </c>
      <c r="N1204" s="4">
        <f t="shared" si="74"/>
        <v>2024</v>
      </c>
      <c r="O1204" s="4">
        <f t="shared" si="75"/>
        <v>3</v>
      </c>
    </row>
    <row r="1205" spans="1:15" x14ac:dyDescent="0.25">
      <c r="A1205" t="s">
        <v>2449</v>
      </c>
      <c r="B1205" s="2">
        <v>45529</v>
      </c>
      <c r="C1205" t="s">
        <v>60</v>
      </c>
      <c r="D1205" t="s">
        <v>61</v>
      </c>
      <c r="E1205">
        <v>0</v>
      </c>
      <c r="F1205">
        <v>2484.3000000000002</v>
      </c>
      <c r="G1205" t="s">
        <v>9</v>
      </c>
      <c r="H1205" t="s">
        <v>26</v>
      </c>
      <c r="I1205" t="s">
        <v>2450</v>
      </c>
      <c r="J1205" t="s">
        <v>64</v>
      </c>
      <c r="K1205" s="4">
        <f>VLOOKUP(J1205,Exchange_Rates!A:B,2,FALSE)</f>
        <v>0.73</v>
      </c>
      <c r="L1205" s="4">
        <f t="shared" si="72"/>
        <v>0</v>
      </c>
      <c r="M1205" s="4">
        <f t="shared" si="73"/>
        <v>1813.539</v>
      </c>
      <c r="N1205" s="4">
        <f t="shared" si="74"/>
        <v>2024</v>
      </c>
      <c r="O1205" s="4">
        <f t="shared" si="75"/>
        <v>3</v>
      </c>
    </row>
    <row r="1206" spans="1:15" x14ac:dyDescent="0.25">
      <c r="A1206" t="s">
        <v>2451</v>
      </c>
      <c r="B1206" s="2">
        <v>45733</v>
      </c>
      <c r="C1206" t="s">
        <v>24</v>
      </c>
      <c r="D1206" t="s">
        <v>25</v>
      </c>
      <c r="E1206">
        <v>0</v>
      </c>
      <c r="F1206">
        <v>2824.53</v>
      </c>
      <c r="G1206" t="s">
        <v>8</v>
      </c>
      <c r="H1206" t="s">
        <v>26</v>
      </c>
      <c r="I1206" t="s">
        <v>2452</v>
      </c>
      <c r="J1206" t="s">
        <v>28</v>
      </c>
      <c r="K1206" s="4">
        <f>VLOOKUP(J1206,Exchange_Rates!A:B,2,FALSE)</f>
        <v>1.27</v>
      </c>
      <c r="L1206" s="4">
        <f t="shared" si="72"/>
        <v>0</v>
      </c>
      <c r="M1206" s="4">
        <f t="shared" si="73"/>
        <v>3587.1531000000004</v>
      </c>
      <c r="N1206" s="4">
        <f t="shared" si="74"/>
        <v>2025</v>
      </c>
      <c r="O1206" s="4">
        <f t="shared" si="75"/>
        <v>1</v>
      </c>
    </row>
    <row r="1207" spans="1:15" x14ac:dyDescent="0.25">
      <c r="A1207" t="s">
        <v>2453</v>
      </c>
      <c r="B1207" s="2">
        <v>45627</v>
      </c>
      <c r="C1207" t="s">
        <v>38</v>
      </c>
      <c r="D1207" t="s">
        <v>39</v>
      </c>
      <c r="E1207">
        <v>269.73</v>
      </c>
      <c r="F1207">
        <v>0</v>
      </c>
      <c r="G1207" t="s">
        <v>9</v>
      </c>
      <c r="H1207" t="s">
        <v>34</v>
      </c>
      <c r="I1207" t="s">
        <v>2454</v>
      </c>
      <c r="J1207" t="s">
        <v>42</v>
      </c>
      <c r="K1207" s="4">
        <f>VLOOKUP(J1207,Exchange_Rates!A:B,2,FALSE)</f>
        <v>0.66</v>
      </c>
      <c r="L1207" s="4">
        <f t="shared" si="72"/>
        <v>178.02180000000001</v>
      </c>
      <c r="M1207" s="4">
        <f t="shared" si="73"/>
        <v>0</v>
      </c>
      <c r="N1207" s="4">
        <f t="shared" si="74"/>
        <v>2024</v>
      </c>
      <c r="O1207" s="4">
        <f t="shared" si="75"/>
        <v>4</v>
      </c>
    </row>
    <row r="1208" spans="1:15" x14ac:dyDescent="0.25">
      <c r="A1208" t="s">
        <v>2455</v>
      </c>
      <c r="B1208" s="2">
        <v>45410</v>
      </c>
      <c r="C1208" t="s">
        <v>49</v>
      </c>
      <c r="D1208" t="s">
        <v>50</v>
      </c>
      <c r="E1208">
        <v>500.85</v>
      </c>
      <c r="F1208">
        <v>0</v>
      </c>
      <c r="G1208" t="s">
        <v>12</v>
      </c>
      <c r="H1208" t="s">
        <v>40</v>
      </c>
      <c r="I1208" t="s">
        <v>2456</v>
      </c>
      <c r="J1208" t="s">
        <v>45</v>
      </c>
      <c r="K1208" s="4">
        <f>VLOOKUP(J1208,Exchange_Rates!A:B,2,FALSE)</f>
        <v>1</v>
      </c>
      <c r="L1208" s="4">
        <f t="shared" si="72"/>
        <v>500.85</v>
      </c>
      <c r="M1208" s="4">
        <f t="shared" si="73"/>
        <v>0</v>
      </c>
      <c r="N1208" s="4">
        <f t="shared" si="74"/>
        <v>2024</v>
      </c>
      <c r="O1208" s="4">
        <f t="shared" si="75"/>
        <v>2</v>
      </c>
    </row>
    <row r="1209" spans="1:15" x14ac:dyDescent="0.25">
      <c r="A1209" t="s">
        <v>2457</v>
      </c>
      <c r="B1209" s="2">
        <v>45220</v>
      </c>
      <c r="C1209" t="s">
        <v>60</v>
      </c>
      <c r="D1209" t="s">
        <v>61</v>
      </c>
      <c r="E1209">
        <v>0</v>
      </c>
      <c r="F1209">
        <v>2600.9699999999998</v>
      </c>
      <c r="G1209" t="s">
        <v>10</v>
      </c>
      <c r="H1209" t="s">
        <v>34</v>
      </c>
      <c r="I1209" t="s">
        <v>2458</v>
      </c>
      <c r="J1209" t="s">
        <v>28</v>
      </c>
      <c r="K1209" s="4">
        <f>VLOOKUP(J1209,Exchange_Rates!A:B,2,FALSE)</f>
        <v>1.27</v>
      </c>
      <c r="L1209" s="4">
        <f t="shared" si="72"/>
        <v>0</v>
      </c>
      <c r="M1209" s="4">
        <f t="shared" si="73"/>
        <v>3303.2318999999998</v>
      </c>
      <c r="N1209" s="4">
        <f t="shared" si="74"/>
        <v>2023</v>
      </c>
      <c r="O1209" s="4">
        <f t="shared" si="75"/>
        <v>4</v>
      </c>
    </row>
    <row r="1210" spans="1:15" x14ac:dyDescent="0.25">
      <c r="A1210" t="s">
        <v>2459</v>
      </c>
      <c r="B1210" s="2">
        <v>45068</v>
      </c>
      <c r="C1210" t="s">
        <v>30</v>
      </c>
      <c r="D1210" t="s">
        <v>31</v>
      </c>
      <c r="E1210">
        <v>1457.86</v>
      </c>
      <c r="F1210">
        <v>0</v>
      </c>
      <c r="G1210" t="s">
        <v>11</v>
      </c>
      <c r="H1210" t="s">
        <v>26</v>
      </c>
      <c r="I1210" t="s">
        <v>2460</v>
      </c>
      <c r="J1210" t="s">
        <v>28</v>
      </c>
      <c r="K1210" s="4">
        <f>VLOOKUP(J1210,Exchange_Rates!A:B,2,FALSE)</f>
        <v>1.27</v>
      </c>
      <c r="L1210" s="4">
        <f t="shared" si="72"/>
        <v>1851.4821999999999</v>
      </c>
      <c r="M1210" s="4">
        <f t="shared" si="73"/>
        <v>0</v>
      </c>
      <c r="N1210" s="4">
        <f t="shared" si="74"/>
        <v>2023</v>
      </c>
      <c r="O1210" s="4">
        <f t="shared" si="75"/>
        <v>2</v>
      </c>
    </row>
    <row r="1211" spans="1:15" x14ac:dyDescent="0.25">
      <c r="A1211" t="s">
        <v>2461</v>
      </c>
      <c r="B1211" s="2">
        <v>45476</v>
      </c>
      <c r="C1211" t="s">
        <v>24</v>
      </c>
      <c r="D1211" t="s">
        <v>25</v>
      </c>
      <c r="E1211">
        <v>0</v>
      </c>
      <c r="F1211">
        <v>1378.84</v>
      </c>
      <c r="G1211" t="s">
        <v>8</v>
      </c>
      <c r="H1211" t="s">
        <v>40</v>
      </c>
      <c r="I1211" t="s">
        <v>2462</v>
      </c>
      <c r="J1211" t="s">
        <v>42</v>
      </c>
      <c r="K1211" s="4">
        <f>VLOOKUP(J1211,Exchange_Rates!A:B,2,FALSE)</f>
        <v>0.66</v>
      </c>
      <c r="L1211" s="4">
        <f t="shared" si="72"/>
        <v>0</v>
      </c>
      <c r="M1211" s="4">
        <f t="shared" si="73"/>
        <v>910.03440000000001</v>
      </c>
      <c r="N1211" s="4">
        <f t="shared" si="74"/>
        <v>2024</v>
      </c>
      <c r="O1211" s="4">
        <f t="shared" si="75"/>
        <v>3</v>
      </c>
    </row>
    <row r="1212" spans="1:15" x14ac:dyDescent="0.25">
      <c r="A1212" t="s">
        <v>2463</v>
      </c>
      <c r="B1212" s="2">
        <v>45561</v>
      </c>
      <c r="C1212" t="s">
        <v>49</v>
      </c>
      <c r="D1212" t="s">
        <v>50</v>
      </c>
      <c r="E1212">
        <v>1891.86</v>
      </c>
      <c r="F1212">
        <v>0</v>
      </c>
      <c r="G1212" t="s">
        <v>8</v>
      </c>
      <c r="H1212" t="s">
        <v>40</v>
      </c>
      <c r="I1212" t="s">
        <v>2464</v>
      </c>
      <c r="J1212" t="s">
        <v>42</v>
      </c>
      <c r="K1212" s="4">
        <f>VLOOKUP(J1212,Exchange_Rates!A:B,2,FALSE)</f>
        <v>0.66</v>
      </c>
      <c r="L1212" s="4">
        <f t="shared" si="72"/>
        <v>1248.6276</v>
      </c>
      <c r="M1212" s="4">
        <f t="shared" si="73"/>
        <v>0</v>
      </c>
      <c r="N1212" s="4">
        <f t="shared" si="74"/>
        <v>2024</v>
      </c>
      <c r="O1212" s="4">
        <f t="shared" si="75"/>
        <v>3</v>
      </c>
    </row>
    <row r="1213" spans="1:15" x14ac:dyDescent="0.25">
      <c r="A1213" t="s">
        <v>2465</v>
      </c>
      <c r="B1213" s="2">
        <v>45143</v>
      </c>
      <c r="C1213" t="s">
        <v>24</v>
      </c>
      <c r="D1213" t="s">
        <v>25</v>
      </c>
      <c r="E1213">
        <v>0</v>
      </c>
      <c r="F1213">
        <v>1330.12</v>
      </c>
      <c r="G1213" t="s">
        <v>12</v>
      </c>
      <c r="H1213" t="s">
        <v>40</v>
      </c>
      <c r="I1213" t="s">
        <v>2466</v>
      </c>
      <c r="J1213" t="s">
        <v>42</v>
      </c>
      <c r="K1213" s="4">
        <f>VLOOKUP(J1213,Exchange_Rates!A:B,2,FALSE)</f>
        <v>0.66</v>
      </c>
      <c r="L1213" s="4">
        <f t="shared" si="72"/>
        <v>0</v>
      </c>
      <c r="M1213" s="4">
        <f t="shared" si="73"/>
        <v>877.87919999999997</v>
      </c>
      <c r="N1213" s="4">
        <f t="shared" si="74"/>
        <v>2023</v>
      </c>
      <c r="O1213" s="4">
        <f t="shared" si="75"/>
        <v>3</v>
      </c>
    </row>
    <row r="1214" spans="1:15" x14ac:dyDescent="0.25">
      <c r="A1214" t="s">
        <v>2467</v>
      </c>
      <c r="B1214" s="2">
        <v>45524</v>
      </c>
      <c r="C1214" t="s">
        <v>60</v>
      </c>
      <c r="D1214" t="s">
        <v>61</v>
      </c>
      <c r="E1214">
        <v>0</v>
      </c>
      <c r="F1214">
        <v>695.86</v>
      </c>
      <c r="G1214" t="s">
        <v>10</v>
      </c>
      <c r="H1214" t="s">
        <v>62</v>
      </c>
      <c r="I1214" t="s">
        <v>2468</v>
      </c>
      <c r="J1214" t="s">
        <v>42</v>
      </c>
      <c r="K1214" s="4">
        <f>VLOOKUP(J1214,Exchange_Rates!A:B,2,FALSE)</f>
        <v>0.66</v>
      </c>
      <c r="L1214" s="4">
        <f t="shared" si="72"/>
        <v>0</v>
      </c>
      <c r="M1214" s="4">
        <f t="shared" si="73"/>
        <v>459.26760000000002</v>
      </c>
      <c r="N1214" s="4">
        <f t="shared" si="74"/>
        <v>2024</v>
      </c>
      <c r="O1214" s="4">
        <f t="shared" si="75"/>
        <v>3</v>
      </c>
    </row>
    <row r="1215" spans="1:15" x14ac:dyDescent="0.25">
      <c r="A1215" t="s">
        <v>2469</v>
      </c>
      <c r="B1215" s="2">
        <v>45692</v>
      </c>
      <c r="C1215" t="s">
        <v>49</v>
      </c>
      <c r="D1215" t="s">
        <v>50</v>
      </c>
      <c r="E1215">
        <v>1628.31</v>
      </c>
      <c r="F1215">
        <v>0</v>
      </c>
      <c r="G1215" t="s">
        <v>13</v>
      </c>
      <c r="H1215" t="s">
        <v>51</v>
      </c>
      <c r="I1215" t="s">
        <v>2470</v>
      </c>
      <c r="J1215" t="s">
        <v>28</v>
      </c>
      <c r="K1215" s="4">
        <f>VLOOKUP(J1215,Exchange_Rates!A:B,2,FALSE)</f>
        <v>1.27</v>
      </c>
      <c r="L1215" s="4">
        <f t="shared" si="72"/>
        <v>2067.9537</v>
      </c>
      <c r="M1215" s="4">
        <f t="shared" si="73"/>
        <v>0</v>
      </c>
      <c r="N1215" s="4">
        <f t="shared" si="74"/>
        <v>2025</v>
      </c>
      <c r="O1215" s="4">
        <f t="shared" si="75"/>
        <v>1</v>
      </c>
    </row>
    <row r="1216" spans="1:15" x14ac:dyDescent="0.25">
      <c r="A1216" t="s">
        <v>2471</v>
      </c>
      <c r="B1216" s="2">
        <v>45064</v>
      </c>
      <c r="C1216" t="s">
        <v>24</v>
      </c>
      <c r="D1216" t="s">
        <v>25</v>
      </c>
      <c r="E1216">
        <v>0</v>
      </c>
      <c r="F1216">
        <v>4939.1400000000003</v>
      </c>
      <c r="G1216" t="s">
        <v>12</v>
      </c>
      <c r="H1216" t="s">
        <v>26</v>
      </c>
      <c r="I1216" t="s">
        <v>2472</v>
      </c>
      <c r="J1216" t="s">
        <v>28</v>
      </c>
      <c r="K1216" s="4">
        <f>VLOOKUP(J1216,Exchange_Rates!A:B,2,FALSE)</f>
        <v>1.27</v>
      </c>
      <c r="L1216" s="4">
        <f t="shared" si="72"/>
        <v>0</v>
      </c>
      <c r="M1216" s="4">
        <f t="shared" si="73"/>
        <v>6272.7078000000001</v>
      </c>
      <c r="N1216" s="4">
        <f t="shared" si="74"/>
        <v>2023</v>
      </c>
      <c r="O1216" s="4">
        <f t="shared" si="75"/>
        <v>2</v>
      </c>
    </row>
    <row r="1217" spans="1:15" x14ac:dyDescent="0.25">
      <c r="A1217" t="s">
        <v>2473</v>
      </c>
      <c r="B1217" s="2">
        <v>45066</v>
      </c>
      <c r="C1217" t="s">
        <v>49</v>
      </c>
      <c r="D1217" t="s">
        <v>50</v>
      </c>
      <c r="E1217">
        <v>1884.45</v>
      </c>
      <c r="F1217">
        <v>0</v>
      </c>
      <c r="G1217" t="s">
        <v>11</v>
      </c>
      <c r="H1217" t="s">
        <v>40</v>
      </c>
      <c r="I1217" t="s">
        <v>2474</v>
      </c>
      <c r="J1217" t="s">
        <v>42</v>
      </c>
      <c r="K1217" s="4">
        <f>VLOOKUP(J1217,Exchange_Rates!A:B,2,FALSE)</f>
        <v>0.66</v>
      </c>
      <c r="L1217" s="4">
        <f t="shared" si="72"/>
        <v>1243.7370000000001</v>
      </c>
      <c r="M1217" s="4">
        <f t="shared" si="73"/>
        <v>0</v>
      </c>
      <c r="N1217" s="4">
        <f t="shared" si="74"/>
        <v>2023</v>
      </c>
      <c r="O1217" s="4">
        <f t="shared" si="75"/>
        <v>2</v>
      </c>
    </row>
    <row r="1218" spans="1:15" x14ac:dyDescent="0.25">
      <c r="A1218" t="s">
        <v>2475</v>
      </c>
      <c r="B1218" s="2">
        <v>45515</v>
      </c>
      <c r="C1218" t="s">
        <v>60</v>
      </c>
      <c r="D1218" t="s">
        <v>61</v>
      </c>
      <c r="E1218">
        <v>0</v>
      </c>
      <c r="F1218">
        <v>2294.84</v>
      </c>
      <c r="G1218" t="s">
        <v>10</v>
      </c>
      <c r="H1218" t="s">
        <v>62</v>
      </c>
      <c r="I1218" t="s">
        <v>2476</v>
      </c>
      <c r="J1218" t="s">
        <v>45</v>
      </c>
      <c r="K1218" s="4">
        <f>VLOOKUP(J1218,Exchange_Rates!A:B,2,FALSE)</f>
        <v>1</v>
      </c>
      <c r="L1218" s="4">
        <f t="shared" si="72"/>
        <v>0</v>
      </c>
      <c r="M1218" s="4">
        <f t="shared" si="73"/>
        <v>2294.84</v>
      </c>
      <c r="N1218" s="4">
        <f t="shared" si="74"/>
        <v>2024</v>
      </c>
      <c r="O1218" s="4">
        <f t="shared" si="75"/>
        <v>3</v>
      </c>
    </row>
    <row r="1219" spans="1:15" x14ac:dyDescent="0.25">
      <c r="A1219" t="s">
        <v>2477</v>
      </c>
      <c r="B1219" s="2">
        <v>45707</v>
      </c>
      <c r="C1219" t="s">
        <v>38</v>
      </c>
      <c r="D1219" t="s">
        <v>39</v>
      </c>
      <c r="E1219">
        <v>701.24</v>
      </c>
      <c r="F1219">
        <v>0</v>
      </c>
      <c r="G1219" t="s">
        <v>11</v>
      </c>
      <c r="H1219" t="s">
        <v>40</v>
      </c>
      <c r="I1219" t="s">
        <v>2478</v>
      </c>
      <c r="J1219" t="s">
        <v>45</v>
      </c>
      <c r="K1219" s="4">
        <f>VLOOKUP(J1219,Exchange_Rates!A:B,2,FALSE)</f>
        <v>1</v>
      </c>
      <c r="L1219" s="4">
        <f t="shared" ref="L1219:L1282" si="76">E1219*K1219</f>
        <v>701.24</v>
      </c>
      <c r="M1219" s="4">
        <f t="shared" ref="M1219:M1282" si="77">F1219*K1219</f>
        <v>0</v>
      </c>
      <c r="N1219" s="4">
        <f t="shared" ref="N1219:N1282" si="78">YEAR(B1219)</f>
        <v>2025</v>
      </c>
      <c r="O1219" s="4">
        <f t="shared" ref="O1219:O1282" si="79">ROUNDUP(MONTH(B1219)/3,0)</f>
        <v>1</v>
      </c>
    </row>
    <row r="1220" spans="1:15" x14ac:dyDescent="0.25">
      <c r="A1220" t="s">
        <v>2479</v>
      </c>
      <c r="B1220" s="2">
        <v>45297</v>
      </c>
      <c r="C1220" t="s">
        <v>24</v>
      </c>
      <c r="D1220" t="s">
        <v>25</v>
      </c>
      <c r="E1220">
        <v>0</v>
      </c>
      <c r="F1220">
        <v>1406.7</v>
      </c>
      <c r="G1220" t="s">
        <v>11</v>
      </c>
      <c r="H1220" t="s">
        <v>51</v>
      </c>
      <c r="I1220" t="s">
        <v>2480</v>
      </c>
      <c r="J1220" t="s">
        <v>36</v>
      </c>
      <c r="K1220" s="4">
        <f>VLOOKUP(J1220,Exchange_Rates!A:B,2,FALSE)</f>
        <v>1.08</v>
      </c>
      <c r="L1220" s="4">
        <f t="shared" si="76"/>
        <v>0</v>
      </c>
      <c r="M1220" s="4">
        <f t="shared" si="77"/>
        <v>1519.2360000000001</v>
      </c>
      <c r="N1220" s="4">
        <f t="shared" si="78"/>
        <v>2024</v>
      </c>
      <c r="O1220" s="4">
        <f t="shared" si="79"/>
        <v>1</v>
      </c>
    </row>
    <row r="1221" spans="1:15" x14ac:dyDescent="0.25">
      <c r="A1221" t="s">
        <v>2481</v>
      </c>
      <c r="B1221" s="2">
        <v>45452</v>
      </c>
      <c r="C1221" t="s">
        <v>38</v>
      </c>
      <c r="D1221" t="s">
        <v>39</v>
      </c>
      <c r="E1221">
        <v>187.59</v>
      </c>
      <c r="F1221">
        <v>0</v>
      </c>
      <c r="G1221" t="s">
        <v>10</v>
      </c>
      <c r="H1221" t="s">
        <v>62</v>
      </c>
      <c r="I1221" t="s">
        <v>2482</v>
      </c>
      <c r="J1221" t="s">
        <v>36</v>
      </c>
      <c r="K1221" s="4">
        <f>VLOOKUP(J1221,Exchange_Rates!A:B,2,FALSE)</f>
        <v>1.08</v>
      </c>
      <c r="L1221" s="4">
        <f t="shared" si="76"/>
        <v>202.59720000000002</v>
      </c>
      <c r="M1221" s="4">
        <f t="shared" si="77"/>
        <v>0</v>
      </c>
      <c r="N1221" s="4">
        <f t="shared" si="78"/>
        <v>2024</v>
      </c>
      <c r="O1221" s="4">
        <f t="shared" si="79"/>
        <v>2</v>
      </c>
    </row>
    <row r="1222" spans="1:15" x14ac:dyDescent="0.25">
      <c r="A1222" t="s">
        <v>2483</v>
      </c>
      <c r="B1222" s="2">
        <v>45091</v>
      </c>
      <c r="C1222" t="s">
        <v>24</v>
      </c>
      <c r="D1222" t="s">
        <v>25</v>
      </c>
      <c r="E1222">
        <v>0</v>
      </c>
      <c r="F1222">
        <v>1358.12</v>
      </c>
      <c r="G1222" t="s">
        <v>8</v>
      </c>
      <c r="H1222" t="s">
        <v>34</v>
      </c>
      <c r="I1222" t="s">
        <v>2484</v>
      </c>
      <c r="J1222" t="s">
        <v>45</v>
      </c>
      <c r="K1222" s="4">
        <f>VLOOKUP(J1222,Exchange_Rates!A:B,2,FALSE)</f>
        <v>1</v>
      </c>
      <c r="L1222" s="4">
        <f t="shared" si="76"/>
        <v>0</v>
      </c>
      <c r="M1222" s="4">
        <f t="shared" si="77"/>
        <v>1358.12</v>
      </c>
      <c r="N1222" s="4">
        <f t="shared" si="78"/>
        <v>2023</v>
      </c>
      <c r="O1222" s="4">
        <f t="shared" si="79"/>
        <v>2</v>
      </c>
    </row>
    <row r="1223" spans="1:15" x14ac:dyDescent="0.25">
      <c r="A1223" t="s">
        <v>2485</v>
      </c>
      <c r="B1223" s="2">
        <v>45792</v>
      </c>
      <c r="C1223" t="s">
        <v>30</v>
      </c>
      <c r="D1223" t="s">
        <v>31</v>
      </c>
      <c r="E1223">
        <v>695.83</v>
      </c>
      <c r="F1223">
        <v>0</v>
      </c>
      <c r="G1223" t="s">
        <v>13</v>
      </c>
      <c r="H1223" t="s">
        <v>40</v>
      </c>
      <c r="I1223" t="s">
        <v>2486</v>
      </c>
      <c r="J1223" t="s">
        <v>64</v>
      </c>
      <c r="K1223" s="4">
        <f>VLOOKUP(J1223,Exchange_Rates!A:B,2,FALSE)</f>
        <v>0.73</v>
      </c>
      <c r="L1223" s="4">
        <f t="shared" si="76"/>
        <v>507.95590000000004</v>
      </c>
      <c r="M1223" s="4">
        <f t="shared" si="77"/>
        <v>0</v>
      </c>
      <c r="N1223" s="4">
        <f t="shared" si="78"/>
        <v>2025</v>
      </c>
      <c r="O1223" s="4">
        <f t="shared" si="79"/>
        <v>2</v>
      </c>
    </row>
    <row r="1224" spans="1:15" x14ac:dyDescent="0.25">
      <c r="A1224" t="s">
        <v>2487</v>
      </c>
      <c r="B1224" s="2">
        <v>45527</v>
      </c>
      <c r="C1224" t="s">
        <v>49</v>
      </c>
      <c r="D1224" t="s">
        <v>50</v>
      </c>
      <c r="E1224">
        <v>200.78</v>
      </c>
      <c r="F1224">
        <v>0</v>
      </c>
      <c r="G1224" t="s">
        <v>13</v>
      </c>
      <c r="H1224" t="s">
        <v>40</v>
      </c>
      <c r="I1224" t="s">
        <v>2488</v>
      </c>
      <c r="J1224" t="s">
        <v>64</v>
      </c>
      <c r="K1224" s="4">
        <f>VLOOKUP(J1224,Exchange_Rates!A:B,2,FALSE)</f>
        <v>0.73</v>
      </c>
      <c r="L1224" s="4">
        <f t="shared" si="76"/>
        <v>146.5694</v>
      </c>
      <c r="M1224" s="4">
        <f t="shared" si="77"/>
        <v>0</v>
      </c>
      <c r="N1224" s="4">
        <f t="shared" si="78"/>
        <v>2024</v>
      </c>
      <c r="O1224" s="4">
        <f t="shared" si="79"/>
        <v>3</v>
      </c>
    </row>
    <row r="1225" spans="1:15" x14ac:dyDescent="0.25">
      <c r="A1225" t="s">
        <v>2489</v>
      </c>
      <c r="B1225" s="2">
        <v>45194</v>
      </c>
      <c r="C1225" t="s">
        <v>24</v>
      </c>
      <c r="D1225" t="s">
        <v>25</v>
      </c>
      <c r="E1225">
        <v>0</v>
      </c>
      <c r="F1225">
        <v>2848.57</v>
      </c>
      <c r="G1225" t="s">
        <v>12</v>
      </c>
      <c r="H1225" t="s">
        <v>34</v>
      </c>
      <c r="I1225" t="s">
        <v>2490</v>
      </c>
      <c r="J1225" t="s">
        <v>42</v>
      </c>
      <c r="K1225" s="4">
        <f>VLOOKUP(J1225,Exchange_Rates!A:B,2,FALSE)</f>
        <v>0.66</v>
      </c>
      <c r="L1225" s="4">
        <f t="shared" si="76"/>
        <v>0</v>
      </c>
      <c r="M1225" s="4">
        <f t="shared" si="77"/>
        <v>1880.0562000000002</v>
      </c>
      <c r="N1225" s="4">
        <f t="shared" si="78"/>
        <v>2023</v>
      </c>
      <c r="O1225" s="4">
        <f t="shared" si="79"/>
        <v>3</v>
      </c>
    </row>
    <row r="1226" spans="1:15" x14ac:dyDescent="0.25">
      <c r="A1226" t="s">
        <v>2491</v>
      </c>
      <c r="B1226" s="2">
        <v>45069</v>
      </c>
      <c r="C1226" t="s">
        <v>30</v>
      </c>
      <c r="D1226" t="s">
        <v>31</v>
      </c>
      <c r="E1226">
        <v>185.51</v>
      </c>
      <c r="F1226">
        <v>0</v>
      </c>
      <c r="G1226" t="s">
        <v>11</v>
      </c>
      <c r="H1226" t="s">
        <v>40</v>
      </c>
      <c r="I1226" t="s">
        <v>2492</v>
      </c>
      <c r="J1226" t="s">
        <v>28</v>
      </c>
      <c r="K1226" s="4">
        <f>VLOOKUP(J1226,Exchange_Rates!A:B,2,FALSE)</f>
        <v>1.27</v>
      </c>
      <c r="L1226" s="4">
        <f t="shared" si="76"/>
        <v>235.5977</v>
      </c>
      <c r="M1226" s="4">
        <f t="shared" si="77"/>
        <v>0</v>
      </c>
      <c r="N1226" s="4">
        <f t="shared" si="78"/>
        <v>2023</v>
      </c>
      <c r="O1226" s="4">
        <f t="shared" si="79"/>
        <v>2</v>
      </c>
    </row>
    <row r="1227" spans="1:15" x14ac:dyDescent="0.25">
      <c r="A1227" t="s">
        <v>2493</v>
      </c>
      <c r="B1227" s="2">
        <v>45298</v>
      </c>
      <c r="C1227" t="s">
        <v>38</v>
      </c>
      <c r="D1227" t="s">
        <v>39</v>
      </c>
      <c r="E1227">
        <v>935.9</v>
      </c>
      <c r="F1227">
        <v>0</v>
      </c>
      <c r="G1227" t="s">
        <v>10</v>
      </c>
      <c r="H1227" t="s">
        <v>26</v>
      </c>
      <c r="I1227" t="s">
        <v>2494</v>
      </c>
      <c r="J1227" t="s">
        <v>64</v>
      </c>
      <c r="K1227" s="4">
        <f>VLOOKUP(J1227,Exchange_Rates!A:B,2,FALSE)</f>
        <v>0.73</v>
      </c>
      <c r="L1227" s="4">
        <f t="shared" si="76"/>
        <v>683.20699999999999</v>
      </c>
      <c r="M1227" s="4">
        <f t="shared" si="77"/>
        <v>0</v>
      </c>
      <c r="N1227" s="4">
        <f t="shared" si="78"/>
        <v>2024</v>
      </c>
      <c r="O1227" s="4">
        <f t="shared" si="79"/>
        <v>1</v>
      </c>
    </row>
    <row r="1228" spans="1:15" x14ac:dyDescent="0.25">
      <c r="A1228" t="s">
        <v>2495</v>
      </c>
      <c r="B1228" s="2">
        <v>45498</v>
      </c>
      <c r="C1228" t="s">
        <v>30</v>
      </c>
      <c r="D1228" t="s">
        <v>31</v>
      </c>
      <c r="E1228">
        <v>1358.9</v>
      </c>
      <c r="F1228">
        <v>0</v>
      </c>
      <c r="G1228" t="s">
        <v>12</v>
      </c>
      <c r="H1228" t="s">
        <v>34</v>
      </c>
      <c r="I1228" t="s">
        <v>2496</v>
      </c>
      <c r="J1228" t="s">
        <v>45</v>
      </c>
      <c r="K1228" s="4">
        <f>VLOOKUP(J1228,Exchange_Rates!A:B,2,FALSE)</f>
        <v>1</v>
      </c>
      <c r="L1228" s="4">
        <f t="shared" si="76"/>
        <v>1358.9</v>
      </c>
      <c r="M1228" s="4">
        <f t="shared" si="77"/>
        <v>0</v>
      </c>
      <c r="N1228" s="4">
        <f t="shared" si="78"/>
        <v>2024</v>
      </c>
      <c r="O1228" s="4">
        <f t="shared" si="79"/>
        <v>3</v>
      </c>
    </row>
    <row r="1229" spans="1:15" x14ac:dyDescent="0.25">
      <c r="A1229" t="s">
        <v>2497</v>
      </c>
      <c r="B1229" s="2">
        <v>45690</v>
      </c>
      <c r="C1229" t="s">
        <v>30</v>
      </c>
      <c r="D1229" t="s">
        <v>31</v>
      </c>
      <c r="E1229">
        <v>1242.6500000000001</v>
      </c>
      <c r="F1229">
        <v>0</v>
      </c>
      <c r="G1229" t="s">
        <v>8</v>
      </c>
      <c r="H1229" t="s">
        <v>51</v>
      </c>
      <c r="I1229" t="s">
        <v>2498</v>
      </c>
      <c r="J1229" t="s">
        <v>45</v>
      </c>
      <c r="K1229" s="4">
        <f>VLOOKUP(J1229,Exchange_Rates!A:B,2,FALSE)</f>
        <v>1</v>
      </c>
      <c r="L1229" s="4">
        <f t="shared" si="76"/>
        <v>1242.6500000000001</v>
      </c>
      <c r="M1229" s="4">
        <f t="shared" si="77"/>
        <v>0</v>
      </c>
      <c r="N1229" s="4">
        <f t="shared" si="78"/>
        <v>2025</v>
      </c>
      <c r="O1229" s="4">
        <f t="shared" si="79"/>
        <v>1</v>
      </c>
    </row>
    <row r="1230" spans="1:15" x14ac:dyDescent="0.25">
      <c r="A1230" t="s">
        <v>2499</v>
      </c>
      <c r="B1230" s="2">
        <v>45489</v>
      </c>
      <c r="C1230" t="s">
        <v>60</v>
      </c>
      <c r="D1230" t="s">
        <v>61</v>
      </c>
      <c r="E1230">
        <v>0</v>
      </c>
      <c r="F1230">
        <v>1524.63</v>
      </c>
      <c r="G1230" t="s">
        <v>13</v>
      </c>
      <c r="H1230" t="s">
        <v>51</v>
      </c>
      <c r="I1230" t="s">
        <v>2500</v>
      </c>
      <c r="J1230" t="s">
        <v>64</v>
      </c>
      <c r="K1230" s="4">
        <f>VLOOKUP(J1230,Exchange_Rates!A:B,2,FALSE)</f>
        <v>0.73</v>
      </c>
      <c r="L1230" s="4">
        <f t="shared" si="76"/>
        <v>0</v>
      </c>
      <c r="M1230" s="4">
        <f t="shared" si="77"/>
        <v>1112.9799</v>
      </c>
      <c r="N1230" s="4">
        <f t="shared" si="78"/>
        <v>2024</v>
      </c>
      <c r="O1230" s="4">
        <f t="shared" si="79"/>
        <v>3</v>
      </c>
    </row>
    <row r="1231" spans="1:15" x14ac:dyDescent="0.25">
      <c r="A1231" t="s">
        <v>2501</v>
      </c>
      <c r="B1231" s="2">
        <v>45735</v>
      </c>
      <c r="C1231" t="s">
        <v>60</v>
      </c>
      <c r="D1231" t="s">
        <v>61</v>
      </c>
      <c r="E1231">
        <v>0</v>
      </c>
      <c r="F1231">
        <v>1391.91</v>
      </c>
      <c r="G1231" t="s">
        <v>10</v>
      </c>
      <c r="H1231" t="s">
        <v>51</v>
      </c>
      <c r="I1231" t="s">
        <v>2502</v>
      </c>
      <c r="J1231" t="s">
        <v>45</v>
      </c>
      <c r="K1231" s="4">
        <f>VLOOKUP(J1231,Exchange_Rates!A:B,2,FALSE)</f>
        <v>1</v>
      </c>
      <c r="L1231" s="4">
        <f t="shared" si="76"/>
        <v>0</v>
      </c>
      <c r="M1231" s="4">
        <f t="shared" si="77"/>
        <v>1391.91</v>
      </c>
      <c r="N1231" s="4">
        <f t="shared" si="78"/>
        <v>2025</v>
      </c>
      <c r="O1231" s="4">
        <f t="shared" si="79"/>
        <v>1</v>
      </c>
    </row>
    <row r="1232" spans="1:15" x14ac:dyDescent="0.25">
      <c r="A1232" t="s">
        <v>2503</v>
      </c>
      <c r="B1232" s="2">
        <v>45566</v>
      </c>
      <c r="C1232" t="s">
        <v>24</v>
      </c>
      <c r="D1232" t="s">
        <v>25</v>
      </c>
      <c r="E1232">
        <v>0</v>
      </c>
      <c r="F1232">
        <v>3506.68</v>
      </c>
      <c r="G1232" t="s">
        <v>13</v>
      </c>
      <c r="H1232" t="s">
        <v>51</v>
      </c>
      <c r="I1232" t="s">
        <v>2504</v>
      </c>
      <c r="J1232" t="s">
        <v>64</v>
      </c>
      <c r="K1232" s="4">
        <f>VLOOKUP(J1232,Exchange_Rates!A:B,2,FALSE)</f>
        <v>0.73</v>
      </c>
      <c r="L1232" s="4">
        <f t="shared" si="76"/>
        <v>0</v>
      </c>
      <c r="M1232" s="4">
        <f t="shared" si="77"/>
        <v>2559.8763999999996</v>
      </c>
      <c r="N1232" s="4">
        <f t="shared" si="78"/>
        <v>2024</v>
      </c>
      <c r="O1232" s="4">
        <f t="shared" si="79"/>
        <v>4</v>
      </c>
    </row>
    <row r="1233" spans="1:15" x14ac:dyDescent="0.25">
      <c r="A1233" t="s">
        <v>2505</v>
      </c>
      <c r="B1233" s="2">
        <v>45517</v>
      </c>
      <c r="C1233" t="s">
        <v>30</v>
      </c>
      <c r="D1233" t="s">
        <v>31</v>
      </c>
      <c r="E1233">
        <v>1331.89</v>
      </c>
      <c r="F1233">
        <v>0</v>
      </c>
      <c r="G1233" t="s">
        <v>8</v>
      </c>
      <c r="H1233" t="s">
        <v>40</v>
      </c>
      <c r="I1233" t="s">
        <v>2506</v>
      </c>
      <c r="J1233" t="s">
        <v>28</v>
      </c>
      <c r="K1233" s="4">
        <f>VLOOKUP(J1233,Exchange_Rates!A:B,2,FALSE)</f>
        <v>1.27</v>
      </c>
      <c r="L1233" s="4">
        <f t="shared" si="76"/>
        <v>1691.5003000000002</v>
      </c>
      <c r="M1233" s="4">
        <f t="shared" si="77"/>
        <v>0</v>
      </c>
      <c r="N1233" s="4">
        <f t="shared" si="78"/>
        <v>2024</v>
      </c>
      <c r="O1233" s="4">
        <f t="shared" si="79"/>
        <v>3</v>
      </c>
    </row>
    <row r="1234" spans="1:15" x14ac:dyDescent="0.25">
      <c r="A1234" t="s">
        <v>2507</v>
      </c>
      <c r="B1234" s="2">
        <v>45084</v>
      </c>
      <c r="C1234" t="s">
        <v>30</v>
      </c>
      <c r="D1234" t="s">
        <v>31</v>
      </c>
      <c r="E1234">
        <v>674.31</v>
      </c>
      <c r="F1234">
        <v>0</v>
      </c>
      <c r="G1234" t="s">
        <v>9</v>
      </c>
      <c r="H1234" t="s">
        <v>26</v>
      </c>
      <c r="I1234" t="s">
        <v>2508</v>
      </c>
      <c r="J1234" t="s">
        <v>28</v>
      </c>
      <c r="K1234" s="4">
        <f>VLOOKUP(J1234,Exchange_Rates!A:B,2,FALSE)</f>
        <v>1.27</v>
      </c>
      <c r="L1234" s="4">
        <f t="shared" si="76"/>
        <v>856.37369999999999</v>
      </c>
      <c r="M1234" s="4">
        <f t="shared" si="77"/>
        <v>0</v>
      </c>
      <c r="N1234" s="4">
        <f t="shared" si="78"/>
        <v>2023</v>
      </c>
      <c r="O1234" s="4">
        <f t="shared" si="79"/>
        <v>2</v>
      </c>
    </row>
    <row r="1235" spans="1:15" x14ac:dyDescent="0.25">
      <c r="A1235" t="s">
        <v>2509</v>
      </c>
      <c r="B1235" s="2">
        <v>45394</v>
      </c>
      <c r="C1235" t="s">
        <v>24</v>
      </c>
      <c r="D1235" t="s">
        <v>25</v>
      </c>
      <c r="E1235">
        <v>0</v>
      </c>
      <c r="F1235">
        <v>2570.4299999999998</v>
      </c>
      <c r="G1235" t="s">
        <v>10</v>
      </c>
      <c r="H1235" t="s">
        <v>62</v>
      </c>
      <c r="I1235" t="s">
        <v>2510</v>
      </c>
      <c r="J1235" t="s">
        <v>36</v>
      </c>
      <c r="K1235" s="4">
        <f>VLOOKUP(J1235,Exchange_Rates!A:B,2,FALSE)</f>
        <v>1.08</v>
      </c>
      <c r="L1235" s="4">
        <f t="shared" si="76"/>
        <v>0</v>
      </c>
      <c r="M1235" s="4">
        <f t="shared" si="77"/>
        <v>2776.0644000000002</v>
      </c>
      <c r="N1235" s="4">
        <f t="shared" si="78"/>
        <v>2024</v>
      </c>
      <c r="O1235" s="4">
        <f t="shared" si="79"/>
        <v>2</v>
      </c>
    </row>
    <row r="1236" spans="1:15" x14ac:dyDescent="0.25">
      <c r="A1236" t="s">
        <v>2511</v>
      </c>
      <c r="B1236" s="2">
        <v>45733</v>
      </c>
      <c r="C1236" t="s">
        <v>60</v>
      </c>
      <c r="D1236" t="s">
        <v>61</v>
      </c>
      <c r="E1236">
        <v>0</v>
      </c>
      <c r="F1236">
        <v>1312.61</v>
      </c>
      <c r="G1236" t="s">
        <v>13</v>
      </c>
      <c r="H1236" t="s">
        <v>51</v>
      </c>
      <c r="I1236" t="s">
        <v>2512</v>
      </c>
      <c r="J1236" t="s">
        <v>64</v>
      </c>
      <c r="K1236" s="4">
        <f>VLOOKUP(J1236,Exchange_Rates!A:B,2,FALSE)</f>
        <v>0.73</v>
      </c>
      <c r="L1236" s="4">
        <f t="shared" si="76"/>
        <v>0</v>
      </c>
      <c r="M1236" s="4">
        <f t="shared" si="77"/>
        <v>958.20529999999985</v>
      </c>
      <c r="N1236" s="4">
        <f t="shared" si="78"/>
        <v>2025</v>
      </c>
      <c r="O1236" s="4">
        <f t="shared" si="79"/>
        <v>1</v>
      </c>
    </row>
    <row r="1237" spans="1:15" x14ac:dyDescent="0.25">
      <c r="A1237" t="s">
        <v>2513</v>
      </c>
      <c r="B1237" s="2">
        <v>45317</v>
      </c>
      <c r="C1237" t="s">
        <v>30</v>
      </c>
      <c r="D1237" t="s">
        <v>31</v>
      </c>
      <c r="E1237">
        <v>1101.82</v>
      </c>
      <c r="F1237">
        <v>0</v>
      </c>
      <c r="G1237" t="s">
        <v>9</v>
      </c>
      <c r="H1237" t="s">
        <v>34</v>
      </c>
      <c r="I1237" t="s">
        <v>2514</v>
      </c>
      <c r="J1237" t="s">
        <v>28</v>
      </c>
      <c r="K1237" s="4">
        <f>VLOOKUP(J1237,Exchange_Rates!A:B,2,FALSE)</f>
        <v>1.27</v>
      </c>
      <c r="L1237" s="4">
        <f t="shared" si="76"/>
        <v>1399.3114</v>
      </c>
      <c r="M1237" s="4">
        <f t="shared" si="77"/>
        <v>0</v>
      </c>
      <c r="N1237" s="4">
        <f t="shared" si="78"/>
        <v>2024</v>
      </c>
      <c r="O1237" s="4">
        <f t="shared" si="79"/>
        <v>1</v>
      </c>
    </row>
    <row r="1238" spans="1:15" x14ac:dyDescent="0.25">
      <c r="A1238" t="s">
        <v>2515</v>
      </c>
      <c r="B1238" s="2">
        <v>45458</v>
      </c>
      <c r="C1238" t="s">
        <v>24</v>
      </c>
      <c r="D1238" t="s">
        <v>25</v>
      </c>
      <c r="E1238">
        <v>0</v>
      </c>
      <c r="F1238">
        <v>143.81</v>
      </c>
      <c r="G1238" t="s">
        <v>13</v>
      </c>
      <c r="H1238" t="s">
        <v>40</v>
      </c>
      <c r="I1238" t="s">
        <v>2516</v>
      </c>
      <c r="J1238" t="s">
        <v>64</v>
      </c>
      <c r="K1238" s="4">
        <f>VLOOKUP(J1238,Exchange_Rates!A:B,2,FALSE)</f>
        <v>0.73</v>
      </c>
      <c r="L1238" s="4">
        <f t="shared" si="76"/>
        <v>0</v>
      </c>
      <c r="M1238" s="4">
        <f t="shared" si="77"/>
        <v>104.9813</v>
      </c>
      <c r="N1238" s="4">
        <f t="shared" si="78"/>
        <v>2024</v>
      </c>
      <c r="O1238" s="4">
        <f t="shared" si="79"/>
        <v>2</v>
      </c>
    </row>
    <row r="1239" spans="1:15" x14ac:dyDescent="0.25">
      <c r="A1239" t="s">
        <v>2517</v>
      </c>
      <c r="B1239" s="2">
        <v>45610</v>
      </c>
      <c r="C1239" t="s">
        <v>24</v>
      </c>
      <c r="D1239" t="s">
        <v>25</v>
      </c>
      <c r="E1239">
        <v>0</v>
      </c>
      <c r="F1239">
        <v>838.04</v>
      </c>
      <c r="G1239" t="s">
        <v>9</v>
      </c>
      <c r="H1239" t="s">
        <v>26</v>
      </c>
      <c r="I1239" t="s">
        <v>2518</v>
      </c>
      <c r="J1239" t="s">
        <v>42</v>
      </c>
      <c r="K1239" s="4">
        <f>VLOOKUP(J1239,Exchange_Rates!A:B,2,FALSE)</f>
        <v>0.66</v>
      </c>
      <c r="L1239" s="4">
        <f t="shared" si="76"/>
        <v>0</v>
      </c>
      <c r="M1239" s="4">
        <f t="shared" si="77"/>
        <v>553.10640000000001</v>
      </c>
      <c r="N1239" s="4">
        <f t="shared" si="78"/>
        <v>2024</v>
      </c>
      <c r="O1239" s="4">
        <f t="shared" si="79"/>
        <v>4</v>
      </c>
    </row>
    <row r="1240" spans="1:15" x14ac:dyDescent="0.25">
      <c r="A1240" t="s">
        <v>2519</v>
      </c>
      <c r="B1240" s="2">
        <v>45356</v>
      </c>
      <c r="C1240" t="s">
        <v>38</v>
      </c>
      <c r="D1240" t="s">
        <v>39</v>
      </c>
      <c r="E1240">
        <v>1626.01</v>
      </c>
      <c r="F1240">
        <v>0</v>
      </c>
      <c r="G1240" t="s">
        <v>10</v>
      </c>
      <c r="H1240" t="s">
        <v>62</v>
      </c>
      <c r="I1240" t="s">
        <v>2520</v>
      </c>
      <c r="J1240" t="s">
        <v>64</v>
      </c>
      <c r="K1240" s="4">
        <f>VLOOKUP(J1240,Exchange_Rates!A:B,2,FALSE)</f>
        <v>0.73</v>
      </c>
      <c r="L1240" s="4">
        <f t="shared" si="76"/>
        <v>1186.9873</v>
      </c>
      <c r="M1240" s="4">
        <f t="shared" si="77"/>
        <v>0</v>
      </c>
      <c r="N1240" s="4">
        <f t="shared" si="78"/>
        <v>2024</v>
      </c>
      <c r="O1240" s="4">
        <f t="shared" si="79"/>
        <v>1</v>
      </c>
    </row>
    <row r="1241" spans="1:15" x14ac:dyDescent="0.25">
      <c r="A1241" t="s">
        <v>2521</v>
      </c>
      <c r="B1241" s="2">
        <v>45197</v>
      </c>
      <c r="C1241" t="s">
        <v>30</v>
      </c>
      <c r="D1241" t="s">
        <v>31</v>
      </c>
      <c r="E1241">
        <v>1394.34</v>
      </c>
      <c r="F1241">
        <v>0</v>
      </c>
      <c r="G1241" t="s">
        <v>10</v>
      </c>
      <c r="H1241" t="s">
        <v>51</v>
      </c>
      <c r="I1241" t="s">
        <v>2522</v>
      </c>
      <c r="J1241" t="s">
        <v>36</v>
      </c>
      <c r="K1241" s="4">
        <f>VLOOKUP(J1241,Exchange_Rates!A:B,2,FALSE)</f>
        <v>1.08</v>
      </c>
      <c r="L1241" s="4">
        <f t="shared" si="76"/>
        <v>1505.8872000000001</v>
      </c>
      <c r="M1241" s="4">
        <f t="shared" si="77"/>
        <v>0</v>
      </c>
      <c r="N1241" s="4">
        <f t="shared" si="78"/>
        <v>2023</v>
      </c>
      <c r="O1241" s="4">
        <f t="shared" si="79"/>
        <v>3</v>
      </c>
    </row>
    <row r="1242" spans="1:15" x14ac:dyDescent="0.25">
      <c r="A1242" t="s">
        <v>2523</v>
      </c>
      <c r="B1242" s="2">
        <v>45789</v>
      </c>
      <c r="C1242" t="s">
        <v>60</v>
      </c>
      <c r="D1242" t="s">
        <v>61</v>
      </c>
      <c r="E1242">
        <v>0</v>
      </c>
      <c r="F1242">
        <v>1022.63</v>
      </c>
      <c r="G1242" t="s">
        <v>11</v>
      </c>
      <c r="H1242" t="s">
        <v>62</v>
      </c>
      <c r="I1242" t="s">
        <v>2524</v>
      </c>
      <c r="J1242" t="s">
        <v>64</v>
      </c>
      <c r="K1242" s="4">
        <f>VLOOKUP(J1242,Exchange_Rates!A:B,2,FALSE)</f>
        <v>0.73</v>
      </c>
      <c r="L1242" s="4">
        <f t="shared" si="76"/>
        <v>0</v>
      </c>
      <c r="M1242" s="4">
        <f t="shared" si="77"/>
        <v>746.51990000000001</v>
      </c>
      <c r="N1242" s="4">
        <f t="shared" si="78"/>
        <v>2025</v>
      </c>
      <c r="O1242" s="4">
        <f t="shared" si="79"/>
        <v>2</v>
      </c>
    </row>
    <row r="1243" spans="1:15" x14ac:dyDescent="0.25">
      <c r="A1243" t="s">
        <v>2525</v>
      </c>
      <c r="B1243" s="2">
        <v>45031</v>
      </c>
      <c r="C1243" t="s">
        <v>49</v>
      </c>
      <c r="D1243" t="s">
        <v>50</v>
      </c>
      <c r="E1243">
        <v>1757.53</v>
      </c>
      <c r="F1243">
        <v>0</v>
      </c>
      <c r="G1243" t="s">
        <v>13</v>
      </c>
      <c r="H1243" t="s">
        <v>62</v>
      </c>
      <c r="I1243" t="s">
        <v>2526</v>
      </c>
      <c r="J1243" t="s">
        <v>28</v>
      </c>
      <c r="K1243" s="4">
        <f>VLOOKUP(J1243,Exchange_Rates!A:B,2,FALSE)</f>
        <v>1.27</v>
      </c>
      <c r="L1243" s="4">
        <f t="shared" si="76"/>
        <v>2232.0630999999998</v>
      </c>
      <c r="M1243" s="4">
        <f t="shared" si="77"/>
        <v>0</v>
      </c>
      <c r="N1243" s="4">
        <f t="shared" si="78"/>
        <v>2023</v>
      </c>
      <c r="O1243" s="4">
        <f t="shared" si="79"/>
        <v>2</v>
      </c>
    </row>
    <row r="1244" spans="1:15" x14ac:dyDescent="0.25">
      <c r="A1244" t="s">
        <v>2527</v>
      </c>
      <c r="B1244" s="2">
        <v>45797</v>
      </c>
      <c r="C1244" t="s">
        <v>24</v>
      </c>
      <c r="D1244" t="s">
        <v>25</v>
      </c>
      <c r="E1244">
        <v>0</v>
      </c>
      <c r="F1244">
        <v>1866.82</v>
      </c>
      <c r="G1244" t="s">
        <v>10</v>
      </c>
      <c r="H1244" t="s">
        <v>26</v>
      </c>
      <c r="I1244" t="s">
        <v>2528</v>
      </c>
      <c r="J1244" t="s">
        <v>42</v>
      </c>
      <c r="K1244" s="4">
        <f>VLOOKUP(J1244,Exchange_Rates!A:B,2,FALSE)</f>
        <v>0.66</v>
      </c>
      <c r="L1244" s="4">
        <f t="shared" si="76"/>
        <v>0</v>
      </c>
      <c r="M1244" s="4">
        <f t="shared" si="77"/>
        <v>1232.1012000000001</v>
      </c>
      <c r="N1244" s="4">
        <f t="shared" si="78"/>
        <v>2025</v>
      </c>
      <c r="O1244" s="4">
        <f t="shared" si="79"/>
        <v>2</v>
      </c>
    </row>
    <row r="1245" spans="1:15" x14ac:dyDescent="0.25">
      <c r="A1245" t="s">
        <v>2529</v>
      </c>
      <c r="B1245" s="2">
        <v>45767</v>
      </c>
      <c r="C1245" t="s">
        <v>38</v>
      </c>
      <c r="D1245" t="s">
        <v>39</v>
      </c>
      <c r="E1245">
        <v>1791.42</v>
      </c>
      <c r="F1245">
        <v>0</v>
      </c>
      <c r="G1245" t="s">
        <v>12</v>
      </c>
      <c r="H1245" t="s">
        <v>62</v>
      </c>
      <c r="I1245" t="s">
        <v>2530</v>
      </c>
      <c r="J1245" t="s">
        <v>36</v>
      </c>
      <c r="K1245" s="4">
        <f>VLOOKUP(J1245,Exchange_Rates!A:B,2,FALSE)</f>
        <v>1.08</v>
      </c>
      <c r="L1245" s="4">
        <f t="shared" si="76"/>
        <v>1934.7336000000003</v>
      </c>
      <c r="M1245" s="4">
        <f t="shared" si="77"/>
        <v>0</v>
      </c>
      <c r="N1245" s="4">
        <f t="shared" si="78"/>
        <v>2025</v>
      </c>
      <c r="O1245" s="4">
        <f t="shared" si="79"/>
        <v>2</v>
      </c>
    </row>
    <row r="1246" spans="1:15" x14ac:dyDescent="0.25">
      <c r="A1246" t="s">
        <v>2531</v>
      </c>
      <c r="B1246" s="2">
        <v>45476</v>
      </c>
      <c r="C1246" t="s">
        <v>38</v>
      </c>
      <c r="D1246" t="s">
        <v>39</v>
      </c>
      <c r="E1246">
        <v>1809.92</v>
      </c>
      <c r="F1246">
        <v>0</v>
      </c>
      <c r="G1246" t="s">
        <v>9</v>
      </c>
      <c r="H1246" t="s">
        <v>62</v>
      </c>
      <c r="I1246" t="s">
        <v>2532</v>
      </c>
      <c r="J1246" t="s">
        <v>36</v>
      </c>
      <c r="K1246" s="4">
        <f>VLOOKUP(J1246,Exchange_Rates!A:B,2,FALSE)</f>
        <v>1.08</v>
      </c>
      <c r="L1246" s="4">
        <f t="shared" si="76"/>
        <v>1954.7136000000003</v>
      </c>
      <c r="M1246" s="4">
        <f t="shared" si="77"/>
        <v>0</v>
      </c>
      <c r="N1246" s="4">
        <f t="shared" si="78"/>
        <v>2024</v>
      </c>
      <c r="O1246" s="4">
        <f t="shared" si="79"/>
        <v>3</v>
      </c>
    </row>
    <row r="1247" spans="1:15" x14ac:dyDescent="0.25">
      <c r="A1247" t="s">
        <v>2533</v>
      </c>
      <c r="B1247" s="2">
        <v>45802</v>
      </c>
      <c r="C1247" t="s">
        <v>60</v>
      </c>
      <c r="D1247" t="s">
        <v>61</v>
      </c>
      <c r="E1247">
        <v>0</v>
      </c>
      <c r="F1247">
        <v>212.06</v>
      </c>
      <c r="G1247" t="s">
        <v>11</v>
      </c>
      <c r="H1247" t="s">
        <v>26</v>
      </c>
      <c r="I1247" t="s">
        <v>2534</v>
      </c>
      <c r="J1247" t="s">
        <v>42</v>
      </c>
      <c r="K1247" s="4">
        <f>VLOOKUP(J1247,Exchange_Rates!A:B,2,FALSE)</f>
        <v>0.66</v>
      </c>
      <c r="L1247" s="4">
        <f t="shared" si="76"/>
        <v>0</v>
      </c>
      <c r="M1247" s="4">
        <f t="shared" si="77"/>
        <v>139.95959999999999</v>
      </c>
      <c r="N1247" s="4">
        <f t="shared" si="78"/>
        <v>2025</v>
      </c>
      <c r="O1247" s="4">
        <f t="shared" si="79"/>
        <v>2</v>
      </c>
    </row>
    <row r="1248" spans="1:15" x14ac:dyDescent="0.25">
      <c r="A1248" t="s">
        <v>2535</v>
      </c>
      <c r="B1248" s="2">
        <v>45281</v>
      </c>
      <c r="C1248" t="s">
        <v>38</v>
      </c>
      <c r="D1248" t="s">
        <v>39</v>
      </c>
      <c r="E1248">
        <v>227.05</v>
      </c>
      <c r="F1248">
        <v>0</v>
      </c>
      <c r="G1248" t="s">
        <v>9</v>
      </c>
      <c r="H1248" t="s">
        <v>51</v>
      </c>
      <c r="I1248" t="s">
        <v>2536</v>
      </c>
      <c r="J1248" t="s">
        <v>42</v>
      </c>
      <c r="K1248" s="4">
        <f>VLOOKUP(J1248,Exchange_Rates!A:B,2,FALSE)</f>
        <v>0.66</v>
      </c>
      <c r="L1248" s="4">
        <f t="shared" si="76"/>
        <v>149.85300000000001</v>
      </c>
      <c r="M1248" s="4">
        <f t="shared" si="77"/>
        <v>0</v>
      </c>
      <c r="N1248" s="4">
        <f t="shared" si="78"/>
        <v>2023</v>
      </c>
      <c r="O1248" s="4">
        <f t="shared" si="79"/>
        <v>4</v>
      </c>
    </row>
    <row r="1249" spans="1:15" x14ac:dyDescent="0.25">
      <c r="A1249" t="s">
        <v>2537</v>
      </c>
      <c r="B1249" s="2">
        <v>45424</v>
      </c>
      <c r="C1249" t="s">
        <v>24</v>
      </c>
      <c r="D1249" t="s">
        <v>25</v>
      </c>
      <c r="E1249">
        <v>0</v>
      </c>
      <c r="F1249">
        <v>3603.35</v>
      </c>
      <c r="G1249" t="s">
        <v>11</v>
      </c>
      <c r="H1249" t="s">
        <v>40</v>
      </c>
      <c r="I1249" t="s">
        <v>2538</v>
      </c>
      <c r="J1249" t="s">
        <v>28</v>
      </c>
      <c r="K1249" s="4">
        <f>VLOOKUP(J1249,Exchange_Rates!A:B,2,FALSE)</f>
        <v>1.27</v>
      </c>
      <c r="L1249" s="4">
        <f t="shared" si="76"/>
        <v>0</v>
      </c>
      <c r="M1249" s="4">
        <f t="shared" si="77"/>
        <v>4576.2545</v>
      </c>
      <c r="N1249" s="4">
        <f t="shared" si="78"/>
        <v>2024</v>
      </c>
      <c r="O1249" s="4">
        <f t="shared" si="79"/>
        <v>2</v>
      </c>
    </row>
    <row r="1250" spans="1:15" x14ac:dyDescent="0.25">
      <c r="A1250" t="s">
        <v>2539</v>
      </c>
      <c r="B1250" s="2">
        <v>45411</v>
      </c>
      <c r="C1250" t="s">
        <v>30</v>
      </c>
      <c r="D1250" t="s">
        <v>31</v>
      </c>
      <c r="E1250">
        <v>185.67</v>
      </c>
      <c r="F1250">
        <v>0</v>
      </c>
      <c r="G1250" t="s">
        <v>8</v>
      </c>
      <c r="H1250" t="s">
        <v>34</v>
      </c>
      <c r="I1250" t="s">
        <v>2540</v>
      </c>
      <c r="J1250" t="s">
        <v>36</v>
      </c>
      <c r="K1250" s="4">
        <f>VLOOKUP(J1250,Exchange_Rates!A:B,2,FALSE)</f>
        <v>1.08</v>
      </c>
      <c r="L1250" s="4">
        <f t="shared" si="76"/>
        <v>200.52359999999999</v>
      </c>
      <c r="M1250" s="4">
        <f t="shared" si="77"/>
        <v>0</v>
      </c>
      <c r="N1250" s="4">
        <f t="shared" si="78"/>
        <v>2024</v>
      </c>
      <c r="O1250" s="4">
        <f t="shared" si="79"/>
        <v>2</v>
      </c>
    </row>
    <row r="1251" spans="1:15" x14ac:dyDescent="0.25">
      <c r="A1251" t="s">
        <v>2541</v>
      </c>
      <c r="B1251" s="2">
        <v>45449</v>
      </c>
      <c r="C1251" t="s">
        <v>60</v>
      </c>
      <c r="D1251" t="s">
        <v>61</v>
      </c>
      <c r="E1251">
        <v>0</v>
      </c>
      <c r="F1251">
        <v>4699.12</v>
      </c>
      <c r="G1251" t="s">
        <v>12</v>
      </c>
      <c r="H1251" t="s">
        <v>51</v>
      </c>
      <c r="I1251" t="s">
        <v>2542</v>
      </c>
      <c r="J1251" t="s">
        <v>36</v>
      </c>
      <c r="K1251" s="4">
        <f>VLOOKUP(J1251,Exchange_Rates!A:B,2,FALSE)</f>
        <v>1.08</v>
      </c>
      <c r="L1251" s="4">
        <f t="shared" si="76"/>
        <v>0</v>
      </c>
      <c r="M1251" s="4">
        <f t="shared" si="77"/>
        <v>5075.0496000000003</v>
      </c>
      <c r="N1251" s="4">
        <f t="shared" si="78"/>
        <v>2024</v>
      </c>
      <c r="O1251" s="4">
        <f t="shared" si="79"/>
        <v>2</v>
      </c>
    </row>
    <row r="1252" spans="1:15" x14ac:dyDescent="0.25">
      <c r="A1252" t="s">
        <v>2543</v>
      </c>
      <c r="B1252" s="2">
        <v>45412</v>
      </c>
      <c r="C1252" t="s">
        <v>49</v>
      </c>
      <c r="D1252" t="s">
        <v>50</v>
      </c>
      <c r="E1252">
        <v>1352.97</v>
      </c>
      <c r="F1252">
        <v>0</v>
      </c>
      <c r="G1252" t="s">
        <v>12</v>
      </c>
      <c r="H1252" t="s">
        <v>26</v>
      </c>
      <c r="I1252" t="s">
        <v>2544</v>
      </c>
      <c r="J1252" t="s">
        <v>64</v>
      </c>
      <c r="K1252" s="4">
        <f>VLOOKUP(J1252,Exchange_Rates!A:B,2,FALSE)</f>
        <v>0.73</v>
      </c>
      <c r="L1252" s="4">
        <f t="shared" si="76"/>
        <v>987.66809999999998</v>
      </c>
      <c r="M1252" s="4">
        <f t="shared" si="77"/>
        <v>0</v>
      </c>
      <c r="N1252" s="4">
        <f t="shared" si="78"/>
        <v>2024</v>
      </c>
      <c r="O1252" s="4">
        <f t="shared" si="79"/>
        <v>2</v>
      </c>
    </row>
    <row r="1253" spans="1:15" x14ac:dyDescent="0.25">
      <c r="A1253" t="s">
        <v>2545</v>
      </c>
      <c r="B1253" s="2">
        <v>45598</v>
      </c>
      <c r="C1253" t="s">
        <v>30</v>
      </c>
      <c r="D1253" t="s">
        <v>31</v>
      </c>
      <c r="E1253">
        <v>936.7</v>
      </c>
      <c r="F1253">
        <v>0</v>
      </c>
      <c r="G1253" t="s">
        <v>8</v>
      </c>
      <c r="H1253" t="s">
        <v>62</v>
      </c>
      <c r="I1253" t="s">
        <v>2546</v>
      </c>
      <c r="J1253" t="s">
        <v>64</v>
      </c>
      <c r="K1253" s="4">
        <f>VLOOKUP(J1253,Exchange_Rates!A:B,2,FALSE)</f>
        <v>0.73</v>
      </c>
      <c r="L1253" s="4">
        <f t="shared" si="76"/>
        <v>683.79100000000005</v>
      </c>
      <c r="M1253" s="4">
        <f t="shared" si="77"/>
        <v>0</v>
      </c>
      <c r="N1253" s="4">
        <f t="shared" si="78"/>
        <v>2024</v>
      </c>
      <c r="O1253" s="4">
        <f t="shared" si="79"/>
        <v>4</v>
      </c>
    </row>
    <row r="1254" spans="1:15" x14ac:dyDescent="0.25">
      <c r="A1254" t="s">
        <v>2547</v>
      </c>
      <c r="B1254" s="2">
        <v>45483</v>
      </c>
      <c r="C1254" t="s">
        <v>24</v>
      </c>
      <c r="D1254" t="s">
        <v>25</v>
      </c>
      <c r="E1254">
        <v>0</v>
      </c>
      <c r="F1254">
        <v>3050.31</v>
      </c>
      <c r="G1254" t="s">
        <v>8</v>
      </c>
      <c r="H1254" t="s">
        <v>40</v>
      </c>
      <c r="I1254" t="s">
        <v>2548</v>
      </c>
      <c r="J1254" t="s">
        <v>42</v>
      </c>
      <c r="K1254" s="4">
        <f>VLOOKUP(J1254,Exchange_Rates!A:B,2,FALSE)</f>
        <v>0.66</v>
      </c>
      <c r="L1254" s="4">
        <f t="shared" si="76"/>
        <v>0</v>
      </c>
      <c r="M1254" s="4">
        <f t="shared" si="77"/>
        <v>2013.2046</v>
      </c>
      <c r="N1254" s="4">
        <f t="shared" si="78"/>
        <v>2024</v>
      </c>
      <c r="O1254" s="4">
        <f t="shared" si="79"/>
        <v>3</v>
      </c>
    </row>
    <row r="1255" spans="1:15" x14ac:dyDescent="0.25">
      <c r="A1255" t="s">
        <v>2549</v>
      </c>
      <c r="B1255" s="2">
        <v>45395</v>
      </c>
      <c r="C1255" t="s">
        <v>38</v>
      </c>
      <c r="D1255" t="s">
        <v>39</v>
      </c>
      <c r="E1255">
        <v>574.09</v>
      </c>
      <c r="F1255">
        <v>0</v>
      </c>
      <c r="G1255" t="s">
        <v>12</v>
      </c>
      <c r="H1255" t="s">
        <v>51</v>
      </c>
      <c r="I1255" t="s">
        <v>2550</v>
      </c>
      <c r="J1255" t="s">
        <v>36</v>
      </c>
      <c r="K1255" s="4">
        <f>VLOOKUP(J1255,Exchange_Rates!A:B,2,FALSE)</f>
        <v>1.08</v>
      </c>
      <c r="L1255" s="4">
        <f t="shared" si="76"/>
        <v>620.01720000000012</v>
      </c>
      <c r="M1255" s="4">
        <f t="shared" si="77"/>
        <v>0</v>
      </c>
      <c r="N1255" s="4">
        <f t="shared" si="78"/>
        <v>2024</v>
      </c>
      <c r="O1255" s="4">
        <f t="shared" si="79"/>
        <v>2</v>
      </c>
    </row>
    <row r="1256" spans="1:15" x14ac:dyDescent="0.25">
      <c r="A1256" t="s">
        <v>2551</v>
      </c>
      <c r="B1256" s="2">
        <v>45096</v>
      </c>
      <c r="C1256" t="s">
        <v>24</v>
      </c>
      <c r="D1256" t="s">
        <v>25</v>
      </c>
      <c r="E1256">
        <v>0</v>
      </c>
      <c r="F1256">
        <v>3214.18</v>
      </c>
      <c r="G1256" t="s">
        <v>8</v>
      </c>
      <c r="H1256" t="s">
        <v>62</v>
      </c>
      <c r="I1256" t="s">
        <v>2552</v>
      </c>
      <c r="J1256" t="s">
        <v>28</v>
      </c>
      <c r="K1256" s="4">
        <f>VLOOKUP(J1256,Exchange_Rates!A:B,2,FALSE)</f>
        <v>1.27</v>
      </c>
      <c r="L1256" s="4">
        <f t="shared" si="76"/>
        <v>0</v>
      </c>
      <c r="M1256" s="4">
        <f t="shared" si="77"/>
        <v>4082.0085999999997</v>
      </c>
      <c r="N1256" s="4">
        <f t="shared" si="78"/>
        <v>2023</v>
      </c>
      <c r="O1256" s="4">
        <f t="shared" si="79"/>
        <v>2</v>
      </c>
    </row>
    <row r="1257" spans="1:15" x14ac:dyDescent="0.25">
      <c r="A1257" t="s">
        <v>2553</v>
      </c>
      <c r="B1257" s="2">
        <v>45054</v>
      </c>
      <c r="C1257" t="s">
        <v>49</v>
      </c>
      <c r="D1257" t="s">
        <v>50</v>
      </c>
      <c r="E1257">
        <v>1415.06</v>
      </c>
      <c r="F1257">
        <v>0</v>
      </c>
      <c r="G1257" t="s">
        <v>13</v>
      </c>
      <c r="H1257" t="s">
        <v>26</v>
      </c>
      <c r="I1257" t="s">
        <v>2554</v>
      </c>
      <c r="J1257" t="s">
        <v>42</v>
      </c>
      <c r="K1257" s="4">
        <f>VLOOKUP(J1257,Exchange_Rates!A:B,2,FALSE)</f>
        <v>0.66</v>
      </c>
      <c r="L1257" s="4">
        <f t="shared" si="76"/>
        <v>933.93960000000004</v>
      </c>
      <c r="M1257" s="4">
        <f t="shared" si="77"/>
        <v>0</v>
      </c>
      <c r="N1257" s="4">
        <f t="shared" si="78"/>
        <v>2023</v>
      </c>
      <c r="O1257" s="4">
        <f t="shared" si="79"/>
        <v>2</v>
      </c>
    </row>
    <row r="1258" spans="1:15" x14ac:dyDescent="0.25">
      <c r="A1258" t="s">
        <v>2555</v>
      </c>
      <c r="B1258" s="2">
        <v>45253</v>
      </c>
      <c r="C1258" t="s">
        <v>24</v>
      </c>
      <c r="D1258" t="s">
        <v>25</v>
      </c>
      <c r="E1258">
        <v>0</v>
      </c>
      <c r="F1258">
        <v>3142.85</v>
      </c>
      <c r="G1258" t="s">
        <v>12</v>
      </c>
      <c r="H1258" t="s">
        <v>62</v>
      </c>
      <c r="I1258" t="s">
        <v>2556</v>
      </c>
      <c r="J1258" t="s">
        <v>36</v>
      </c>
      <c r="K1258" s="4">
        <f>VLOOKUP(J1258,Exchange_Rates!A:B,2,FALSE)</f>
        <v>1.08</v>
      </c>
      <c r="L1258" s="4">
        <f t="shared" si="76"/>
        <v>0</v>
      </c>
      <c r="M1258" s="4">
        <f t="shared" si="77"/>
        <v>3394.2780000000002</v>
      </c>
      <c r="N1258" s="4">
        <f t="shared" si="78"/>
        <v>2023</v>
      </c>
      <c r="O1258" s="4">
        <f t="shared" si="79"/>
        <v>4</v>
      </c>
    </row>
    <row r="1259" spans="1:15" x14ac:dyDescent="0.25">
      <c r="A1259" t="s">
        <v>2557</v>
      </c>
      <c r="B1259" s="2">
        <v>45050</v>
      </c>
      <c r="C1259" t="s">
        <v>38</v>
      </c>
      <c r="D1259" t="s">
        <v>39</v>
      </c>
      <c r="E1259">
        <v>981.35</v>
      </c>
      <c r="F1259">
        <v>0</v>
      </c>
      <c r="G1259" t="s">
        <v>12</v>
      </c>
      <c r="H1259" t="s">
        <v>51</v>
      </c>
      <c r="I1259" t="s">
        <v>2558</v>
      </c>
      <c r="J1259" t="s">
        <v>64</v>
      </c>
      <c r="K1259" s="4">
        <f>VLOOKUP(J1259,Exchange_Rates!A:B,2,FALSE)</f>
        <v>0.73</v>
      </c>
      <c r="L1259" s="4">
        <f t="shared" si="76"/>
        <v>716.38549999999998</v>
      </c>
      <c r="M1259" s="4">
        <f t="shared" si="77"/>
        <v>0</v>
      </c>
      <c r="N1259" s="4">
        <f t="shared" si="78"/>
        <v>2023</v>
      </c>
      <c r="O1259" s="4">
        <f t="shared" si="79"/>
        <v>2</v>
      </c>
    </row>
    <row r="1260" spans="1:15" x14ac:dyDescent="0.25">
      <c r="A1260" t="s">
        <v>2559</v>
      </c>
      <c r="B1260" s="2">
        <v>45781</v>
      </c>
      <c r="C1260" t="s">
        <v>24</v>
      </c>
      <c r="D1260" t="s">
        <v>25</v>
      </c>
      <c r="E1260">
        <v>0</v>
      </c>
      <c r="F1260">
        <v>2967.52</v>
      </c>
      <c r="G1260" t="s">
        <v>11</v>
      </c>
      <c r="H1260" t="s">
        <v>51</v>
      </c>
      <c r="I1260" t="s">
        <v>2560</v>
      </c>
      <c r="J1260" t="s">
        <v>42</v>
      </c>
      <c r="K1260" s="4">
        <f>VLOOKUP(J1260,Exchange_Rates!A:B,2,FALSE)</f>
        <v>0.66</v>
      </c>
      <c r="L1260" s="4">
        <f t="shared" si="76"/>
        <v>0</v>
      </c>
      <c r="M1260" s="4">
        <f t="shared" si="77"/>
        <v>1958.5632000000001</v>
      </c>
      <c r="N1260" s="4">
        <f t="shared" si="78"/>
        <v>2025</v>
      </c>
      <c r="O1260" s="4">
        <f t="shared" si="79"/>
        <v>2</v>
      </c>
    </row>
    <row r="1261" spans="1:15" x14ac:dyDescent="0.25">
      <c r="A1261" t="s">
        <v>2561</v>
      </c>
      <c r="B1261" s="2">
        <v>45745</v>
      </c>
      <c r="C1261" t="s">
        <v>24</v>
      </c>
      <c r="D1261" t="s">
        <v>25</v>
      </c>
      <c r="E1261">
        <v>0</v>
      </c>
      <c r="F1261">
        <v>3250.84</v>
      </c>
      <c r="G1261" t="s">
        <v>13</v>
      </c>
      <c r="H1261" t="s">
        <v>26</v>
      </c>
      <c r="I1261" t="s">
        <v>2562</v>
      </c>
      <c r="J1261" t="s">
        <v>28</v>
      </c>
      <c r="K1261" s="4">
        <f>VLOOKUP(J1261,Exchange_Rates!A:B,2,FALSE)</f>
        <v>1.27</v>
      </c>
      <c r="L1261" s="4">
        <f t="shared" si="76"/>
        <v>0</v>
      </c>
      <c r="M1261" s="4">
        <f t="shared" si="77"/>
        <v>4128.5668000000005</v>
      </c>
      <c r="N1261" s="4">
        <f t="shared" si="78"/>
        <v>2025</v>
      </c>
      <c r="O1261" s="4">
        <f t="shared" si="79"/>
        <v>1</v>
      </c>
    </row>
    <row r="1262" spans="1:15" x14ac:dyDescent="0.25">
      <c r="A1262" t="s">
        <v>2563</v>
      </c>
      <c r="B1262" s="2">
        <v>45338</v>
      </c>
      <c r="C1262" t="s">
        <v>24</v>
      </c>
      <c r="D1262" t="s">
        <v>25</v>
      </c>
      <c r="E1262">
        <v>0</v>
      </c>
      <c r="F1262">
        <v>2026.45</v>
      </c>
      <c r="G1262" t="s">
        <v>11</v>
      </c>
      <c r="H1262" t="s">
        <v>40</v>
      </c>
      <c r="I1262" t="s">
        <v>2564</v>
      </c>
      <c r="J1262" t="s">
        <v>36</v>
      </c>
      <c r="K1262" s="4">
        <f>VLOOKUP(J1262,Exchange_Rates!A:B,2,FALSE)</f>
        <v>1.08</v>
      </c>
      <c r="L1262" s="4">
        <f t="shared" si="76"/>
        <v>0</v>
      </c>
      <c r="M1262" s="4">
        <f t="shared" si="77"/>
        <v>2188.5660000000003</v>
      </c>
      <c r="N1262" s="4">
        <f t="shared" si="78"/>
        <v>2024</v>
      </c>
      <c r="O1262" s="4">
        <f t="shared" si="79"/>
        <v>1</v>
      </c>
    </row>
    <row r="1263" spans="1:15" x14ac:dyDescent="0.25">
      <c r="A1263" t="s">
        <v>2565</v>
      </c>
      <c r="B1263" s="2">
        <v>44928</v>
      </c>
      <c r="C1263" t="s">
        <v>49</v>
      </c>
      <c r="D1263" t="s">
        <v>50</v>
      </c>
      <c r="E1263">
        <v>1199.5999999999999</v>
      </c>
      <c r="F1263">
        <v>0</v>
      </c>
      <c r="G1263" t="s">
        <v>10</v>
      </c>
      <c r="H1263" t="s">
        <v>40</v>
      </c>
      <c r="I1263" t="s">
        <v>2566</v>
      </c>
      <c r="J1263" t="s">
        <v>36</v>
      </c>
      <c r="K1263" s="4">
        <f>VLOOKUP(J1263,Exchange_Rates!A:B,2,FALSE)</f>
        <v>1.08</v>
      </c>
      <c r="L1263" s="4">
        <f t="shared" si="76"/>
        <v>1295.568</v>
      </c>
      <c r="M1263" s="4">
        <f t="shared" si="77"/>
        <v>0</v>
      </c>
      <c r="N1263" s="4">
        <f t="shared" si="78"/>
        <v>2023</v>
      </c>
      <c r="O1263" s="4">
        <f t="shared" si="79"/>
        <v>1</v>
      </c>
    </row>
    <row r="1264" spans="1:15" x14ac:dyDescent="0.25">
      <c r="A1264" t="s">
        <v>2567</v>
      </c>
      <c r="B1264" s="2">
        <v>44953</v>
      </c>
      <c r="C1264" t="s">
        <v>30</v>
      </c>
      <c r="D1264" t="s">
        <v>31</v>
      </c>
      <c r="E1264">
        <v>816.81</v>
      </c>
      <c r="F1264">
        <v>0</v>
      </c>
      <c r="G1264" t="s">
        <v>9</v>
      </c>
      <c r="H1264" t="s">
        <v>34</v>
      </c>
      <c r="I1264" t="s">
        <v>2568</v>
      </c>
      <c r="J1264" t="s">
        <v>36</v>
      </c>
      <c r="K1264" s="4">
        <f>VLOOKUP(J1264,Exchange_Rates!A:B,2,FALSE)</f>
        <v>1.08</v>
      </c>
      <c r="L1264" s="4">
        <f t="shared" si="76"/>
        <v>882.15480000000002</v>
      </c>
      <c r="M1264" s="4">
        <f t="shared" si="77"/>
        <v>0</v>
      </c>
      <c r="N1264" s="4">
        <f t="shared" si="78"/>
        <v>2023</v>
      </c>
      <c r="O1264" s="4">
        <f t="shared" si="79"/>
        <v>1</v>
      </c>
    </row>
    <row r="1265" spans="1:15" x14ac:dyDescent="0.25">
      <c r="A1265" t="s">
        <v>2569</v>
      </c>
      <c r="B1265" s="2">
        <v>45643</v>
      </c>
      <c r="C1265" t="s">
        <v>24</v>
      </c>
      <c r="D1265" t="s">
        <v>25</v>
      </c>
      <c r="E1265">
        <v>0</v>
      </c>
      <c r="F1265">
        <v>4074.11</v>
      </c>
      <c r="G1265" t="s">
        <v>9</v>
      </c>
      <c r="H1265" t="s">
        <v>40</v>
      </c>
      <c r="I1265" t="s">
        <v>2570</v>
      </c>
      <c r="J1265" t="s">
        <v>64</v>
      </c>
      <c r="K1265" s="4">
        <f>VLOOKUP(J1265,Exchange_Rates!A:B,2,FALSE)</f>
        <v>0.73</v>
      </c>
      <c r="L1265" s="4">
        <f t="shared" si="76"/>
        <v>0</v>
      </c>
      <c r="M1265" s="4">
        <f t="shared" si="77"/>
        <v>2974.1003000000001</v>
      </c>
      <c r="N1265" s="4">
        <f t="shared" si="78"/>
        <v>2024</v>
      </c>
      <c r="O1265" s="4">
        <f t="shared" si="79"/>
        <v>4</v>
      </c>
    </row>
    <row r="1266" spans="1:15" x14ac:dyDescent="0.25">
      <c r="A1266" t="s">
        <v>2571</v>
      </c>
      <c r="B1266" s="2">
        <v>45785</v>
      </c>
      <c r="C1266" t="s">
        <v>24</v>
      </c>
      <c r="D1266" t="s">
        <v>25</v>
      </c>
      <c r="E1266">
        <v>0</v>
      </c>
      <c r="F1266">
        <v>720.36</v>
      </c>
      <c r="G1266" t="s">
        <v>13</v>
      </c>
      <c r="H1266" t="s">
        <v>40</v>
      </c>
      <c r="I1266" t="s">
        <v>2572</v>
      </c>
      <c r="J1266" t="s">
        <v>64</v>
      </c>
      <c r="K1266" s="4">
        <f>VLOOKUP(J1266,Exchange_Rates!A:B,2,FALSE)</f>
        <v>0.73</v>
      </c>
      <c r="L1266" s="4">
        <f t="shared" si="76"/>
        <v>0</v>
      </c>
      <c r="M1266" s="4">
        <f t="shared" si="77"/>
        <v>525.86279999999999</v>
      </c>
      <c r="N1266" s="4">
        <f t="shared" si="78"/>
        <v>2025</v>
      </c>
      <c r="O1266" s="4">
        <f t="shared" si="79"/>
        <v>2</v>
      </c>
    </row>
    <row r="1267" spans="1:15" x14ac:dyDescent="0.25">
      <c r="A1267" t="s">
        <v>2573</v>
      </c>
      <c r="B1267" s="2">
        <v>45708</v>
      </c>
      <c r="C1267" t="s">
        <v>49</v>
      </c>
      <c r="D1267" t="s">
        <v>50</v>
      </c>
      <c r="E1267">
        <v>1279.52</v>
      </c>
      <c r="F1267">
        <v>0</v>
      </c>
      <c r="G1267" t="s">
        <v>10</v>
      </c>
      <c r="H1267" t="s">
        <v>40</v>
      </c>
      <c r="I1267" t="s">
        <v>2574</v>
      </c>
      <c r="J1267" t="s">
        <v>64</v>
      </c>
      <c r="K1267" s="4">
        <f>VLOOKUP(J1267,Exchange_Rates!A:B,2,FALSE)</f>
        <v>0.73</v>
      </c>
      <c r="L1267" s="4">
        <f t="shared" si="76"/>
        <v>934.04959999999994</v>
      </c>
      <c r="M1267" s="4">
        <f t="shared" si="77"/>
        <v>0</v>
      </c>
      <c r="N1267" s="4">
        <f t="shared" si="78"/>
        <v>2025</v>
      </c>
      <c r="O1267" s="4">
        <f t="shared" si="79"/>
        <v>1</v>
      </c>
    </row>
    <row r="1268" spans="1:15" x14ac:dyDescent="0.25">
      <c r="A1268" t="s">
        <v>2575</v>
      </c>
      <c r="B1268" s="2">
        <v>45492</v>
      </c>
      <c r="C1268" t="s">
        <v>30</v>
      </c>
      <c r="D1268" t="s">
        <v>31</v>
      </c>
      <c r="E1268">
        <v>1249.06</v>
      </c>
      <c r="F1268">
        <v>0</v>
      </c>
      <c r="G1268" t="s">
        <v>9</v>
      </c>
      <c r="H1268" t="s">
        <v>51</v>
      </c>
      <c r="I1268" t="s">
        <v>2576</v>
      </c>
      <c r="J1268" t="s">
        <v>64</v>
      </c>
      <c r="K1268" s="4">
        <f>VLOOKUP(J1268,Exchange_Rates!A:B,2,FALSE)</f>
        <v>0.73</v>
      </c>
      <c r="L1268" s="4">
        <f t="shared" si="76"/>
        <v>911.8137999999999</v>
      </c>
      <c r="M1268" s="4">
        <f t="shared" si="77"/>
        <v>0</v>
      </c>
      <c r="N1268" s="4">
        <f t="shared" si="78"/>
        <v>2024</v>
      </c>
      <c r="O1268" s="4">
        <f t="shared" si="79"/>
        <v>3</v>
      </c>
    </row>
    <row r="1269" spans="1:15" x14ac:dyDescent="0.25">
      <c r="A1269" t="s">
        <v>2577</v>
      </c>
      <c r="B1269" s="2">
        <v>45725</v>
      </c>
      <c r="C1269" t="s">
        <v>60</v>
      </c>
      <c r="D1269" t="s">
        <v>61</v>
      </c>
      <c r="E1269">
        <v>0</v>
      </c>
      <c r="F1269">
        <v>4456.47</v>
      </c>
      <c r="G1269" t="s">
        <v>11</v>
      </c>
      <c r="H1269" t="s">
        <v>40</v>
      </c>
      <c r="I1269" t="s">
        <v>2578</v>
      </c>
      <c r="J1269" t="s">
        <v>36</v>
      </c>
      <c r="K1269" s="4">
        <f>VLOOKUP(J1269,Exchange_Rates!A:B,2,FALSE)</f>
        <v>1.08</v>
      </c>
      <c r="L1269" s="4">
        <f t="shared" si="76"/>
        <v>0</v>
      </c>
      <c r="M1269" s="4">
        <f t="shared" si="77"/>
        <v>4812.9876000000004</v>
      </c>
      <c r="N1269" s="4">
        <f t="shared" si="78"/>
        <v>2025</v>
      </c>
      <c r="O1269" s="4">
        <f t="shared" si="79"/>
        <v>1</v>
      </c>
    </row>
    <row r="1270" spans="1:15" x14ac:dyDescent="0.25">
      <c r="A1270" t="s">
        <v>2579</v>
      </c>
      <c r="B1270" s="2">
        <v>45813</v>
      </c>
      <c r="C1270" t="s">
        <v>24</v>
      </c>
      <c r="D1270" t="s">
        <v>25</v>
      </c>
      <c r="E1270">
        <v>0</v>
      </c>
      <c r="F1270">
        <v>3830.15</v>
      </c>
      <c r="G1270" t="s">
        <v>11</v>
      </c>
      <c r="H1270" t="s">
        <v>34</v>
      </c>
      <c r="I1270" t="s">
        <v>2580</v>
      </c>
      <c r="J1270" t="s">
        <v>28</v>
      </c>
      <c r="K1270" s="4">
        <f>VLOOKUP(J1270,Exchange_Rates!A:B,2,FALSE)</f>
        <v>1.27</v>
      </c>
      <c r="L1270" s="4">
        <f t="shared" si="76"/>
        <v>0</v>
      </c>
      <c r="M1270" s="4">
        <f t="shared" si="77"/>
        <v>4864.2905000000001</v>
      </c>
      <c r="N1270" s="4">
        <f t="shared" si="78"/>
        <v>2025</v>
      </c>
      <c r="O1270" s="4">
        <f t="shared" si="79"/>
        <v>2</v>
      </c>
    </row>
    <row r="1271" spans="1:15" x14ac:dyDescent="0.25">
      <c r="A1271" t="s">
        <v>2581</v>
      </c>
      <c r="B1271" s="2">
        <v>45147</v>
      </c>
      <c r="C1271" t="s">
        <v>60</v>
      </c>
      <c r="D1271" t="s">
        <v>61</v>
      </c>
      <c r="E1271">
        <v>0</v>
      </c>
      <c r="F1271">
        <v>4835.12</v>
      </c>
      <c r="G1271" t="s">
        <v>13</v>
      </c>
      <c r="H1271" t="s">
        <v>40</v>
      </c>
      <c r="I1271" t="s">
        <v>2582</v>
      </c>
      <c r="J1271" t="s">
        <v>42</v>
      </c>
      <c r="K1271" s="4">
        <f>VLOOKUP(J1271,Exchange_Rates!A:B,2,FALSE)</f>
        <v>0.66</v>
      </c>
      <c r="L1271" s="4">
        <f t="shared" si="76"/>
        <v>0</v>
      </c>
      <c r="M1271" s="4">
        <f t="shared" si="77"/>
        <v>3191.1792</v>
      </c>
      <c r="N1271" s="4">
        <f t="shared" si="78"/>
        <v>2023</v>
      </c>
      <c r="O1271" s="4">
        <f t="shared" si="79"/>
        <v>3</v>
      </c>
    </row>
    <row r="1272" spans="1:15" x14ac:dyDescent="0.25">
      <c r="A1272" t="s">
        <v>2583</v>
      </c>
      <c r="B1272" s="2">
        <v>45517</v>
      </c>
      <c r="C1272" t="s">
        <v>30</v>
      </c>
      <c r="D1272" t="s">
        <v>31</v>
      </c>
      <c r="E1272">
        <v>1165.1300000000001</v>
      </c>
      <c r="F1272">
        <v>0</v>
      </c>
      <c r="G1272" t="s">
        <v>10</v>
      </c>
      <c r="H1272" t="s">
        <v>34</v>
      </c>
      <c r="I1272" t="s">
        <v>2584</v>
      </c>
      <c r="J1272" t="s">
        <v>42</v>
      </c>
      <c r="K1272" s="4">
        <f>VLOOKUP(J1272,Exchange_Rates!A:B,2,FALSE)</f>
        <v>0.66</v>
      </c>
      <c r="L1272" s="4">
        <f t="shared" si="76"/>
        <v>768.98580000000015</v>
      </c>
      <c r="M1272" s="4">
        <f t="shared" si="77"/>
        <v>0</v>
      </c>
      <c r="N1272" s="4">
        <f t="shared" si="78"/>
        <v>2024</v>
      </c>
      <c r="O1272" s="4">
        <f t="shared" si="79"/>
        <v>3</v>
      </c>
    </row>
    <row r="1273" spans="1:15" x14ac:dyDescent="0.25">
      <c r="A1273" t="s">
        <v>2585</v>
      </c>
      <c r="B1273" s="2">
        <v>45547</v>
      </c>
      <c r="C1273" t="s">
        <v>24</v>
      </c>
      <c r="D1273" t="s">
        <v>25</v>
      </c>
      <c r="E1273">
        <v>0</v>
      </c>
      <c r="F1273">
        <v>112.08</v>
      </c>
      <c r="G1273" t="s">
        <v>9</v>
      </c>
      <c r="H1273" t="s">
        <v>62</v>
      </c>
      <c r="I1273" t="s">
        <v>2586</v>
      </c>
      <c r="J1273" t="s">
        <v>45</v>
      </c>
      <c r="K1273" s="4">
        <f>VLOOKUP(J1273,Exchange_Rates!A:B,2,FALSE)</f>
        <v>1</v>
      </c>
      <c r="L1273" s="4">
        <f t="shared" si="76"/>
        <v>0</v>
      </c>
      <c r="M1273" s="4">
        <f t="shared" si="77"/>
        <v>112.08</v>
      </c>
      <c r="N1273" s="4">
        <f t="shared" si="78"/>
        <v>2024</v>
      </c>
      <c r="O1273" s="4">
        <f t="shared" si="79"/>
        <v>3</v>
      </c>
    </row>
    <row r="1274" spans="1:15" x14ac:dyDescent="0.25">
      <c r="A1274" t="s">
        <v>2587</v>
      </c>
      <c r="B1274" s="2">
        <v>45126</v>
      </c>
      <c r="C1274" t="s">
        <v>60</v>
      </c>
      <c r="D1274" t="s">
        <v>61</v>
      </c>
      <c r="E1274">
        <v>0</v>
      </c>
      <c r="F1274">
        <v>3589.18</v>
      </c>
      <c r="G1274" t="s">
        <v>8</v>
      </c>
      <c r="H1274" t="s">
        <v>34</v>
      </c>
      <c r="I1274" t="s">
        <v>2588</v>
      </c>
      <c r="J1274" t="s">
        <v>42</v>
      </c>
      <c r="K1274" s="4">
        <f>VLOOKUP(J1274,Exchange_Rates!A:B,2,FALSE)</f>
        <v>0.66</v>
      </c>
      <c r="L1274" s="4">
        <f t="shared" si="76"/>
        <v>0</v>
      </c>
      <c r="M1274" s="4">
        <f t="shared" si="77"/>
        <v>2368.8588</v>
      </c>
      <c r="N1274" s="4">
        <f t="shared" si="78"/>
        <v>2023</v>
      </c>
      <c r="O1274" s="4">
        <f t="shared" si="79"/>
        <v>3</v>
      </c>
    </row>
    <row r="1275" spans="1:15" x14ac:dyDescent="0.25">
      <c r="A1275" t="s">
        <v>2589</v>
      </c>
      <c r="B1275" s="2">
        <v>45784</v>
      </c>
      <c r="C1275" t="s">
        <v>24</v>
      </c>
      <c r="D1275" t="s">
        <v>25</v>
      </c>
      <c r="E1275">
        <v>0</v>
      </c>
      <c r="F1275">
        <v>1841.13</v>
      </c>
      <c r="G1275" t="s">
        <v>8</v>
      </c>
      <c r="H1275" t="s">
        <v>40</v>
      </c>
      <c r="I1275" t="s">
        <v>2590</v>
      </c>
      <c r="J1275" t="s">
        <v>64</v>
      </c>
      <c r="K1275" s="4">
        <f>VLOOKUP(J1275,Exchange_Rates!A:B,2,FALSE)</f>
        <v>0.73</v>
      </c>
      <c r="L1275" s="4">
        <f t="shared" si="76"/>
        <v>0</v>
      </c>
      <c r="M1275" s="4">
        <f t="shared" si="77"/>
        <v>1344.0249000000001</v>
      </c>
      <c r="N1275" s="4">
        <f t="shared" si="78"/>
        <v>2025</v>
      </c>
      <c r="O1275" s="4">
        <f t="shared" si="79"/>
        <v>2</v>
      </c>
    </row>
    <row r="1276" spans="1:15" x14ac:dyDescent="0.25">
      <c r="A1276" t="s">
        <v>2591</v>
      </c>
      <c r="B1276" s="2">
        <v>45770</v>
      </c>
      <c r="C1276" t="s">
        <v>30</v>
      </c>
      <c r="D1276" t="s">
        <v>31</v>
      </c>
      <c r="E1276">
        <v>1321.13</v>
      </c>
      <c r="F1276">
        <v>0</v>
      </c>
      <c r="G1276" t="s">
        <v>8</v>
      </c>
      <c r="H1276" t="s">
        <v>34</v>
      </c>
      <c r="I1276" t="s">
        <v>2592</v>
      </c>
      <c r="J1276" t="s">
        <v>28</v>
      </c>
      <c r="K1276" s="4">
        <f>VLOOKUP(J1276,Exchange_Rates!A:B,2,FALSE)</f>
        <v>1.27</v>
      </c>
      <c r="L1276" s="4">
        <f t="shared" si="76"/>
        <v>1677.8351000000002</v>
      </c>
      <c r="M1276" s="4">
        <f t="shared" si="77"/>
        <v>0</v>
      </c>
      <c r="N1276" s="4">
        <f t="shared" si="78"/>
        <v>2025</v>
      </c>
      <c r="O1276" s="4">
        <f t="shared" si="79"/>
        <v>2</v>
      </c>
    </row>
    <row r="1277" spans="1:15" x14ac:dyDescent="0.25">
      <c r="A1277" t="s">
        <v>2593</v>
      </c>
      <c r="B1277" s="2">
        <v>45704</v>
      </c>
      <c r="C1277" t="s">
        <v>49</v>
      </c>
      <c r="D1277" t="s">
        <v>50</v>
      </c>
      <c r="E1277">
        <v>501.83</v>
      </c>
      <c r="F1277">
        <v>0</v>
      </c>
      <c r="G1277" t="s">
        <v>13</v>
      </c>
      <c r="H1277" t="s">
        <v>62</v>
      </c>
      <c r="I1277" t="s">
        <v>2594</v>
      </c>
      <c r="J1277" t="s">
        <v>64</v>
      </c>
      <c r="K1277" s="4">
        <f>VLOOKUP(J1277,Exchange_Rates!A:B,2,FALSE)</f>
        <v>0.73</v>
      </c>
      <c r="L1277" s="4">
        <f t="shared" si="76"/>
        <v>366.33589999999998</v>
      </c>
      <c r="M1277" s="4">
        <f t="shared" si="77"/>
        <v>0</v>
      </c>
      <c r="N1277" s="4">
        <f t="shared" si="78"/>
        <v>2025</v>
      </c>
      <c r="O1277" s="4">
        <f t="shared" si="79"/>
        <v>1</v>
      </c>
    </row>
    <row r="1278" spans="1:15" x14ac:dyDescent="0.25">
      <c r="A1278" t="s">
        <v>2595</v>
      </c>
      <c r="B1278" s="2">
        <v>45031</v>
      </c>
      <c r="C1278" t="s">
        <v>49</v>
      </c>
      <c r="D1278" t="s">
        <v>50</v>
      </c>
      <c r="E1278">
        <v>233.68</v>
      </c>
      <c r="F1278">
        <v>0</v>
      </c>
      <c r="G1278" t="s">
        <v>13</v>
      </c>
      <c r="H1278" t="s">
        <v>40</v>
      </c>
      <c r="I1278" t="s">
        <v>2596</v>
      </c>
      <c r="J1278" t="s">
        <v>36</v>
      </c>
      <c r="K1278" s="4">
        <f>VLOOKUP(J1278,Exchange_Rates!A:B,2,FALSE)</f>
        <v>1.08</v>
      </c>
      <c r="L1278" s="4">
        <f t="shared" si="76"/>
        <v>252.37440000000004</v>
      </c>
      <c r="M1278" s="4">
        <f t="shared" si="77"/>
        <v>0</v>
      </c>
      <c r="N1278" s="4">
        <f t="shared" si="78"/>
        <v>2023</v>
      </c>
      <c r="O1278" s="4">
        <f t="shared" si="79"/>
        <v>2</v>
      </c>
    </row>
    <row r="1279" spans="1:15" x14ac:dyDescent="0.25">
      <c r="A1279" t="s">
        <v>2597</v>
      </c>
      <c r="B1279" s="2">
        <v>45423</v>
      </c>
      <c r="C1279" t="s">
        <v>60</v>
      </c>
      <c r="D1279" t="s">
        <v>61</v>
      </c>
      <c r="E1279">
        <v>0</v>
      </c>
      <c r="F1279">
        <v>4225.68</v>
      </c>
      <c r="G1279" t="s">
        <v>8</v>
      </c>
      <c r="H1279" t="s">
        <v>62</v>
      </c>
      <c r="I1279" t="s">
        <v>2598</v>
      </c>
      <c r="J1279" t="s">
        <v>42</v>
      </c>
      <c r="K1279" s="4">
        <f>VLOOKUP(J1279,Exchange_Rates!A:B,2,FALSE)</f>
        <v>0.66</v>
      </c>
      <c r="L1279" s="4">
        <f t="shared" si="76"/>
        <v>0</v>
      </c>
      <c r="M1279" s="4">
        <f t="shared" si="77"/>
        <v>2788.9488000000001</v>
      </c>
      <c r="N1279" s="4">
        <f t="shared" si="78"/>
        <v>2024</v>
      </c>
      <c r="O1279" s="4">
        <f t="shared" si="79"/>
        <v>2</v>
      </c>
    </row>
    <row r="1280" spans="1:15" x14ac:dyDescent="0.25">
      <c r="A1280" t="s">
        <v>2599</v>
      </c>
      <c r="B1280" s="2">
        <v>45643</v>
      </c>
      <c r="C1280" t="s">
        <v>49</v>
      </c>
      <c r="D1280" t="s">
        <v>50</v>
      </c>
      <c r="E1280">
        <v>315.85000000000002</v>
      </c>
      <c r="F1280">
        <v>0</v>
      </c>
      <c r="G1280" t="s">
        <v>12</v>
      </c>
      <c r="H1280" t="s">
        <v>51</v>
      </c>
      <c r="I1280" t="s">
        <v>2600</v>
      </c>
      <c r="J1280" t="s">
        <v>45</v>
      </c>
      <c r="K1280" s="4">
        <f>VLOOKUP(J1280,Exchange_Rates!A:B,2,FALSE)</f>
        <v>1</v>
      </c>
      <c r="L1280" s="4">
        <f t="shared" si="76"/>
        <v>315.85000000000002</v>
      </c>
      <c r="M1280" s="4">
        <f t="shared" si="77"/>
        <v>0</v>
      </c>
      <c r="N1280" s="4">
        <f t="shared" si="78"/>
        <v>2024</v>
      </c>
      <c r="O1280" s="4">
        <f t="shared" si="79"/>
        <v>4</v>
      </c>
    </row>
    <row r="1281" spans="1:15" x14ac:dyDescent="0.25">
      <c r="A1281" t="s">
        <v>2601</v>
      </c>
      <c r="B1281" s="2">
        <v>45465</v>
      </c>
      <c r="C1281" t="s">
        <v>38</v>
      </c>
      <c r="D1281" t="s">
        <v>39</v>
      </c>
      <c r="E1281">
        <v>1999.52</v>
      </c>
      <c r="F1281">
        <v>0</v>
      </c>
      <c r="G1281" t="s">
        <v>13</v>
      </c>
      <c r="H1281" t="s">
        <v>51</v>
      </c>
      <c r="I1281" t="s">
        <v>2602</v>
      </c>
      <c r="J1281" t="s">
        <v>36</v>
      </c>
      <c r="K1281" s="4">
        <f>VLOOKUP(J1281,Exchange_Rates!A:B,2,FALSE)</f>
        <v>1.08</v>
      </c>
      <c r="L1281" s="4">
        <f t="shared" si="76"/>
        <v>2159.4816000000001</v>
      </c>
      <c r="M1281" s="4">
        <f t="shared" si="77"/>
        <v>0</v>
      </c>
      <c r="N1281" s="4">
        <f t="shared" si="78"/>
        <v>2024</v>
      </c>
      <c r="O1281" s="4">
        <f t="shared" si="79"/>
        <v>2</v>
      </c>
    </row>
    <row r="1282" spans="1:15" x14ac:dyDescent="0.25">
      <c r="A1282" t="s">
        <v>2603</v>
      </c>
      <c r="B1282" s="2">
        <v>44967</v>
      </c>
      <c r="C1282" t="s">
        <v>38</v>
      </c>
      <c r="D1282" t="s">
        <v>39</v>
      </c>
      <c r="E1282">
        <v>770.08</v>
      </c>
      <c r="F1282">
        <v>0</v>
      </c>
      <c r="G1282" t="s">
        <v>13</v>
      </c>
      <c r="H1282" t="s">
        <v>62</v>
      </c>
      <c r="I1282" t="s">
        <v>2604</v>
      </c>
      <c r="J1282" t="s">
        <v>64</v>
      </c>
      <c r="K1282" s="4">
        <f>VLOOKUP(J1282,Exchange_Rates!A:B,2,FALSE)</f>
        <v>0.73</v>
      </c>
      <c r="L1282" s="4">
        <f t="shared" si="76"/>
        <v>562.15840000000003</v>
      </c>
      <c r="M1282" s="4">
        <f t="shared" si="77"/>
        <v>0</v>
      </c>
      <c r="N1282" s="4">
        <f t="shared" si="78"/>
        <v>2023</v>
      </c>
      <c r="O1282" s="4">
        <f t="shared" si="79"/>
        <v>1</v>
      </c>
    </row>
    <row r="1283" spans="1:15" x14ac:dyDescent="0.25">
      <c r="A1283" t="s">
        <v>2605</v>
      </c>
      <c r="B1283" s="2">
        <v>45289</v>
      </c>
      <c r="C1283" t="s">
        <v>60</v>
      </c>
      <c r="D1283" t="s">
        <v>61</v>
      </c>
      <c r="E1283">
        <v>0</v>
      </c>
      <c r="F1283">
        <v>4953.53</v>
      </c>
      <c r="G1283" t="s">
        <v>13</v>
      </c>
      <c r="H1283" t="s">
        <v>26</v>
      </c>
      <c r="I1283" t="s">
        <v>2606</v>
      </c>
      <c r="J1283" t="s">
        <v>28</v>
      </c>
      <c r="K1283" s="4">
        <f>VLOOKUP(J1283,Exchange_Rates!A:B,2,FALSE)</f>
        <v>1.27</v>
      </c>
      <c r="L1283" s="4">
        <f t="shared" ref="L1283:L1346" si="80">E1283*K1283</f>
        <v>0</v>
      </c>
      <c r="M1283" s="4">
        <f t="shared" ref="M1283:M1346" si="81">F1283*K1283</f>
        <v>6290.9830999999995</v>
      </c>
      <c r="N1283" s="4">
        <f t="shared" ref="N1283:N1346" si="82">YEAR(B1283)</f>
        <v>2023</v>
      </c>
      <c r="O1283" s="4">
        <f t="shared" ref="O1283:O1346" si="83">ROUNDUP(MONTH(B1283)/3,0)</f>
        <v>4</v>
      </c>
    </row>
    <row r="1284" spans="1:15" x14ac:dyDescent="0.25">
      <c r="A1284" t="s">
        <v>2607</v>
      </c>
      <c r="B1284" s="2">
        <v>45045</v>
      </c>
      <c r="C1284" t="s">
        <v>60</v>
      </c>
      <c r="D1284" t="s">
        <v>61</v>
      </c>
      <c r="E1284">
        <v>0</v>
      </c>
      <c r="F1284">
        <v>1360.16</v>
      </c>
      <c r="G1284" t="s">
        <v>13</v>
      </c>
      <c r="H1284" t="s">
        <v>26</v>
      </c>
      <c r="I1284" t="s">
        <v>2608</v>
      </c>
      <c r="J1284" t="s">
        <v>64</v>
      </c>
      <c r="K1284" s="4">
        <f>VLOOKUP(J1284,Exchange_Rates!A:B,2,FALSE)</f>
        <v>0.73</v>
      </c>
      <c r="L1284" s="4">
        <f t="shared" si="80"/>
        <v>0</v>
      </c>
      <c r="M1284" s="4">
        <f t="shared" si="81"/>
        <v>992.91680000000008</v>
      </c>
      <c r="N1284" s="4">
        <f t="shared" si="82"/>
        <v>2023</v>
      </c>
      <c r="O1284" s="4">
        <f t="shared" si="83"/>
        <v>2</v>
      </c>
    </row>
    <row r="1285" spans="1:15" x14ac:dyDescent="0.25">
      <c r="A1285" t="s">
        <v>2609</v>
      </c>
      <c r="B1285" s="2">
        <v>45287</v>
      </c>
      <c r="C1285" t="s">
        <v>30</v>
      </c>
      <c r="D1285" t="s">
        <v>31</v>
      </c>
      <c r="E1285">
        <v>475.84</v>
      </c>
      <c r="F1285">
        <v>0</v>
      </c>
      <c r="G1285" t="s">
        <v>9</v>
      </c>
      <c r="H1285" t="s">
        <v>34</v>
      </c>
      <c r="I1285" t="s">
        <v>2610</v>
      </c>
      <c r="J1285" t="s">
        <v>45</v>
      </c>
      <c r="K1285" s="4">
        <f>VLOOKUP(J1285,Exchange_Rates!A:B,2,FALSE)</f>
        <v>1</v>
      </c>
      <c r="L1285" s="4">
        <f t="shared" si="80"/>
        <v>475.84</v>
      </c>
      <c r="M1285" s="4">
        <f t="shared" si="81"/>
        <v>0</v>
      </c>
      <c r="N1285" s="4">
        <f t="shared" si="82"/>
        <v>2023</v>
      </c>
      <c r="O1285" s="4">
        <f t="shared" si="83"/>
        <v>4</v>
      </c>
    </row>
    <row r="1286" spans="1:15" x14ac:dyDescent="0.25">
      <c r="A1286" t="s">
        <v>2611</v>
      </c>
      <c r="B1286" s="2">
        <v>45405</v>
      </c>
      <c r="C1286" t="s">
        <v>30</v>
      </c>
      <c r="D1286" t="s">
        <v>31</v>
      </c>
      <c r="E1286">
        <v>1211.1500000000001</v>
      </c>
      <c r="F1286">
        <v>0</v>
      </c>
      <c r="G1286" t="s">
        <v>13</v>
      </c>
      <c r="H1286" t="s">
        <v>51</v>
      </c>
      <c r="I1286" t="s">
        <v>2612</v>
      </c>
      <c r="J1286" t="s">
        <v>64</v>
      </c>
      <c r="K1286" s="4">
        <f>VLOOKUP(J1286,Exchange_Rates!A:B,2,FALSE)</f>
        <v>0.73</v>
      </c>
      <c r="L1286" s="4">
        <f t="shared" si="80"/>
        <v>884.1395</v>
      </c>
      <c r="M1286" s="4">
        <f t="shared" si="81"/>
        <v>0</v>
      </c>
      <c r="N1286" s="4">
        <f t="shared" si="82"/>
        <v>2024</v>
      </c>
      <c r="O1286" s="4">
        <f t="shared" si="83"/>
        <v>2</v>
      </c>
    </row>
    <row r="1287" spans="1:15" x14ac:dyDescent="0.25">
      <c r="A1287" t="s">
        <v>2613</v>
      </c>
      <c r="B1287" s="2">
        <v>45021</v>
      </c>
      <c r="C1287" t="s">
        <v>60</v>
      </c>
      <c r="D1287" t="s">
        <v>61</v>
      </c>
      <c r="E1287">
        <v>0</v>
      </c>
      <c r="F1287">
        <v>2327.23</v>
      </c>
      <c r="G1287" t="s">
        <v>11</v>
      </c>
      <c r="H1287" t="s">
        <v>40</v>
      </c>
      <c r="I1287" t="s">
        <v>2614</v>
      </c>
      <c r="J1287" t="s">
        <v>36</v>
      </c>
      <c r="K1287" s="4">
        <f>VLOOKUP(J1287,Exchange_Rates!A:B,2,FALSE)</f>
        <v>1.08</v>
      </c>
      <c r="L1287" s="4">
        <f t="shared" si="80"/>
        <v>0</v>
      </c>
      <c r="M1287" s="4">
        <f t="shared" si="81"/>
        <v>2513.4084000000003</v>
      </c>
      <c r="N1287" s="4">
        <f t="shared" si="82"/>
        <v>2023</v>
      </c>
      <c r="O1287" s="4">
        <f t="shared" si="83"/>
        <v>2</v>
      </c>
    </row>
    <row r="1288" spans="1:15" x14ac:dyDescent="0.25">
      <c r="A1288" t="s">
        <v>2615</v>
      </c>
      <c r="B1288" s="2">
        <v>45813</v>
      </c>
      <c r="C1288" t="s">
        <v>38</v>
      </c>
      <c r="D1288" t="s">
        <v>39</v>
      </c>
      <c r="E1288">
        <v>237.68</v>
      </c>
      <c r="F1288">
        <v>0</v>
      </c>
      <c r="G1288" t="s">
        <v>13</v>
      </c>
      <c r="H1288" t="s">
        <v>26</v>
      </c>
      <c r="I1288" t="s">
        <v>2616</v>
      </c>
      <c r="J1288" t="s">
        <v>28</v>
      </c>
      <c r="K1288" s="4">
        <f>VLOOKUP(J1288,Exchange_Rates!A:B,2,FALSE)</f>
        <v>1.27</v>
      </c>
      <c r="L1288" s="4">
        <f t="shared" si="80"/>
        <v>301.85360000000003</v>
      </c>
      <c r="M1288" s="4">
        <f t="shared" si="81"/>
        <v>0</v>
      </c>
      <c r="N1288" s="4">
        <f t="shared" si="82"/>
        <v>2025</v>
      </c>
      <c r="O1288" s="4">
        <f t="shared" si="83"/>
        <v>2</v>
      </c>
    </row>
    <row r="1289" spans="1:15" x14ac:dyDescent="0.25">
      <c r="A1289" t="s">
        <v>2617</v>
      </c>
      <c r="B1289" s="2">
        <v>45357</v>
      </c>
      <c r="C1289" t="s">
        <v>38</v>
      </c>
      <c r="D1289" t="s">
        <v>39</v>
      </c>
      <c r="E1289">
        <v>1902.83</v>
      </c>
      <c r="F1289">
        <v>0</v>
      </c>
      <c r="G1289" t="s">
        <v>13</v>
      </c>
      <c r="H1289" t="s">
        <v>62</v>
      </c>
      <c r="I1289" t="s">
        <v>2618</v>
      </c>
      <c r="J1289" t="s">
        <v>64</v>
      </c>
      <c r="K1289" s="4">
        <f>VLOOKUP(J1289,Exchange_Rates!A:B,2,FALSE)</f>
        <v>0.73</v>
      </c>
      <c r="L1289" s="4">
        <f t="shared" si="80"/>
        <v>1389.0658999999998</v>
      </c>
      <c r="M1289" s="4">
        <f t="shared" si="81"/>
        <v>0</v>
      </c>
      <c r="N1289" s="4">
        <f t="shared" si="82"/>
        <v>2024</v>
      </c>
      <c r="O1289" s="4">
        <f t="shared" si="83"/>
        <v>1</v>
      </c>
    </row>
    <row r="1290" spans="1:15" x14ac:dyDescent="0.25">
      <c r="A1290" t="s">
        <v>2619</v>
      </c>
      <c r="B1290" s="2">
        <v>45724</v>
      </c>
      <c r="C1290" t="s">
        <v>24</v>
      </c>
      <c r="D1290" t="s">
        <v>25</v>
      </c>
      <c r="E1290">
        <v>0</v>
      </c>
      <c r="F1290">
        <v>2447.1</v>
      </c>
      <c r="G1290" t="s">
        <v>9</v>
      </c>
      <c r="H1290" t="s">
        <v>40</v>
      </c>
      <c r="I1290" t="s">
        <v>2620</v>
      </c>
      <c r="J1290" t="s">
        <v>42</v>
      </c>
      <c r="K1290" s="4">
        <f>VLOOKUP(J1290,Exchange_Rates!A:B,2,FALSE)</f>
        <v>0.66</v>
      </c>
      <c r="L1290" s="4">
        <f t="shared" si="80"/>
        <v>0</v>
      </c>
      <c r="M1290" s="4">
        <f t="shared" si="81"/>
        <v>1615.086</v>
      </c>
      <c r="N1290" s="4">
        <f t="shared" si="82"/>
        <v>2025</v>
      </c>
      <c r="O1290" s="4">
        <f t="shared" si="83"/>
        <v>1</v>
      </c>
    </row>
    <row r="1291" spans="1:15" x14ac:dyDescent="0.25">
      <c r="A1291" t="s">
        <v>2621</v>
      </c>
      <c r="B1291" s="2">
        <v>45620</v>
      </c>
      <c r="C1291" t="s">
        <v>38</v>
      </c>
      <c r="D1291" t="s">
        <v>39</v>
      </c>
      <c r="E1291">
        <v>520.39</v>
      </c>
      <c r="F1291">
        <v>0</v>
      </c>
      <c r="G1291" t="s">
        <v>13</v>
      </c>
      <c r="H1291" t="s">
        <v>51</v>
      </c>
      <c r="I1291" t="s">
        <v>2622</v>
      </c>
      <c r="J1291" t="s">
        <v>45</v>
      </c>
      <c r="K1291" s="4">
        <f>VLOOKUP(J1291,Exchange_Rates!A:B,2,FALSE)</f>
        <v>1</v>
      </c>
      <c r="L1291" s="4">
        <f t="shared" si="80"/>
        <v>520.39</v>
      </c>
      <c r="M1291" s="4">
        <f t="shared" si="81"/>
        <v>0</v>
      </c>
      <c r="N1291" s="4">
        <f t="shared" si="82"/>
        <v>2024</v>
      </c>
      <c r="O1291" s="4">
        <f t="shared" si="83"/>
        <v>4</v>
      </c>
    </row>
    <row r="1292" spans="1:15" x14ac:dyDescent="0.25">
      <c r="A1292" t="s">
        <v>2623</v>
      </c>
      <c r="B1292" s="2">
        <v>45359</v>
      </c>
      <c r="C1292" t="s">
        <v>49</v>
      </c>
      <c r="D1292" t="s">
        <v>50</v>
      </c>
      <c r="E1292">
        <v>1329.55</v>
      </c>
      <c r="F1292">
        <v>0</v>
      </c>
      <c r="G1292" t="s">
        <v>8</v>
      </c>
      <c r="H1292" t="s">
        <v>62</v>
      </c>
      <c r="I1292" t="s">
        <v>2624</v>
      </c>
      <c r="J1292" t="s">
        <v>64</v>
      </c>
      <c r="K1292" s="4">
        <f>VLOOKUP(J1292,Exchange_Rates!A:B,2,FALSE)</f>
        <v>0.73</v>
      </c>
      <c r="L1292" s="4">
        <f t="shared" si="80"/>
        <v>970.5714999999999</v>
      </c>
      <c r="M1292" s="4">
        <f t="shared" si="81"/>
        <v>0</v>
      </c>
      <c r="N1292" s="4">
        <f t="shared" si="82"/>
        <v>2024</v>
      </c>
      <c r="O1292" s="4">
        <f t="shared" si="83"/>
        <v>1</v>
      </c>
    </row>
    <row r="1293" spans="1:15" x14ac:dyDescent="0.25">
      <c r="A1293" t="s">
        <v>2625</v>
      </c>
      <c r="B1293" s="2">
        <v>45354</v>
      </c>
      <c r="C1293" t="s">
        <v>38</v>
      </c>
      <c r="D1293" t="s">
        <v>39</v>
      </c>
      <c r="E1293">
        <v>1991.48</v>
      </c>
      <c r="F1293">
        <v>0</v>
      </c>
      <c r="G1293" t="s">
        <v>10</v>
      </c>
      <c r="H1293" t="s">
        <v>40</v>
      </c>
      <c r="I1293" t="s">
        <v>2626</v>
      </c>
      <c r="J1293" t="s">
        <v>28</v>
      </c>
      <c r="K1293" s="4">
        <f>VLOOKUP(J1293,Exchange_Rates!A:B,2,FALSE)</f>
        <v>1.27</v>
      </c>
      <c r="L1293" s="4">
        <f t="shared" si="80"/>
        <v>2529.1795999999999</v>
      </c>
      <c r="M1293" s="4">
        <f t="shared" si="81"/>
        <v>0</v>
      </c>
      <c r="N1293" s="4">
        <f t="shared" si="82"/>
        <v>2024</v>
      </c>
      <c r="O1293" s="4">
        <f t="shared" si="83"/>
        <v>1</v>
      </c>
    </row>
    <row r="1294" spans="1:15" x14ac:dyDescent="0.25">
      <c r="A1294" t="s">
        <v>2627</v>
      </c>
      <c r="B1294" s="2">
        <v>45643</v>
      </c>
      <c r="C1294" t="s">
        <v>30</v>
      </c>
      <c r="D1294" t="s">
        <v>31</v>
      </c>
      <c r="E1294">
        <v>637.88</v>
      </c>
      <c r="F1294">
        <v>0</v>
      </c>
      <c r="G1294" t="s">
        <v>11</v>
      </c>
      <c r="H1294" t="s">
        <v>34</v>
      </c>
      <c r="I1294" t="s">
        <v>2628</v>
      </c>
      <c r="J1294" t="s">
        <v>45</v>
      </c>
      <c r="K1294" s="4">
        <f>VLOOKUP(J1294,Exchange_Rates!A:B,2,FALSE)</f>
        <v>1</v>
      </c>
      <c r="L1294" s="4">
        <f t="shared" si="80"/>
        <v>637.88</v>
      </c>
      <c r="M1294" s="4">
        <f t="shared" si="81"/>
        <v>0</v>
      </c>
      <c r="N1294" s="4">
        <f t="shared" si="82"/>
        <v>2024</v>
      </c>
      <c r="O1294" s="4">
        <f t="shared" si="83"/>
        <v>4</v>
      </c>
    </row>
    <row r="1295" spans="1:15" x14ac:dyDescent="0.25">
      <c r="A1295" t="s">
        <v>2629</v>
      </c>
      <c r="B1295" s="2">
        <v>45274</v>
      </c>
      <c r="C1295" t="s">
        <v>24</v>
      </c>
      <c r="D1295" t="s">
        <v>25</v>
      </c>
      <c r="E1295">
        <v>0</v>
      </c>
      <c r="F1295">
        <v>175.56</v>
      </c>
      <c r="G1295" t="s">
        <v>11</v>
      </c>
      <c r="H1295" t="s">
        <v>51</v>
      </c>
      <c r="I1295" t="s">
        <v>2630</v>
      </c>
      <c r="J1295" t="s">
        <v>64</v>
      </c>
      <c r="K1295" s="4">
        <f>VLOOKUP(J1295,Exchange_Rates!A:B,2,FALSE)</f>
        <v>0.73</v>
      </c>
      <c r="L1295" s="4">
        <f t="shared" si="80"/>
        <v>0</v>
      </c>
      <c r="M1295" s="4">
        <f t="shared" si="81"/>
        <v>128.15879999999999</v>
      </c>
      <c r="N1295" s="4">
        <f t="shared" si="82"/>
        <v>2023</v>
      </c>
      <c r="O1295" s="4">
        <f t="shared" si="83"/>
        <v>4</v>
      </c>
    </row>
    <row r="1296" spans="1:15" x14ac:dyDescent="0.25">
      <c r="A1296" t="s">
        <v>2631</v>
      </c>
      <c r="B1296" s="2">
        <v>45443</v>
      </c>
      <c r="C1296" t="s">
        <v>38</v>
      </c>
      <c r="D1296" t="s">
        <v>39</v>
      </c>
      <c r="E1296">
        <v>282.05</v>
      </c>
      <c r="F1296">
        <v>0</v>
      </c>
      <c r="G1296" t="s">
        <v>11</v>
      </c>
      <c r="H1296" t="s">
        <v>26</v>
      </c>
      <c r="I1296" t="s">
        <v>2632</v>
      </c>
      <c r="J1296" t="s">
        <v>42</v>
      </c>
      <c r="K1296" s="4">
        <f>VLOOKUP(J1296,Exchange_Rates!A:B,2,FALSE)</f>
        <v>0.66</v>
      </c>
      <c r="L1296" s="4">
        <f t="shared" si="80"/>
        <v>186.15300000000002</v>
      </c>
      <c r="M1296" s="4">
        <f t="shared" si="81"/>
        <v>0</v>
      </c>
      <c r="N1296" s="4">
        <f t="shared" si="82"/>
        <v>2024</v>
      </c>
      <c r="O1296" s="4">
        <f t="shared" si="83"/>
        <v>2</v>
      </c>
    </row>
    <row r="1297" spans="1:15" x14ac:dyDescent="0.25">
      <c r="A1297" t="s">
        <v>2633</v>
      </c>
      <c r="B1297" s="2">
        <v>45782</v>
      </c>
      <c r="C1297" t="s">
        <v>38</v>
      </c>
      <c r="D1297" t="s">
        <v>39</v>
      </c>
      <c r="E1297">
        <v>1993.37</v>
      </c>
      <c r="F1297">
        <v>0</v>
      </c>
      <c r="G1297" t="s">
        <v>12</v>
      </c>
      <c r="H1297" t="s">
        <v>34</v>
      </c>
      <c r="I1297" t="s">
        <v>2634</v>
      </c>
      <c r="J1297" t="s">
        <v>28</v>
      </c>
      <c r="K1297" s="4">
        <f>VLOOKUP(J1297,Exchange_Rates!A:B,2,FALSE)</f>
        <v>1.27</v>
      </c>
      <c r="L1297" s="4">
        <f t="shared" si="80"/>
        <v>2531.5798999999997</v>
      </c>
      <c r="M1297" s="4">
        <f t="shared" si="81"/>
        <v>0</v>
      </c>
      <c r="N1297" s="4">
        <f t="shared" si="82"/>
        <v>2025</v>
      </c>
      <c r="O1297" s="4">
        <f t="shared" si="83"/>
        <v>2</v>
      </c>
    </row>
    <row r="1298" spans="1:15" x14ac:dyDescent="0.25">
      <c r="A1298" t="s">
        <v>2635</v>
      </c>
      <c r="B1298" s="2">
        <v>45372</v>
      </c>
      <c r="C1298" t="s">
        <v>38</v>
      </c>
      <c r="D1298" t="s">
        <v>39</v>
      </c>
      <c r="E1298">
        <v>294.74</v>
      </c>
      <c r="F1298">
        <v>0</v>
      </c>
      <c r="G1298" t="s">
        <v>11</v>
      </c>
      <c r="H1298" t="s">
        <v>51</v>
      </c>
      <c r="I1298" t="s">
        <v>2636</v>
      </c>
      <c r="J1298" t="s">
        <v>42</v>
      </c>
      <c r="K1298" s="4">
        <f>VLOOKUP(J1298,Exchange_Rates!A:B,2,FALSE)</f>
        <v>0.66</v>
      </c>
      <c r="L1298" s="4">
        <f t="shared" si="80"/>
        <v>194.5284</v>
      </c>
      <c r="M1298" s="4">
        <f t="shared" si="81"/>
        <v>0</v>
      </c>
      <c r="N1298" s="4">
        <f t="shared" si="82"/>
        <v>2024</v>
      </c>
      <c r="O1298" s="4">
        <f t="shared" si="83"/>
        <v>1</v>
      </c>
    </row>
    <row r="1299" spans="1:15" x14ac:dyDescent="0.25">
      <c r="A1299" t="s">
        <v>2637</v>
      </c>
      <c r="B1299" s="2">
        <v>45418</v>
      </c>
      <c r="C1299" t="s">
        <v>24</v>
      </c>
      <c r="D1299" t="s">
        <v>25</v>
      </c>
      <c r="E1299">
        <v>0</v>
      </c>
      <c r="F1299">
        <v>763.55</v>
      </c>
      <c r="G1299" t="s">
        <v>9</v>
      </c>
      <c r="H1299" t="s">
        <v>26</v>
      </c>
      <c r="I1299" t="s">
        <v>2638</v>
      </c>
      <c r="J1299" t="s">
        <v>36</v>
      </c>
      <c r="K1299" s="4">
        <f>VLOOKUP(J1299,Exchange_Rates!A:B,2,FALSE)</f>
        <v>1.08</v>
      </c>
      <c r="L1299" s="4">
        <f t="shared" si="80"/>
        <v>0</v>
      </c>
      <c r="M1299" s="4">
        <f t="shared" si="81"/>
        <v>824.63400000000001</v>
      </c>
      <c r="N1299" s="4">
        <f t="shared" si="82"/>
        <v>2024</v>
      </c>
      <c r="O1299" s="4">
        <f t="shared" si="83"/>
        <v>2</v>
      </c>
    </row>
    <row r="1300" spans="1:15" x14ac:dyDescent="0.25">
      <c r="A1300" t="s">
        <v>2639</v>
      </c>
      <c r="B1300" s="2">
        <v>45103</v>
      </c>
      <c r="C1300" t="s">
        <v>60</v>
      </c>
      <c r="D1300" t="s">
        <v>61</v>
      </c>
      <c r="E1300">
        <v>0</v>
      </c>
      <c r="F1300">
        <v>2502.91</v>
      </c>
      <c r="G1300" t="s">
        <v>8</v>
      </c>
      <c r="H1300" t="s">
        <v>51</v>
      </c>
      <c r="I1300" t="s">
        <v>2640</v>
      </c>
      <c r="J1300" t="s">
        <v>28</v>
      </c>
      <c r="K1300" s="4">
        <f>VLOOKUP(J1300,Exchange_Rates!A:B,2,FALSE)</f>
        <v>1.27</v>
      </c>
      <c r="L1300" s="4">
        <f t="shared" si="80"/>
        <v>0</v>
      </c>
      <c r="M1300" s="4">
        <f t="shared" si="81"/>
        <v>3178.6956999999998</v>
      </c>
      <c r="N1300" s="4">
        <f t="shared" si="82"/>
        <v>2023</v>
      </c>
      <c r="O1300" s="4">
        <f t="shared" si="83"/>
        <v>2</v>
      </c>
    </row>
    <row r="1301" spans="1:15" x14ac:dyDescent="0.25">
      <c r="A1301" t="s">
        <v>2641</v>
      </c>
      <c r="B1301" s="2">
        <v>45550</v>
      </c>
      <c r="C1301" t="s">
        <v>49</v>
      </c>
      <c r="D1301" t="s">
        <v>50</v>
      </c>
      <c r="E1301">
        <v>468.89</v>
      </c>
      <c r="F1301">
        <v>0</v>
      </c>
      <c r="G1301" t="s">
        <v>8</v>
      </c>
      <c r="H1301" t="s">
        <v>34</v>
      </c>
      <c r="I1301" t="s">
        <v>2642</v>
      </c>
      <c r="J1301" t="s">
        <v>42</v>
      </c>
      <c r="K1301" s="4">
        <f>VLOOKUP(J1301,Exchange_Rates!A:B,2,FALSE)</f>
        <v>0.66</v>
      </c>
      <c r="L1301" s="4">
        <f t="shared" si="80"/>
        <v>309.4674</v>
      </c>
      <c r="M1301" s="4">
        <f t="shared" si="81"/>
        <v>0</v>
      </c>
      <c r="N1301" s="4">
        <f t="shared" si="82"/>
        <v>2024</v>
      </c>
      <c r="O1301" s="4">
        <f t="shared" si="83"/>
        <v>3</v>
      </c>
    </row>
    <row r="1302" spans="1:15" x14ac:dyDescent="0.25">
      <c r="A1302" t="s">
        <v>2643</v>
      </c>
      <c r="B1302" s="2">
        <v>45162</v>
      </c>
      <c r="C1302" t="s">
        <v>38</v>
      </c>
      <c r="D1302" t="s">
        <v>39</v>
      </c>
      <c r="E1302">
        <v>810.8</v>
      </c>
      <c r="F1302">
        <v>0</v>
      </c>
      <c r="G1302" t="s">
        <v>12</v>
      </c>
      <c r="H1302" t="s">
        <v>62</v>
      </c>
      <c r="I1302" t="s">
        <v>2644</v>
      </c>
      <c r="J1302" t="s">
        <v>28</v>
      </c>
      <c r="K1302" s="4">
        <f>VLOOKUP(J1302,Exchange_Rates!A:B,2,FALSE)</f>
        <v>1.27</v>
      </c>
      <c r="L1302" s="4">
        <f t="shared" si="80"/>
        <v>1029.7159999999999</v>
      </c>
      <c r="M1302" s="4">
        <f t="shared" si="81"/>
        <v>0</v>
      </c>
      <c r="N1302" s="4">
        <f t="shared" si="82"/>
        <v>2023</v>
      </c>
      <c r="O1302" s="4">
        <f t="shared" si="83"/>
        <v>3</v>
      </c>
    </row>
    <row r="1303" spans="1:15" x14ac:dyDescent="0.25">
      <c r="A1303" t="s">
        <v>2645</v>
      </c>
      <c r="B1303" s="2">
        <v>45451</v>
      </c>
      <c r="C1303" t="s">
        <v>30</v>
      </c>
      <c r="D1303" t="s">
        <v>31</v>
      </c>
      <c r="E1303">
        <v>1345.83</v>
      </c>
      <c r="F1303">
        <v>0</v>
      </c>
      <c r="G1303" t="s">
        <v>10</v>
      </c>
      <c r="H1303" t="s">
        <v>34</v>
      </c>
      <c r="I1303" t="s">
        <v>2646</v>
      </c>
      <c r="J1303" t="s">
        <v>28</v>
      </c>
      <c r="K1303" s="4">
        <f>VLOOKUP(J1303,Exchange_Rates!A:B,2,FALSE)</f>
        <v>1.27</v>
      </c>
      <c r="L1303" s="4">
        <f t="shared" si="80"/>
        <v>1709.2040999999999</v>
      </c>
      <c r="M1303" s="4">
        <f t="shared" si="81"/>
        <v>0</v>
      </c>
      <c r="N1303" s="4">
        <f t="shared" si="82"/>
        <v>2024</v>
      </c>
      <c r="O1303" s="4">
        <f t="shared" si="83"/>
        <v>2</v>
      </c>
    </row>
    <row r="1304" spans="1:15" x14ac:dyDescent="0.25">
      <c r="A1304" t="s">
        <v>2647</v>
      </c>
      <c r="B1304" s="2">
        <v>45777</v>
      </c>
      <c r="C1304" t="s">
        <v>24</v>
      </c>
      <c r="D1304" t="s">
        <v>25</v>
      </c>
      <c r="E1304">
        <v>0</v>
      </c>
      <c r="F1304">
        <v>4443.21</v>
      </c>
      <c r="G1304" t="s">
        <v>11</v>
      </c>
      <c r="H1304" t="s">
        <v>26</v>
      </c>
      <c r="I1304" t="s">
        <v>2648</v>
      </c>
      <c r="J1304" t="s">
        <v>42</v>
      </c>
      <c r="K1304" s="4">
        <f>VLOOKUP(J1304,Exchange_Rates!A:B,2,FALSE)</f>
        <v>0.66</v>
      </c>
      <c r="L1304" s="4">
        <f t="shared" si="80"/>
        <v>0</v>
      </c>
      <c r="M1304" s="4">
        <f t="shared" si="81"/>
        <v>2932.5186000000003</v>
      </c>
      <c r="N1304" s="4">
        <f t="shared" si="82"/>
        <v>2025</v>
      </c>
      <c r="O1304" s="4">
        <f t="shared" si="83"/>
        <v>2</v>
      </c>
    </row>
    <row r="1305" spans="1:15" x14ac:dyDescent="0.25">
      <c r="A1305" t="s">
        <v>2649</v>
      </c>
      <c r="B1305" s="2">
        <v>45040</v>
      </c>
      <c r="C1305" t="s">
        <v>49</v>
      </c>
      <c r="D1305" t="s">
        <v>50</v>
      </c>
      <c r="E1305">
        <v>780.61</v>
      </c>
      <c r="F1305">
        <v>0</v>
      </c>
      <c r="G1305" t="s">
        <v>11</v>
      </c>
      <c r="H1305" t="s">
        <v>40</v>
      </c>
      <c r="I1305" t="s">
        <v>2650</v>
      </c>
      <c r="J1305" t="s">
        <v>42</v>
      </c>
      <c r="K1305" s="4">
        <f>VLOOKUP(J1305,Exchange_Rates!A:B,2,FALSE)</f>
        <v>0.66</v>
      </c>
      <c r="L1305" s="4">
        <f t="shared" si="80"/>
        <v>515.20260000000007</v>
      </c>
      <c r="M1305" s="4">
        <f t="shared" si="81"/>
        <v>0</v>
      </c>
      <c r="N1305" s="4">
        <f t="shared" si="82"/>
        <v>2023</v>
      </c>
      <c r="O1305" s="4">
        <f t="shared" si="83"/>
        <v>2</v>
      </c>
    </row>
    <row r="1306" spans="1:15" x14ac:dyDescent="0.25">
      <c r="A1306" t="s">
        <v>2651</v>
      </c>
      <c r="B1306" s="2">
        <v>45310</v>
      </c>
      <c r="C1306" t="s">
        <v>60</v>
      </c>
      <c r="D1306" t="s">
        <v>61</v>
      </c>
      <c r="E1306">
        <v>0</v>
      </c>
      <c r="F1306">
        <v>2988.59</v>
      </c>
      <c r="G1306" t="s">
        <v>10</v>
      </c>
      <c r="H1306" t="s">
        <v>34</v>
      </c>
      <c r="I1306" t="s">
        <v>2652</v>
      </c>
      <c r="J1306" t="s">
        <v>28</v>
      </c>
      <c r="K1306" s="4">
        <f>VLOOKUP(J1306,Exchange_Rates!A:B,2,FALSE)</f>
        <v>1.27</v>
      </c>
      <c r="L1306" s="4">
        <f t="shared" si="80"/>
        <v>0</v>
      </c>
      <c r="M1306" s="4">
        <f t="shared" si="81"/>
        <v>3795.5093000000002</v>
      </c>
      <c r="N1306" s="4">
        <f t="shared" si="82"/>
        <v>2024</v>
      </c>
      <c r="O1306" s="4">
        <f t="shared" si="83"/>
        <v>1</v>
      </c>
    </row>
    <row r="1307" spans="1:15" x14ac:dyDescent="0.25">
      <c r="A1307" t="s">
        <v>2653</v>
      </c>
      <c r="B1307" s="2">
        <v>45585</v>
      </c>
      <c r="C1307" t="s">
        <v>49</v>
      </c>
      <c r="D1307" t="s">
        <v>50</v>
      </c>
      <c r="E1307">
        <v>1463.55</v>
      </c>
      <c r="F1307">
        <v>0</v>
      </c>
      <c r="G1307" t="s">
        <v>12</v>
      </c>
      <c r="H1307" t="s">
        <v>26</v>
      </c>
      <c r="I1307" t="s">
        <v>2654</v>
      </c>
      <c r="J1307" t="s">
        <v>64</v>
      </c>
      <c r="K1307" s="4">
        <f>VLOOKUP(J1307,Exchange_Rates!A:B,2,FALSE)</f>
        <v>0.73</v>
      </c>
      <c r="L1307" s="4">
        <f t="shared" si="80"/>
        <v>1068.3915</v>
      </c>
      <c r="M1307" s="4">
        <f t="shared" si="81"/>
        <v>0</v>
      </c>
      <c r="N1307" s="4">
        <f t="shared" si="82"/>
        <v>2024</v>
      </c>
      <c r="O1307" s="4">
        <f t="shared" si="83"/>
        <v>4</v>
      </c>
    </row>
    <row r="1308" spans="1:15" x14ac:dyDescent="0.25">
      <c r="A1308" t="s">
        <v>2655</v>
      </c>
      <c r="B1308" s="2">
        <v>45398</v>
      </c>
      <c r="C1308" t="s">
        <v>60</v>
      </c>
      <c r="D1308" t="s">
        <v>61</v>
      </c>
      <c r="E1308">
        <v>0</v>
      </c>
      <c r="F1308">
        <v>790.68</v>
      </c>
      <c r="G1308" t="s">
        <v>9</v>
      </c>
      <c r="H1308" t="s">
        <v>26</v>
      </c>
      <c r="I1308" t="s">
        <v>2656</v>
      </c>
      <c r="J1308" t="s">
        <v>28</v>
      </c>
      <c r="K1308" s="4">
        <f>VLOOKUP(J1308,Exchange_Rates!A:B,2,FALSE)</f>
        <v>1.27</v>
      </c>
      <c r="L1308" s="4">
        <f t="shared" si="80"/>
        <v>0</v>
      </c>
      <c r="M1308" s="4">
        <f t="shared" si="81"/>
        <v>1004.1636</v>
      </c>
      <c r="N1308" s="4">
        <f t="shared" si="82"/>
        <v>2024</v>
      </c>
      <c r="O1308" s="4">
        <f t="shared" si="83"/>
        <v>2</v>
      </c>
    </row>
    <row r="1309" spans="1:15" x14ac:dyDescent="0.25">
      <c r="A1309" t="s">
        <v>2657</v>
      </c>
      <c r="B1309" s="2">
        <v>45090</v>
      </c>
      <c r="C1309" t="s">
        <v>24</v>
      </c>
      <c r="D1309" t="s">
        <v>25</v>
      </c>
      <c r="E1309">
        <v>0</v>
      </c>
      <c r="F1309">
        <v>3083.05</v>
      </c>
      <c r="G1309" t="s">
        <v>11</v>
      </c>
      <c r="H1309" t="s">
        <v>34</v>
      </c>
      <c r="I1309" t="s">
        <v>2658</v>
      </c>
      <c r="J1309" t="s">
        <v>36</v>
      </c>
      <c r="K1309" s="4">
        <f>VLOOKUP(J1309,Exchange_Rates!A:B,2,FALSE)</f>
        <v>1.08</v>
      </c>
      <c r="L1309" s="4">
        <f t="shared" si="80"/>
        <v>0</v>
      </c>
      <c r="M1309" s="4">
        <f t="shared" si="81"/>
        <v>3329.6940000000004</v>
      </c>
      <c r="N1309" s="4">
        <f t="shared" si="82"/>
        <v>2023</v>
      </c>
      <c r="O1309" s="4">
        <f t="shared" si="83"/>
        <v>2</v>
      </c>
    </row>
    <row r="1310" spans="1:15" x14ac:dyDescent="0.25">
      <c r="A1310" t="s">
        <v>2659</v>
      </c>
      <c r="B1310" s="2">
        <v>45340</v>
      </c>
      <c r="C1310" t="s">
        <v>49</v>
      </c>
      <c r="D1310" t="s">
        <v>50</v>
      </c>
      <c r="E1310">
        <v>473.43</v>
      </c>
      <c r="F1310">
        <v>0</v>
      </c>
      <c r="G1310" t="s">
        <v>11</v>
      </c>
      <c r="H1310" t="s">
        <v>51</v>
      </c>
      <c r="I1310" t="s">
        <v>2660</v>
      </c>
      <c r="J1310" t="s">
        <v>42</v>
      </c>
      <c r="K1310" s="4">
        <f>VLOOKUP(J1310,Exchange_Rates!A:B,2,FALSE)</f>
        <v>0.66</v>
      </c>
      <c r="L1310" s="4">
        <f t="shared" si="80"/>
        <v>312.46379999999999</v>
      </c>
      <c r="M1310" s="4">
        <f t="shared" si="81"/>
        <v>0</v>
      </c>
      <c r="N1310" s="4">
        <f t="shared" si="82"/>
        <v>2024</v>
      </c>
      <c r="O1310" s="4">
        <f t="shared" si="83"/>
        <v>1</v>
      </c>
    </row>
    <row r="1311" spans="1:15" x14ac:dyDescent="0.25">
      <c r="A1311" t="s">
        <v>2661</v>
      </c>
      <c r="B1311" s="2">
        <v>45531</v>
      </c>
      <c r="C1311" t="s">
        <v>60</v>
      </c>
      <c r="D1311" t="s">
        <v>61</v>
      </c>
      <c r="E1311">
        <v>0</v>
      </c>
      <c r="F1311">
        <v>4614.12</v>
      </c>
      <c r="G1311" t="s">
        <v>12</v>
      </c>
      <c r="H1311" t="s">
        <v>34</v>
      </c>
      <c r="I1311" t="s">
        <v>2662</v>
      </c>
      <c r="J1311" t="s">
        <v>36</v>
      </c>
      <c r="K1311" s="4">
        <f>VLOOKUP(J1311,Exchange_Rates!A:B,2,FALSE)</f>
        <v>1.08</v>
      </c>
      <c r="L1311" s="4">
        <f t="shared" si="80"/>
        <v>0</v>
      </c>
      <c r="M1311" s="4">
        <f t="shared" si="81"/>
        <v>4983.2496000000001</v>
      </c>
      <c r="N1311" s="4">
        <f t="shared" si="82"/>
        <v>2024</v>
      </c>
      <c r="O1311" s="4">
        <f t="shared" si="83"/>
        <v>3</v>
      </c>
    </row>
    <row r="1312" spans="1:15" x14ac:dyDescent="0.25">
      <c r="A1312" t="s">
        <v>2663</v>
      </c>
      <c r="B1312" s="2">
        <v>44935</v>
      </c>
      <c r="C1312" t="s">
        <v>49</v>
      </c>
      <c r="D1312" t="s">
        <v>50</v>
      </c>
      <c r="E1312">
        <v>1506.71</v>
      </c>
      <c r="F1312">
        <v>0</v>
      </c>
      <c r="G1312" t="s">
        <v>10</v>
      </c>
      <c r="H1312" t="s">
        <v>34</v>
      </c>
      <c r="I1312" t="s">
        <v>2664</v>
      </c>
      <c r="J1312" t="s">
        <v>64</v>
      </c>
      <c r="K1312" s="4">
        <f>VLOOKUP(J1312,Exchange_Rates!A:B,2,FALSE)</f>
        <v>0.73</v>
      </c>
      <c r="L1312" s="4">
        <f t="shared" si="80"/>
        <v>1099.8983000000001</v>
      </c>
      <c r="M1312" s="4">
        <f t="shared" si="81"/>
        <v>0</v>
      </c>
      <c r="N1312" s="4">
        <f t="shared" si="82"/>
        <v>2023</v>
      </c>
      <c r="O1312" s="4">
        <f t="shared" si="83"/>
        <v>1</v>
      </c>
    </row>
    <row r="1313" spans="1:15" x14ac:dyDescent="0.25">
      <c r="A1313" t="s">
        <v>2665</v>
      </c>
      <c r="B1313" s="2">
        <v>44943</v>
      </c>
      <c r="C1313" t="s">
        <v>38</v>
      </c>
      <c r="D1313" t="s">
        <v>39</v>
      </c>
      <c r="E1313">
        <v>874.3</v>
      </c>
      <c r="F1313">
        <v>0</v>
      </c>
      <c r="G1313" t="s">
        <v>11</v>
      </c>
      <c r="H1313" t="s">
        <v>34</v>
      </c>
      <c r="I1313" t="s">
        <v>2666</v>
      </c>
      <c r="J1313" t="s">
        <v>28</v>
      </c>
      <c r="K1313" s="4">
        <f>VLOOKUP(J1313,Exchange_Rates!A:B,2,FALSE)</f>
        <v>1.27</v>
      </c>
      <c r="L1313" s="4">
        <f t="shared" si="80"/>
        <v>1110.3609999999999</v>
      </c>
      <c r="M1313" s="4">
        <f t="shared" si="81"/>
        <v>0</v>
      </c>
      <c r="N1313" s="4">
        <f t="shared" si="82"/>
        <v>2023</v>
      </c>
      <c r="O1313" s="4">
        <f t="shared" si="83"/>
        <v>1</v>
      </c>
    </row>
    <row r="1314" spans="1:15" x14ac:dyDescent="0.25">
      <c r="A1314" t="s">
        <v>2667</v>
      </c>
      <c r="B1314" s="2">
        <v>44938</v>
      </c>
      <c r="C1314" t="s">
        <v>49</v>
      </c>
      <c r="D1314" t="s">
        <v>50</v>
      </c>
      <c r="E1314">
        <v>770.81</v>
      </c>
      <c r="F1314">
        <v>0</v>
      </c>
      <c r="G1314" t="s">
        <v>10</v>
      </c>
      <c r="H1314" t="s">
        <v>62</v>
      </c>
      <c r="I1314" t="s">
        <v>2668</v>
      </c>
      <c r="J1314" t="s">
        <v>45</v>
      </c>
      <c r="K1314" s="4">
        <f>VLOOKUP(J1314,Exchange_Rates!A:B,2,FALSE)</f>
        <v>1</v>
      </c>
      <c r="L1314" s="4">
        <f t="shared" si="80"/>
        <v>770.81</v>
      </c>
      <c r="M1314" s="4">
        <f t="shared" si="81"/>
        <v>0</v>
      </c>
      <c r="N1314" s="4">
        <f t="shared" si="82"/>
        <v>2023</v>
      </c>
      <c r="O1314" s="4">
        <f t="shared" si="83"/>
        <v>1</v>
      </c>
    </row>
    <row r="1315" spans="1:15" x14ac:dyDescent="0.25">
      <c r="A1315" t="s">
        <v>2669</v>
      </c>
      <c r="B1315" s="2">
        <v>45150</v>
      </c>
      <c r="C1315" t="s">
        <v>30</v>
      </c>
      <c r="D1315" t="s">
        <v>31</v>
      </c>
      <c r="E1315">
        <v>916.64</v>
      </c>
      <c r="F1315">
        <v>0</v>
      </c>
      <c r="G1315" t="s">
        <v>10</v>
      </c>
      <c r="H1315" t="s">
        <v>26</v>
      </c>
      <c r="I1315" t="s">
        <v>2670</v>
      </c>
      <c r="J1315" t="s">
        <v>42</v>
      </c>
      <c r="K1315" s="4">
        <f>VLOOKUP(J1315,Exchange_Rates!A:B,2,FALSE)</f>
        <v>0.66</v>
      </c>
      <c r="L1315" s="4">
        <f t="shared" si="80"/>
        <v>604.98239999999998</v>
      </c>
      <c r="M1315" s="4">
        <f t="shared" si="81"/>
        <v>0</v>
      </c>
      <c r="N1315" s="4">
        <f t="shared" si="82"/>
        <v>2023</v>
      </c>
      <c r="O1315" s="4">
        <f t="shared" si="83"/>
        <v>3</v>
      </c>
    </row>
    <row r="1316" spans="1:15" x14ac:dyDescent="0.25">
      <c r="A1316" t="s">
        <v>2671</v>
      </c>
      <c r="B1316" s="2">
        <v>45834</v>
      </c>
      <c r="C1316" t="s">
        <v>30</v>
      </c>
      <c r="D1316" t="s">
        <v>31</v>
      </c>
      <c r="E1316">
        <v>1378.77</v>
      </c>
      <c r="F1316">
        <v>0</v>
      </c>
      <c r="G1316" t="s">
        <v>8</v>
      </c>
      <c r="H1316" t="s">
        <v>26</v>
      </c>
      <c r="I1316" t="s">
        <v>2672</v>
      </c>
      <c r="J1316" t="s">
        <v>42</v>
      </c>
      <c r="K1316" s="4">
        <f>VLOOKUP(J1316,Exchange_Rates!A:B,2,FALSE)</f>
        <v>0.66</v>
      </c>
      <c r="L1316" s="4">
        <f t="shared" si="80"/>
        <v>909.98820000000001</v>
      </c>
      <c r="M1316" s="4">
        <f t="shared" si="81"/>
        <v>0</v>
      </c>
      <c r="N1316" s="4">
        <f t="shared" si="82"/>
        <v>2025</v>
      </c>
      <c r="O1316" s="4">
        <f t="shared" si="83"/>
        <v>2</v>
      </c>
    </row>
    <row r="1317" spans="1:15" x14ac:dyDescent="0.25">
      <c r="A1317" t="s">
        <v>2673</v>
      </c>
      <c r="B1317" s="2">
        <v>45544</v>
      </c>
      <c r="C1317" t="s">
        <v>49</v>
      </c>
      <c r="D1317" t="s">
        <v>50</v>
      </c>
      <c r="E1317">
        <v>1403.4</v>
      </c>
      <c r="F1317">
        <v>0</v>
      </c>
      <c r="G1317" t="s">
        <v>12</v>
      </c>
      <c r="H1317" t="s">
        <v>34</v>
      </c>
      <c r="I1317" t="s">
        <v>2674</v>
      </c>
      <c r="J1317" t="s">
        <v>42</v>
      </c>
      <c r="K1317" s="4">
        <f>VLOOKUP(J1317,Exchange_Rates!A:B,2,FALSE)</f>
        <v>0.66</v>
      </c>
      <c r="L1317" s="4">
        <f t="shared" si="80"/>
        <v>926.24400000000014</v>
      </c>
      <c r="M1317" s="4">
        <f t="shared" si="81"/>
        <v>0</v>
      </c>
      <c r="N1317" s="4">
        <f t="shared" si="82"/>
        <v>2024</v>
      </c>
      <c r="O1317" s="4">
        <f t="shared" si="83"/>
        <v>3</v>
      </c>
    </row>
    <row r="1318" spans="1:15" x14ac:dyDescent="0.25">
      <c r="A1318" t="s">
        <v>2675</v>
      </c>
      <c r="B1318" s="2">
        <v>45130</v>
      </c>
      <c r="C1318" t="s">
        <v>30</v>
      </c>
      <c r="D1318" t="s">
        <v>31</v>
      </c>
      <c r="E1318">
        <v>710.78</v>
      </c>
      <c r="F1318">
        <v>0</v>
      </c>
      <c r="G1318" t="s">
        <v>8</v>
      </c>
      <c r="H1318" t="s">
        <v>26</v>
      </c>
      <c r="I1318" t="s">
        <v>2676</v>
      </c>
      <c r="J1318" t="s">
        <v>64</v>
      </c>
      <c r="K1318" s="4">
        <f>VLOOKUP(J1318,Exchange_Rates!A:B,2,FALSE)</f>
        <v>0.73</v>
      </c>
      <c r="L1318" s="4">
        <f t="shared" si="80"/>
        <v>518.86939999999993</v>
      </c>
      <c r="M1318" s="4">
        <f t="shared" si="81"/>
        <v>0</v>
      </c>
      <c r="N1318" s="4">
        <f t="shared" si="82"/>
        <v>2023</v>
      </c>
      <c r="O1318" s="4">
        <f t="shared" si="83"/>
        <v>3</v>
      </c>
    </row>
    <row r="1319" spans="1:15" x14ac:dyDescent="0.25">
      <c r="A1319" t="s">
        <v>2677</v>
      </c>
      <c r="B1319" s="2">
        <v>45836</v>
      </c>
      <c r="C1319" t="s">
        <v>60</v>
      </c>
      <c r="D1319" t="s">
        <v>61</v>
      </c>
      <c r="E1319">
        <v>0</v>
      </c>
      <c r="F1319">
        <v>2077.61</v>
      </c>
      <c r="G1319" t="s">
        <v>11</v>
      </c>
      <c r="H1319" t="s">
        <v>34</v>
      </c>
      <c r="I1319" t="s">
        <v>2678</v>
      </c>
      <c r="J1319" t="s">
        <v>45</v>
      </c>
      <c r="K1319" s="4">
        <f>VLOOKUP(J1319,Exchange_Rates!A:B,2,FALSE)</f>
        <v>1</v>
      </c>
      <c r="L1319" s="4">
        <f t="shared" si="80"/>
        <v>0</v>
      </c>
      <c r="M1319" s="4">
        <f t="shared" si="81"/>
        <v>2077.61</v>
      </c>
      <c r="N1319" s="4">
        <f t="shared" si="82"/>
        <v>2025</v>
      </c>
      <c r="O1319" s="4">
        <f t="shared" si="83"/>
        <v>2</v>
      </c>
    </row>
    <row r="1320" spans="1:15" x14ac:dyDescent="0.25">
      <c r="A1320" t="s">
        <v>2679</v>
      </c>
      <c r="B1320" s="2">
        <v>45106</v>
      </c>
      <c r="C1320" t="s">
        <v>24</v>
      </c>
      <c r="D1320" t="s">
        <v>25</v>
      </c>
      <c r="E1320">
        <v>0</v>
      </c>
      <c r="F1320">
        <v>2075.2600000000002</v>
      </c>
      <c r="G1320" t="s">
        <v>9</v>
      </c>
      <c r="H1320" t="s">
        <v>26</v>
      </c>
      <c r="I1320" t="s">
        <v>2680</v>
      </c>
      <c r="J1320" t="s">
        <v>45</v>
      </c>
      <c r="K1320" s="4">
        <f>VLOOKUP(J1320,Exchange_Rates!A:B,2,FALSE)</f>
        <v>1</v>
      </c>
      <c r="L1320" s="4">
        <f t="shared" si="80"/>
        <v>0</v>
      </c>
      <c r="M1320" s="4">
        <f t="shared" si="81"/>
        <v>2075.2600000000002</v>
      </c>
      <c r="N1320" s="4">
        <f t="shared" si="82"/>
        <v>2023</v>
      </c>
      <c r="O1320" s="4">
        <f t="shared" si="83"/>
        <v>2</v>
      </c>
    </row>
    <row r="1321" spans="1:15" x14ac:dyDescent="0.25">
      <c r="A1321" t="s">
        <v>2681</v>
      </c>
      <c r="B1321" s="2">
        <v>45321</v>
      </c>
      <c r="C1321" t="s">
        <v>30</v>
      </c>
      <c r="D1321" t="s">
        <v>31</v>
      </c>
      <c r="E1321">
        <v>955.82</v>
      </c>
      <c r="F1321">
        <v>0</v>
      </c>
      <c r="G1321" t="s">
        <v>10</v>
      </c>
      <c r="H1321" t="s">
        <v>40</v>
      </c>
      <c r="I1321" t="s">
        <v>2682</v>
      </c>
      <c r="J1321" t="s">
        <v>28</v>
      </c>
      <c r="K1321" s="4">
        <f>VLOOKUP(J1321,Exchange_Rates!A:B,2,FALSE)</f>
        <v>1.27</v>
      </c>
      <c r="L1321" s="4">
        <f t="shared" si="80"/>
        <v>1213.8914</v>
      </c>
      <c r="M1321" s="4">
        <f t="shared" si="81"/>
        <v>0</v>
      </c>
      <c r="N1321" s="4">
        <f t="shared" si="82"/>
        <v>2024</v>
      </c>
      <c r="O1321" s="4">
        <f t="shared" si="83"/>
        <v>1</v>
      </c>
    </row>
    <row r="1322" spans="1:15" x14ac:dyDescent="0.25">
      <c r="A1322" t="s">
        <v>2683</v>
      </c>
      <c r="B1322" s="2">
        <v>45712</v>
      </c>
      <c r="C1322" t="s">
        <v>30</v>
      </c>
      <c r="D1322" t="s">
        <v>31</v>
      </c>
      <c r="E1322">
        <v>1924.14</v>
      </c>
      <c r="F1322">
        <v>0</v>
      </c>
      <c r="G1322" t="s">
        <v>12</v>
      </c>
      <c r="H1322" t="s">
        <v>62</v>
      </c>
      <c r="I1322" t="s">
        <v>2684</v>
      </c>
      <c r="J1322" t="s">
        <v>64</v>
      </c>
      <c r="K1322" s="4">
        <f>VLOOKUP(J1322,Exchange_Rates!A:B,2,FALSE)</f>
        <v>0.73</v>
      </c>
      <c r="L1322" s="4">
        <f t="shared" si="80"/>
        <v>1404.6222</v>
      </c>
      <c r="M1322" s="4">
        <f t="shared" si="81"/>
        <v>0</v>
      </c>
      <c r="N1322" s="4">
        <f t="shared" si="82"/>
        <v>2025</v>
      </c>
      <c r="O1322" s="4">
        <f t="shared" si="83"/>
        <v>1</v>
      </c>
    </row>
    <row r="1323" spans="1:15" x14ac:dyDescent="0.25">
      <c r="A1323" t="s">
        <v>2685</v>
      </c>
      <c r="B1323" s="2">
        <v>45382</v>
      </c>
      <c r="C1323" t="s">
        <v>60</v>
      </c>
      <c r="D1323" t="s">
        <v>61</v>
      </c>
      <c r="E1323">
        <v>0</v>
      </c>
      <c r="F1323">
        <v>4238.9799999999996</v>
      </c>
      <c r="G1323" t="s">
        <v>13</v>
      </c>
      <c r="H1323" t="s">
        <v>26</v>
      </c>
      <c r="I1323" t="s">
        <v>2686</v>
      </c>
      <c r="J1323" t="s">
        <v>36</v>
      </c>
      <c r="K1323" s="4">
        <f>VLOOKUP(J1323,Exchange_Rates!A:B,2,FALSE)</f>
        <v>1.08</v>
      </c>
      <c r="L1323" s="4">
        <f t="shared" si="80"/>
        <v>0</v>
      </c>
      <c r="M1323" s="4">
        <f t="shared" si="81"/>
        <v>4578.0983999999999</v>
      </c>
      <c r="N1323" s="4">
        <f t="shared" si="82"/>
        <v>2024</v>
      </c>
      <c r="O1323" s="4">
        <f t="shared" si="83"/>
        <v>1</v>
      </c>
    </row>
    <row r="1324" spans="1:15" x14ac:dyDescent="0.25">
      <c r="A1324" t="s">
        <v>2687</v>
      </c>
      <c r="B1324" s="2">
        <v>45636</v>
      </c>
      <c r="C1324" t="s">
        <v>49</v>
      </c>
      <c r="D1324" t="s">
        <v>50</v>
      </c>
      <c r="E1324">
        <v>1471.95</v>
      </c>
      <c r="F1324">
        <v>0</v>
      </c>
      <c r="G1324" t="s">
        <v>9</v>
      </c>
      <c r="H1324" t="s">
        <v>40</v>
      </c>
      <c r="I1324" t="s">
        <v>2688</v>
      </c>
      <c r="J1324" t="s">
        <v>28</v>
      </c>
      <c r="K1324" s="4">
        <f>VLOOKUP(J1324,Exchange_Rates!A:B,2,FALSE)</f>
        <v>1.27</v>
      </c>
      <c r="L1324" s="4">
        <f t="shared" si="80"/>
        <v>1869.3765000000001</v>
      </c>
      <c r="M1324" s="4">
        <f t="shared" si="81"/>
        <v>0</v>
      </c>
      <c r="N1324" s="4">
        <f t="shared" si="82"/>
        <v>2024</v>
      </c>
      <c r="O1324" s="4">
        <f t="shared" si="83"/>
        <v>4</v>
      </c>
    </row>
    <row r="1325" spans="1:15" x14ac:dyDescent="0.25">
      <c r="A1325" t="s">
        <v>2689</v>
      </c>
      <c r="B1325" s="2">
        <v>45826</v>
      </c>
      <c r="C1325" t="s">
        <v>60</v>
      </c>
      <c r="D1325" t="s">
        <v>61</v>
      </c>
      <c r="E1325">
        <v>0</v>
      </c>
      <c r="F1325">
        <v>1269.44</v>
      </c>
      <c r="G1325" t="s">
        <v>11</v>
      </c>
      <c r="H1325" t="s">
        <v>51</v>
      </c>
      <c r="I1325" t="s">
        <v>2690</v>
      </c>
      <c r="J1325" t="s">
        <v>42</v>
      </c>
      <c r="K1325" s="4">
        <f>VLOOKUP(J1325,Exchange_Rates!A:B,2,FALSE)</f>
        <v>0.66</v>
      </c>
      <c r="L1325" s="4">
        <f t="shared" si="80"/>
        <v>0</v>
      </c>
      <c r="M1325" s="4">
        <f t="shared" si="81"/>
        <v>837.83040000000005</v>
      </c>
      <c r="N1325" s="4">
        <f t="shared" si="82"/>
        <v>2025</v>
      </c>
      <c r="O1325" s="4">
        <f t="shared" si="83"/>
        <v>2</v>
      </c>
    </row>
    <row r="1326" spans="1:15" x14ac:dyDescent="0.25">
      <c r="A1326" t="s">
        <v>2691</v>
      </c>
      <c r="B1326" s="2">
        <v>45171</v>
      </c>
      <c r="C1326" t="s">
        <v>30</v>
      </c>
      <c r="D1326" t="s">
        <v>31</v>
      </c>
      <c r="E1326">
        <v>97.3</v>
      </c>
      <c r="F1326">
        <v>0</v>
      </c>
      <c r="G1326" t="s">
        <v>13</v>
      </c>
      <c r="H1326" t="s">
        <v>26</v>
      </c>
      <c r="I1326" t="s">
        <v>2692</v>
      </c>
      <c r="J1326" t="s">
        <v>42</v>
      </c>
      <c r="K1326" s="4">
        <f>VLOOKUP(J1326,Exchange_Rates!A:B,2,FALSE)</f>
        <v>0.66</v>
      </c>
      <c r="L1326" s="4">
        <f t="shared" si="80"/>
        <v>64.218000000000004</v>
      </c>
      <c r="M1326" s="4">
        <f t="shared" si="81"/>
        <v>0</v>
      </c>
      <c r="N1326" s="4">
        <f t="shared" si="82"/>
        <v>2023</v>
      </c>
      <c r="O1326" s="4">
        <f t="shared" si="83"/>
        <v>3</v>
      </c>
    </row>
    <row r="1327" spans="1:15" x14ac:dyDescent="0.25">
      <c r="A1327" t="s">
        <v>2693</v>
      </c>
      <c r="B1327" s="2">
        <v>44986</v>
      </c>
      <c r="C1327" t="s">
        <v>38</v>
      </c>
      <c r="D1327" t="s">
        <v>39</v>
      </c>
      <c r="E1327">
        <v>557.66</v>
      </c>
      <c r="F1327">
        <v>0</v>
      </c>
      <c r="G1327" t="s">
        <v>13</v>
      </c>
      <c r="H1327" t="s">
        <v>26</v>
      </c>
      <c r="I1327" t="s">
        <v>2694</v>
      </c>
      <c r="J1327" t="s">
        <v>45</v>
      </c>
      <c r="K1327" s="4">
        <f>VLOOKUP(J1327,Exchange_Rates!A:B,2,FALSE)</f>
        <v>1</v>
      </c>
      <c r="L1327" s="4">
        <f t="shared" si="80"/>
        <v>557.66</v>
      </c>
      <c r="M1327" s="4">
        <f t="shared" si="81"/>
        <v>0</v>
      </c>
      <c r="N1327" s="4">
        <f t="shared" si="82"/>
        <v>2023</v>
      </c>
      <c r="O1327" s="4">
        <f t="shared" si="83"/>
        <v>1</v>
      </c>
    </row>
    <row r="1328" spans="1:15" x14ac:dyDescent="0.25">
      <c r="A1328" t="s">
        <v>2695</v>
      </c>
      <c r="B1328" s="2">
        <v>45374</v>
      </c>
      <c r="C1328" t="s">
        <v>49</v>
      </c>
      <c r="D1328" t="s">
        <v>50</v>
      </c>
      <c r="E1328">
        <v>1380.55</v>
      </c>
      <c r="F1328">
        <v>0</v>
      </c>
      <c r="G1328" t="s">
        <v>9</v>
      </c>
      <c r="H1328" t="s">
        <v>40</v>
      </c>
      <c r="I1328" t="s">
        <v>2696</v>
      </c>
      <c r="J1328" t="s">
        <v>42</v>
      </c>
      <c r="K1328" s="4">
        <f>VLOOKUP(J1328,Exchange_Rates!A:B,2,FALSE)</f>
        <v>0.66</v>
      </c>
      <c r="L1328" s="4">
        <f t="shared" si="80"/>
        <v>911.16300000000001</v>
      </c>
      <c r="M1328" s="4">
        <f t="shared" si="81"/>
        <v>0</v>
      </c>
      <c r="N1328" s="4">
        <f t="shared" si="82"/>
        <v>2024</v>
      </c>
      <c r="O1328" s="4">
        <f t="shared" si="83"/>
        <v>1</v>
      </c>
    </row>
    <row r="1329" spans="1:15" x14ac:dyDescent="0.25">
      <c r="A1329" t="s">
        <v>2697</v>
      </c>
      <c r="B1329" s="2">
        <v>45689</v>
      </c>
      <c r="C1329" t="s">
        <v>30</v>
      </c>
      <c r="D1329" t="s">
        <v>31</v>
      </c>
      <c r="E1329">
        <v>606.16</v>
      </c>
      <c r="F1329">
        <v>0</v>
      </c>
      <c r="G1329" t="s">
        <v>9</v>
      </c>
      <c r="H1329" t="s">
        <v>51</v>
      </c>
      <c r="I1329" t="s">
        <v>2698</v>
      </c>
      <c r="J1329" t="s">
        <v>42</v>
      </c>
      <c r="K1329" s="4">
        <f>VLOOKUP(J1329,Exchange_Rates!A:B,2,FALSE)</f>
        <v>0.66</v>
      </c>
      <c r="L1329" s="4">
        <f t="shared" si="80"/>
        <v>400.06560000000002</v>
      </c>
      <c r="M1329" s="4">
        <f t="shared" si="81"/>
        <v>0</v>
      </c>
      <c r="N1329" s="4">
        <f t="shared" si="82"/>
        <v>2025</v>
      </c>
      <c r="O1329" s="4">
        <f t="shared" si="83"/>
        <v>1</v>
      </c>
    </row>
    <row r="1330" spans="1:15" x14ac:dyDescent="0.25">
      <c r="A1330" t="s">
        <v>2699</v>
      </c>
      <c r="B1330" s="2">
        <v>45423</v>
      </c>
      <c r="C1330" t="s">
        <v>38</v>
      </c>
      <c r="D1330" t="s">
        <v>39</v>
      </c>
      <c r="E1330">
        <v>1885.28</v>
      </c>
      <c r="F1330">
        <v>0</v>
      </c>
      <c r="G1330" t="s">
        <v>12</v>
      </c>
      <c r="H1330" t="s">
        <v>34</v>
      </c>
      <c r="I1330" t="s">
        <v>2700</v>
      </c>
      <c r="J1330" t="s">
        <v>64</v>
      </c>
      <c r="K1330" s="4">
        <f>VLOOKUP(J1330,Exchange_Rates!A:B,2,FALSE)</f>
        <v>0.73</v>
      </c>
      <c r="L1330" s="4">
        <f t="shared" si="80"/>
        <v>1376.2544</v>
      </c>
      <c r="M1330" s="4">
        <f t="shared" si="81"/>
        <v>0</v>
      </c>
      <c r="N1330" s="4">
        <f t="shared" si="82"/>
        <v>2024</v>
      </c>
      <c r="O1330" s="4">
        <f t="shared" si="83"/>
        <v>2</v>
      </c>
    </row>
    <row r="1331" spans="1:15" x14ac:dyDescent="0.25">
      <c r="A1331" t="s">
        <v>2701</v>
      </c>
      <c r="B1331" s="2">
        <v>45623</v>
      </c>
      <c r="C1331" t="s">
        <v>49</v>
      </c>
      <c r="D1331" t="s">
        <v>50</v>
      </c>
      <c r="E1331">
        <v>1731.77</v>
      </c>
      <c r="F1331">
        <v>0</v>
      </c>
      <c r="G1331" t="s">
        <v>12</v>
      </c>
      <c r="H1331" t="s">
        <v>40</v>
      </c>
      <c r="I1331" t="s">
        <v>2702</v>
      </c>
      <c r="J1331" t="s">
        <v>64</v>
      </c>
      <c r="K1331" s="4">
        <f>VLOOKUP(J1331,Exchange_Rates!A:B,2,FALSE)</f>
        <v>0.73</v>
      </c>
      <c r="L1331" s="4">
        <f t="shared" si="80"/>
        <v>1264.1921</v>
      </c>
      <c r="M1331" s="4">
        <f t="shared" si="81"/>
        <v>0</v>
      </c>
      <c r="N1331" s="4">
        <f t="shared" si="82"/>
        <v>2024</v>
      </c>
      <c r="O1331" s="4">
        <f t="shared" si="83"/>
        <v>4</v>
      </c>
    </row>
    <row r="1332" spans="1:15" x14ac:dyDescent="0.25">
      <c r="A1332" t="s">
        <v>2703</v>
      </c>
      <c r="B1332" s="2">
        <v>45069</v>
      </c>
      <c r="C1332" t="s">
        <v>30</v>
      </c>
      <c r="D1332" t="s">
        <v>31</v>
      </c>
      <c r="E1332">
        <v>394.02</v>
      </c>
      <c r="F1332">
        <v>0</v>
      </c>
      <c r="G1332" t="s">
        <v>9</v>
      </c>
      <c r="H1332" t="s">
        <v>26</v>
      </c>
      <c r="I1332" t="s">
        <v>2704</v>
      </c>
      <c r="J1332" t="s">
        <v>28</v>
      </c>
      <c r="K1332" s="4">
        <f>VLOOKUP(J1332,Exchange_Rates!A:B,2,FALSE)</f>
        <v>1.27</v>
      </c>
      <c r="L1332" s="4">
        <f t="shared" si="80"/>
        <v>500.40539999999999</v>
      </c>
      <c r="M1332" s="4">
        <f t="shared" si="81"/>
        <v>0</v>
      </c>
      <c r="N1332" s="4">
        <f t="shared" si="82"/>
        <v>2023</v>
      </c>
      <c r="O1332" s="4">
        <f t="shared" si="83"/>
        <v>2</v>
      </c>
    </row>
    <row r="1333" spans="1:15" x14ac:dyDescent="0.25">
      <c r="A1333" t="s">
        <v>2705</v>
      </c>
      <c r="B1333" s="2">
        <v>45298</v>
      </c>
      <c r="C1333" t="s">
        <v>24</v>
      </c>
      <c r="D1333" t="s">
        <v>25</v>
      </c>
      <c r="E1333">
        <v>0</v>
      </c>
      <c r="F1333">
        <v>687.07</v>
      </c>
      <c r="G1333" t="s">
        <v>9</v>
      </c>
      <c r="H1333" t="s">
        <v>34</v>
      </c>
      <c r="I1333" t="s">
        <v>2706</v>
      </c>
      <c r="J1333" t="s">
        <v>64</v>
      </c>
      <c r="K1333" s="4">
        <f>VLOOKUP(J1333,Exchange_Rates!A:B,2,FALSE)</f>
        <v>0.73</v>
      </c>
      <c r="L1333" s="4">
        <f t="shared" si="80"/>
        <v>0</v>
      </c>
      <c r="M1333" s="4">
        <f t="shared" si="81"/>
        <v>501.56110000000001</v>
      </c>
      <c r="N1333" s="4">
        <f t="shared" si="82"/>
        <v>2024</v>
      </c>
      <c r="O1333" s="4">
        <f t="shared" si="83"/>
        <v>1</v>
      </c>
    </row>
    <row r="1334" spans="1:15" x14ac:dyDescent="0.25">
      <c r="A1334" t="s">
        <v>2707</v>
      </c>
      <c r="B1334" s="2">
        <v>45272</v>
      </c>
      <c r="C1334" t="s">
        <v>60</v>
      </c>
      <c r="D1334" t="s">
        <v>61</v>
      </c>
      <c r="E1334">
        <v>0</v>
      </c>
      <c r="F1334">
        <v>4603.0200000000004</v>
      </c>
      <c r="G1334" t="s">
        <v>12</v>
      </c>
      <c r="H1334" t="s">
        <v>34</v>
      </c>
      <c r="I1334" t="s">
        <v>2708</v>
      </c>
      <c r="J1334" t="s">
        <v>28</v>
      </c>
      <c r="K1334" s="4">
        <f>VLOOKUP(J1334,Exchange_Rates!A:B,2,FALSE)</f>
        <v>1.27</v>
      </c>
      <c r="L1334" s="4">
        <f t="shared" si="80"/>
        <v>0</v>
      </c>
      <c r="M1334" s="4">
        <f t="shared" si="81"/>
        <v>5845.8354000000008</v>
      </c>
      <c r="N1334" s="4">
        <f t="shared" si="82"/>
        <v>2023</v>
      </c>
      <c r="O1334" s="4">
        <f t="shared" si="83"/>
        <v>4</v>
      </c>
    </row>
    <row r="1335" spans="1:15" x14ac:dyDescent="0.25">
      <c r="A1335" t="s">
        <v>2709</v>
      </c>
      <c r="B1335" s="2">
        <v>45461</v>
      </c>
      <c r="C1335" t="s">
        <v>38</v>
      </c>
      <c r="D1335" t="s">
        <v>39</v>
      </c>
      <c r="E1335">
        <v>675.05</v>
      </c>
      <c r="F1335">
        <v>0</v>
      </c>
      <c r="G1335" t="s">
        <v>12</v>
      </c>
      <c r="H1335" t="s">
        <v>40</v>
      </c>
      <c r="I1335" t="s">
        <v>2710</v>
      </c>
      <c r="J1335" t="s">
        <v>45</v>
      </c>
      <c r="K1335" s="4">
        <f>VLOOKUP(J1335,Exchange_Rates!A:B,2,FALSE)</f>
        <v>1</v>
      </c>
      <c r="L1335" s="4">
        <f t="shared" si="80"/>
        <v>675.05</v>
      </c>
      <c r="M1335" s="4">
        <f t="shared" si="81"/>
        <v>0</v>
      </c>
      <c r="N1335" s="4">
        <f t="shared" si="82"/>
        <v>2024</v>
      </c>
      <c r="O1335" s="4">
        <f t="shared" si="83"/>
        <v>2</v>
      </c>
    </row>
    <row r="1336" spans="1:15" x14ac:dyDescent="0.25">
      <c r="A1336" t="s">
        <v>2711</v>
      </c>
      <c r="B1336" s="2">
        <v>45201</v>
      </c>
      <c r="C1336" t="s">
        <v>30</v>
      </c>
      <c r="D1336" t="s">
        <v>31</v>
      </c>
      <c r="E1336">
        <v>1487.83</v>
      </c>
      <c r="F1336">
        <v>0</v>
      </c>
      <c r="G1336" t="s">
        <v>10</v>
      </c>
      <c r="H1336" t="s">
        <v>51</v>
      </c>
      <c r="I1336" t="s">
        <v>2712</v>
      </c>
      <c r="J1336" t="s">
        <v>42</v>
      </c>
      <c r="K1336" s="4">
        <f>VLOOKUP(J1336,Exchange_Rates!A:B,2,FALSE)</f>
        <v>0.66</v>
      </c>
      <c r="L1336" s="4">
        <f t="shared" si="80"/>
        <v>981.96780000000001</v>
      </c>
      <c r="M1336" s="4">
        <f t="shared" si="81"/>
        <v>0</v>
      </c>
      <c r="N1336" s="4">
        <f t="shared" si="82"/>
        <v>2023</v>
      </c>
      <c r="O1336" s="4">
        <f t="shared" si="83"/>
        <v>4</v>
      </c>
    </row>
    <row r="1337" spans="1:15" x14ac:dyDescent="0.25">
      <c r="A1337" t="s">
        <v>2713</v>
      </c>
      <c r="B1337" s="2">
        <v>45062</v>
      </c>
      <c r="C1337" t="s">
        <v>38</v>
      </c>
      <c r="D1337" t="s">
        <v>39</v>
      </c>
      <c r="E1337">
        <v>792.43</v>
      </c>
      <c r="F1337">
        <v>0</v>
      </c>
      <c r="G1337" t="s">
        <v>8</v>
      </c>
      <c r="H1337" t="s">
        <v>34</v>
      </c>
      <c r="I1337" t="s">
        <v>2714</v>
      </c>
      <c r="J1337" t="s">
        <v>28</v>
      </c>
      <c r="K1337" s="4">
        <f>VLOOKUP(J1337,Exchange_Rates!A:B,2,FALSE)</f>
        <v>1.27</v>
      </c>
      <c r="L1337" s="4">
        <f t="shared" si="80"/>
        <v>1006.3860999999999</v>
      </c>
      <c r="M1337" s="4">
        <f t="shared" si="81"/>
        <v>0</v>
      </c>
      <c r="N1337" s="4">
        <f t="shared" si="82"/>
        <v>2023</v>
      </c>
      <c r="O1337" s="4">
        <f t="shared" si="83"/>
        <v>2</v>
      </c>
    </row>
    <row r="1338" spans="1:15" x14ac:dyDescent="0.25">
      <c r="A1338" t="s">
        <v>2715</v>
      </c>
      <c r="B1338" s="2">
        <v>45835</v>
      </c>
      <c r="C1338" t="s">
        <v>24</v>
      </c>
      <c r="D1338" t="s">
        <v>25</v>
      </c>
      <c r="E1338">
        <v>0</v>
      </c>
      <c r="F1338">
        <v>1819.9</v>
      </c>
      <c r="G1338" t="s">
        <v>9</v>
      </c>
      <c r="H1338" t="s">
        <v>51</v>
      </c>
      <c r="I1338" t="s">
        <v>2716</v>
      </c>
      <c r="J1338" t="s">
        <v>28</v>
      </c>
      <c r="K1338" s="4">
        <f>VLOOKUP(J1338,Exchange_Rates!A:B,2,FALSE)</f>
        <v>1.27</v>
      </c>
      <c r="L1338" s="4">
        <f t="shared" si="80"/>
        <v>0</v>
      </c>
      <c r="M1338" s="4">
        <f t="shared" si="81"/>
        <v>2311.2730000000001</v>
      </c>
      <c r="N1338" s="4">
        <f t="shared" si="82"/>
        <v>2025</v>
      </c>
      <c r="O1338" s="4">
        <f t="shared" si="83"/>
        <v>2</v>
      </c>
    </row>
    <row r="1339" spans="1:15" x14ac:dyDescent="0.25">
      <c r="A1339" t="s">
        <v>2717</v>
      </c>
      <c r="B1339" s="2">
        <v>45696</v>
      </c>
      <c r="C1339" t="s">
        <v>30</v>
      </c>
      <c r="D1339" t="s">
        <v>31</v>
      </c>
      <c r="E1339">
        <v>1966.73</v>
      </c>
      <c r="F1339">
        <v>0</v>
      </c>
      <c r="G1339" t="s">
        <v>10</v>
      </c>
      <c r="H1339" t="s">
        <v>34</v>
      </c>
      <c r="I1339" t="s">
        <v>2718</v>
      </c>
      <c r="J1339" t="s">
        <v>28</v>
      </c>
      <c r="K1339" s="4">
        <f>VLOOKUP(J1339,Exchange_Rates!A:B,2,FALSE)</f>
        <v>1.27</v>
      </c>
      <c r="L1339" s="4">
        <f t="shared" si="80"/>
        <v>2497.7471</v>
      </c>
      <c r="M1339" s="4">
        <f t="shared" si="81"/>
        <v>0</v>
      </c>
      <c r="N1339" s="4">
        <f t="shared" si="82"/>
        <v>2025</v>
      </c>
      <c r="O1339" s="4">
        <f t="shared" si="83"/>
        <v>1</v>
      </c>
    </row>
    <row r="1340" spans="1:15" x14ac:dyDescent="0.25">
      <c r="A1340" t="s">
        <v>2719</v>
      </c>
      <c r="B1340" s="2">
        <v>44957</v>
      </c>
      <c r="C1340" t="s">
        <v>60</v>
      </c>
      <c r="D1340" t="s">
        <v>61</v>
      </c>
      <c r="E1340">
        <v>0</v>
      </c>
      <c r="F1340">
        <v>1355.21</v>
      </c>
      <c r="G1340" t="s">
        <v>13</v>
      </c>
      <c r="H1340" t="s">
        <v>62</v>
      </c>
      <c r="I1340" t="s">
        <v>2720</v>
      </c>
      <c r="J1340" t="s">
        <v>64</v>
      </c>
      <c r="K1340" s="4">
        <f>VLOOKUP(J1340,Exchange_Rates!A:B,2,FALSE)</f>
        <v>0.73</v>
      </c>
      <c r="L1340" s="4">
        <f t="shared" si="80"/>
        <v>0</v>
      </c>
      <c r="M1340" s="4">
        <f t="shared" si="81"/>
        <v>989.30330000000004</v>
      </c>
      <c r="N1340" s="4">
        <f t="shared" si="82"/>
        <v>2023</v>
      </c>
      <c r="O1340" s="4">
        <f t="shared" si="83"/>
        <v>1</v>
      </c>
    </row>
    <row r="1341" spans="1:15" x14ac:dyDescent="0.25">
      <c r="A1341" t="s">
        <v>2721</v>
      </c>
      <c r="B1341" s="2">
        <v>45629</v>
      </c>
      <c r="C1341" t="s">
        <v>60</v>
      </c>
      <c r="D1341" t="s">
        <v>61</v>
      </c>
      <c r="E1341">
        <v>0</v>
      </c>
      <c r="F1341">
        <v>4992.45</v>
      </c>
      <c r="G1341" t="s">
        <v>9</v>
      </c>
      <c r="H1341" t="s">
        <v>26</v>
      </c>
      <c r="I1341" t="s">
        <v>2722</v>
      </c>
      <c r="J1341" t="s">
        <v>64</v>
      </c>
      <c r="K1341" s="4">
        <f>VLOOKUP(J1341,Exchange_Rates!A:B,2,FALSE)</f>
        <v>0.73</v>
      </c>
      <c r="L1341" s="4">
        <f t="shared" si="80"/>
        <v>0</v>
      </c>
      <c r="M1341" s="4">
        <f t="shared" si="81"/>
        <v>3644.4884999999999</v>
      </c>
      <c r="N1341" s="4">
        <f t="shared" si="82"/>
        <v>2024</v>
      </c>
      <c r="O1341" s="4">
        <f t="shared" si="83"/>
        <v>4</v>
      </c>
    </row>
    <row r="1342" spans="1:15" x14ac:dyDescent="0.25">
      <c r="A1342" t="s">
        <v>2723</v>
      </c>
      <c r="B1342" s="2">
        <v>45591</v>
      </c>
      <c r="C1342" t="s">
        <v>30</v>
      </c>
      <c r="D1342" t="s">
        <v>31</v>
      </c>
      <c r="E1342">
        <v>1949.81</v>
      </c>
      <c r="F1342">
        <v>0</v>
      </c>
      <c r="G1342" t="s">
        <v>9</v>
      </c>
      <c r="H1342" t="s">
        <v>51</v>
      </c>
      <c r="I1342" t="s">
        <v>2724</v>
      </c>
      <c r="J1342" t="s">
        <v>36</v>
      </c>
      <c r="K1342" s="4">
        <f>VLOOKUP(J1342,Exchange_Rates!A:B,2,FALSE)</f>
        <v>1.08</v>
      </c>
      <c r="L1342" s="4">
        <f t="shared" si="80"/>
        <v>2105.7948000000001</v>
      </c>
      <c r="M1342" s="4">
        <f t="shared" si="81"/>
        <v>0</v>
      </c>
      <c r="N1342" s="4">
        <f t="shared" si="82"/>
        <v>2024</v>
      </c>
      <c r="O1342" s="4">
        <f t="shared" si="83"/>
        <v>4</v>
      </c>
    </row>
    <row r="1343" spans="1:15" x14ac:dyDescent="0.25">
      <c r="A1343" t="s">
        <v>2725</v>
      </c>
      <c r="B1343" s="2">
        <v>45620</v>
      </c>
      <c r="C1343" t="s">
        <v>49</v>
      </c>
      <c r="D1343" t="s">
        <v>50</v>
      </c>
      <c r="E1343">
        <v>733.3</v>
      </c>
      <c r="F1343">
        <v>0</v>
      </c>
      <c r="G1343" t="s">
        <v>9</v>
      </c>
      <c r="H1343" t="s">
        <v>34</v>
      </c>
      <c r="I1343" t="s">
        <v>2726</v>
      </c>
      <c r="J1343" t="s">
        <v>36</v>
      </c>
      <c r="K1343" s="4">
        <f>VLOOKUP(J1343,Exchange_Rates!A:B,2,FALSE)</f>
        <v>1.08</v>
      </c>
      <c r="L1343" s="4">
        <f t="shared" si="80"/>
        <v>791.96400000000006</v>
      </c>
      <c r="M1343" s="4">
        <f t="shared" si="81"/>
        <v>0</v>
      </c>
      <c r="N1343" s="4">
        <f t="shared" si="82"/>
        <v>2024</v>
      </c>
      <c r="O1343" s="4">
        <f t="shared" si="83"/>
        <v>4</v>
      </c>
    </row>
    <row r="1344" spans="1:15" x14ac:dyDescent="0.25">
      <c r="A1344" t="s">
        <v>2727</v>
      </c>
      <c r="B1344" s="2">
        <v>45647</v>
      </c>
      <c r="C1344" t="s">
        <v>30</v>
      </c>
      <c r="D1344" t="s">
        <v>31</v>
      </c>
      <c r="E1344">
        <v>1405.39</v>
      </c>
      <c r="F1344">
        <v>0</v>
      </c>
      <c r="G1344" t="s">
        <v>11</v>
      </c>
      <c r="H1344" t="s">
        <v>26</v>
      </c>
      <c r="I1344" t="s">
        <v>2728</v>
      </c>
      <c r="J1344" t="s">
        <v>45</v>
      </c>
      <c r="K1344" s="4">
        <f>VLOOKUP(J1344,Exchange_Rates!A:B,2,FALSE)</f>
        <v>1</v>
      </c>
      <c r="L1344" s="4">
        <f t="shared" si="80"/>
        <v>1405.39</v>
      </c>
      <c r="M1344" s="4">
        <f t="shared" si="81"/>
        <v>0</v>
      </c>
      <c r="N1344" s="4">
        <f t="shared" si="82"/>
        <v>2024</v>
      </c>
      <c r="O1344" s="4">
        <f t="shared" si="83"/>
        <v>4</v>
      </c>
    </row>
    <row r="1345" spans="1:15" x14ac:dyDescent="0.25">
      <c r="A1345" t="s">
        <v>2729</v>
      </c>
      <c r="B1345" s="2">
        <v>45197</v>
      </c>
      <c r="C1345" t="s">
        <v>24</v>
      </c>
      <c r="D1345" t="s">
        <v>25</v>
      </c>
      <c r="E1345">
        <v>0</v>
      </c>
      <c r="F1345">
        <v>599.19000000000005</v>
      </c>
      <c r="G1345" t="s">
        <v>11</v>
      </c>
      <c r="H1345" t="s">
        <v>62</v>
      </c>
      <c r="I1345" t="s">
        <v>2730</v>
      </c>
      <c r="J1345" t="s">
        <v>36</v>
      </c>
      <c r="K1345" s="4">
        <f>VLOOKUP(J1345,Exchange_Rates!A:B,2,FALSE)</f>
        <v>1.08</v>
      </c>
      <c r="L1345" s="4">
        <f t="shared" si="80"/>
        <v>0</v>
      </c>
      <c r="M1345" s="4">
        <f t="shared" si="81"/>
        <v>647.12520000000006</v>
      </c>
      <c r="N1345" s="4">
        <f t="shared" si="82"/>
        <v>2023</v>
      </c>
      <c r="O1345" s="4">
        <f t="shared" si="83"/>
        <v>3</v>
      </c>
    </row>
    <row r="1346" spans="1:15" x14ac:dyDescent="0.25">
      <c r="A1346" t="s">
        <v>2731</v>
      </c>
      <c r="B1346" s="2">
        <v>45495</v>
      </c>
      <c r="C1346" t="s">
        <v>60</v>
      </c>
      <c r="D1346" t="s">
        <v>61</v>
      </c>
      <c r="E1346">
        <v>0</v>
      </c>
      <c r="F1346">
        <v>872.03</v>
      </c>
      <c r="G1346" t="s">
        <v>13</v>
      </c>
      <c r="H1346" t="s">
        <v>40</v>
      </c>
      <c r="I1346" t="s">
        <v>2732</v>
      </c>
      <c r="J1346" t="s">
        <v>28</v>
      </c>
      <c r="K1346" s="4">
        <f>VLOOKUP(J1346,Exchange_Rates!A:B,2,FALSE)</f>
        <v>1.27</v>
      </c>
      <c r="L1346" s="4">
        <f t="shared" si="80"/>
        <v>0</v>
      </c>
      <c r="M1346" s="4">
        <f t="shared" si="81"/>
        <v>1107.4781</v>
      </c>
      <c r="N1346" s="4">
        <f t="shared" si="82"/>
        <v>2024</v>
      </c>
      <c r="O1346" s="4">
        <f t="shared" si="83"/>
        <v>3</v>
      </c>
    </row>
    <row r="1347" spans="1:15" x14ac:dyDescent="0.25">
      <c r="A1347" t="s">
        <v>2733</v>
      </c>
      <c r="B1347" s="2">
        <v>45061</v>
      </c>
      <c r="C1347" t="s">
        <v>24</v>
      </c>
      <c r="D1347" t="s">
        <v>25</v>
      </c>
      <c r="E1347">
        <v>0</v>
      </c>
      <c r="F1347">
        <v>3873.21</v>
      </c>
      <c r="G1347" t="s">
        <v>10</v>
      </c>
      <c r="H1347" t="s">
        <v>40</v>
      </c>
      <c r="I1347" t="s">
        <v>2734</v>
      </c>
      <c r="J1347" t="s">
        <v>42</v>
      </c>
      <c r="K1347" s="4">
        <f>VLOOKUP(J1347,Exchange_Rates!A:B,2,FALSE)</f>
        <v>0.66</v>
      </c>
      <c r="L1347" s="4">
        <f t="shared" ref="L1347:L1410" si="84">E1347*K1347</f>
        <v>0</v>
      </c>
      <c r="M1347" s="4">
        <f t="shared" ref="M1347:M1410" si="85">F1347*K1347</f>
        <v>2556.3186000000001</v>
      </c>
      <c r="N1347" s="4">
        <f t="shared" ref="N1347:N1410" si="86">YEAR(B1347)</f>
        <v>2023</v>
      </c>
      <c r="O1347" s="4">
        <f t="shared" ref="O1347:O1410" si="87">ROUNDUP(MONTH(B1347)/3,0)</f>
        <v>2</v>
      </c>
    </row>
    <row r="1348" spans="1:15" x14ac:dyDescent="0.25">
      <c r="A1348" t="s">
        <v>2735</v>
      </c>
      <c r="B1348" s="2">
        <v>45833</v>
      </c>
      <c r="C1348" t="s">
        <v>49</v>
      </c>
      <c r="D1348" t="s">
        <v>50</v>
      </c>
      <c r="E1348">
        <v>122.84</v>
      </c>
      <c r="F1348">
        <v>0</v>
      </c>
      <c r="G1348" t="s">
        <v>10</v>
      </c>
      <c r="H1348" t="s">
        <v>62</v>
      </c>
      <c r="I1348" t="s">
        <v>2736</v>
      </c>
      <c r="J1348" t="s">
        <v>45</v>
      </c>
      <c r="K1348" s="4">
        <f>VLOOKUP(J1348,Exchange_Rates!A:B,2,FALSE)</f>
        <v>1</v>
      </c>
      <c r="L1348" s="4">
        <f t="shared" si="84"/>
        <v>122.84</v>
      </c>
      <c r="M1348" s="4">
        <f t="shared" si="85"/>
        <v>0</v>
      </c>
      <c r="N1348" s="4">
        <f t="shared" si="86"/>
        <v>2025</v>
      </c>
      <c r="O1348" s="4">
        <f t="shared" si="87"/>
        <v>2</v>
      </c>
    </row>
    <row r="1349" spans="1:15" x14ac:dyDescent="0.25">
      <c r="A1349" t="s">
        <v>2737</v>
      </c>
      <c r="B1349" s="2">
        <v>45698</v>
      </c>
      <c r="C1349" t="s">
        <v>60</v>
      </c>
      <c r="D1349" t="s">
        <v>61</v>
      </c>
      <c r="E1349">
        <v>0</v>
      </c>
      <c r="F1349">
        <v>1039.28</v>
      </c>
      <c r="G1349" t="s">
        <v>13</v>
      </c>
      <c r="H1349" t="s">
        <v>62</v>
      </c>
      <c r="I1349" t="s">
        <v>2738</v>
      </c>
      <c r="J1349" t="s">
        <v>36</v>
      </c>
      <c r="K1349" s="4">
        <f>VLOOKUP(J1349,Exchange_Rates!A:B,2,FALSE)</f>
        <v>1.08</v>
      </c>
      <c r="L1349" s="4">
        <f t="shared" si="84"/>
        <v>0</v>
      </c>
      <c r="M1349" s="4">
        <f t="shared" si="85"/>
        <v>1122.4224000000002</v>
      </c>
      <c r="N1349" s="4">
        <f t="shared" si="86"/>
        <v>2025</v>
      </c>
      <c r="O1349" s="4">
        <f t="shared" si="87"/>
        <v>1</v>
      </c>
    </row>
    <row r="1350" spans="1:15" x14ac:dyDescent="0.25">
      <c r="A1350" t="s">
        <v>2739</v>
      </c>
      <c r="B1350" s="2">
        <v>45759</v>
      </c>
      <c r="C1350" t="s">
        <v>60</v>
      </c>
      <c r="D1350" t="s">
        <v>61</v>
      </c>
      <c r="E1350">
        <v>0</v>
      </c>
      <c r="F1350">
        <v>1214.51</v>
      </c>
      <c r="G1350" t="s">
        <v>12</v>
      </c>
      <c r="H1350" t="s">
        <v>62</v>
      </c>
      <c r="I1350" t="s">
        <v>2740</v>
      </c>
      <c r="J1350" t="s">
        <v>28</v>
      </c>
      <c r="K1350" s="4">
        <f>VLOOKUP(J1350,Exchange_Rates!A:B,2,FALSE)</f>
        <v>1.27</v>
      </c>
      <c r="L1350" s="4">
        <f t="shared" si="84"/>
        <v>0</v>
      </c>
      <c r="M1350" s="4">
        <f t="shared" si="85"/>
        <v>1542.4277</v>
      </c>
      <c r="N1350" s="4">
        <f t="shared" si="86"/>
        <v>2025</v>
      </c>
      <c r="O1350" s="4">
        <f t="shared" si="87"/>
        <v>2</v>
      </c>
    </row>
    <row r="1351" spans="1:15" x14ac:dyDescent="0.25">
      <c r="A1351" t="s">
        <v>2741</v>
      </c>
      <c r="B1351" s="2">
        <v>45677</v>
      </c>
      <c r="C1351" t="s">
        <v>49</v>
      </c>
      <c r="D1351" t="s">
        <v>50</v>
      </c>
      <c r="E1351">
        <v>1318.81</v>
      </c>
      <c r="F1351">
        <v>0</v>
      </c>
      <c r="G1351" t="s">
        <v>12</v>
      </c>
      <c r="H1351" t="s">
        <v>40</v>
      </c>
      <c r="I1351" t="s">
        <v>2742</v>
      </c>
      <c r="J1351" t="s">
        <v>42</v>
      </c>
      <c r="K1351" s="4">
        <f>VLOOKUP(J1351,Exchange_Rates!A:B,2,FALSE)</f>
        <v>0.66</v>
      </c>
      <c r="L1351" s="4">
        <f t="shared" si="84"/>
        <v>870.41459999999995</v>
      </c>
      <c r="M1351" s="4">
        <f t="shared" si="85"/>
        <v>0</v>
      </c>
      <c r="N1351" s="4">
        <f t="shared" si="86"/>
        <v>2025</v>
      </c>
      <c r="O1351" s="4">
        <f t="shared" si="87"/>
        <v>1</v>
      </c>
    </row>
    <row r="1352" spans="1:15" x14ac:dyDescent="0.25">
      <c r="A1352" t="s">
        <v>2743</v>
      </c>
      <c r="B1352" s="2">
        <v>45131</v>
      </c>
      <c r="C1352" t="s">
        <v>60</v>
      </c>
      <c r="D1352" t="s">
        <v>61</v>
      </c>
      <c r="E1352">
        <v>0</v>
      </c>
      <c r="F1352">
        <v>3395.3</v>
      </c>
      <c r="G1352" t="s">
        <v>9</v>
      </c>
      <c r="H1352" t="s">
        <v>34</v>
      </c>
      <c r="I1352" t="s">
        <v>2744</v>
      </c>
      <c r="J1352" t="s">
        <v>28</v>
      </c>
      <c r="K1352" s="4">
        <f>VLOOKUP(J1352,Exchange_Rates!A:B,2,FALSE)</f>
        <v>1.27</v>
      </c>
      <c r="L1352" s="4">
        <f t="shared" si="84"/>
        <v>0</v>
      </c>
      <c r="M1352" s="4">
        <f t="shared" si="85"/>
        <v>4312.0309999999999</v>
      </c>
      <c r="N1352" s="4">
        <f t="shared" si="86"/>
        <v>2023</v>
      </c>
      <c r="O1352" s="4">
        <f t="shared" si="87"/>
        <v>3</v>
      </c>
    </row>
    <row r="1353" spans="1:15" x14ac:dyDescent="0.25">
      <c r="A1353" t="s">
        <v>2745</v>
      </c>
      <c r="B1353" s="2">
        <v>45562</v>
      </c>
      <c r="C1353" t="s">
        <v>38</v>
      </c>
      <c r="D1353" t="s">
        <v>39</v>
      </c>
      <c r="E1353">
        <v>1554.18</v>
      </c>
      <c r="F1353">
        <v>0</v>
      </c>
      <c r="G1353" t="s">
        <v>13</v>
      </c>
      <c r="H1353" t="s">
        <v>34</v>
      </c>
      <c r="I1353" t="s">
        <v>2746</v>
      </c>
      <c r="J1353" t="s">
        <v>42</v>
      </c>
      <c r="K1353" s="4">
        <f>VLOOKUP(J1353,Exchange_Rates!A:B,2,FALSE)</f>
        <v>0.66</v>
      </c>
      <c r="L1353" s="4">
        <f t="shared" si="84"/>
        <v>1025.7588000000001</v>
      </c>
      <c r="M1353" s="4">
        <f t="shared" si="85"/>
        <v>0</v>
      </c>
      <c r="N1353" s="4">
        <f t="shared" si="86"/>
        <v>2024</v>
      </c>
      <c r="O1353" s="4">
        <f t="shared" si="87"/>
        <v>3</v>
      </c>
    </row>
    <row r="1354" spans="1:15" x14ac:dyDescent="0.25">
      <c r="A1354" t="s">
        <v>2747</v>
      </c>
      <c r="B1354" s="2">
        <v>45619</v>
      </c>
      <c r="C1354" t="s">
        <v>24</v>
      </c>
      <c r="D1354" t="s">
        <v>25</v>
      </c>
      <c r="E1354">
        <v>0</v>
      </c>
      <c r="F1354">
        <v>4613.7</v>
      </c>
      <c r="G1354" t="s">
        <v>11</v>
      </c>
      <c r="H1354" t="s">
        <v>34</v>
      </c>
      <c r="I1354" t="s">
        <v>2748</v>
      </c>
      <c r="J1354" t="s">
        <v>45</v>
      </c>
      <c r="K1354" s="4">
        <f>VLOOKUP(J1354,Exchange_Rates!A:B,2,FALSE)</f>
        <v>1</v>
      </c>
      <c r="L1354" s="4">
        <f t="shared" si="84"/>
        <v>0</v>
      </c>
      <c r="M1354" s="4">
        <f t="shared" si="85"/>
        <v>4613.7</v>
      </c>
      <c r="N1354" s="4">
        <f t="shared" si="86"/>
        <v>2024</v>
      </c>
      <c r="O1354" s="4">
        <f t="shared" si="87"/>
        <v>4</v>
      </c>
    </row>
    <row r="1355" spans="1:15" x14ac:dyDescent="0.25">
      <c r="A1355" t="s">
        <v>2749</v>
      </c>
      <c r="B1355" s="2">
        <v>45838</v>
      </c>
      <c r="C1355" t="s">
        <v>49</v>
      </c>
      <c r="D1355" t="s">
        <v>50</v>
      </c>
      <c r="E1355">
        <v>803.03</v>
      </c>
      <c r="F1355">
        <v>0</v>
      </c>
      <c r="G1355" t="s">
        <v>8</v>
      </c>
      <c r="H1355" t="s">
        <v>51</v>
      </c>
      <c r="I1355" t="s">
        <v>2750</v>
      </c>
      <c r="J1355" t="s">
        <v>64</v>
      </c>
      <c r="K1355" s="4">
        <f>VLOOKUP(J1355,Exchange_Rates!A:B,2,FALSE)</f>
        <v>0.73</v>
      </c>
      <c r="L1355" s="4">
        <f t="shared" si="84"/>
        <v>586.21190000000001</v>
      </c>
      <c r="M1355" s="4">
        <f t="shared" si="85"/>
        <v>0</v>
      </c>
      <c r="N1355" s="4">
        <f t="shared" si="86"/>
        <v>2025</v>
      </c>
      <c r="O1355" s="4">
        <f t="shared" si="87"/>
        <v>2</v>
      </c>
    </row>
    <row r="1356" spans="1:15" x14ac:dyDescent="0.25">
      <c r="A1356" t="s">
        <v>2751</v>
      </c>
      <c r="B1356" s="2">
        <v>45795</v>
      </c>
      <c r="C1356" t="s">
        <v>49</v>
      </c>
      <c r="D1356" t="s">
        <v>50</v>
      </c>
      <c r="E1356">
        <v>1564.19</v>
      </c>
      <c r="F1356">
        <v>0</v>
      </c>
      <c r="G1356" t="s">
        <v>11</v>
      </c>
      <c r="H1356" t="s">
        <v>51</v>
      </c>
      <c r="I1356" t="s">
        <v>2752</v>
      </c>
      <c r="J1356" t="s">
        <v>64</v>
      </c>
      <c r="K1356" s="4">
        <f>VLOOKUP(J1356,Exchange_Rates!A:B,2,FALSE)</f>
        <v>0.73</v>
      </c>
      <c r="L1356" s="4">
        <f t="shared" si="84"/>
        <v>1141.8587</v>
      </c>
      <c r="M1356" s="4">
        <f t="shared" si="85"/>
        <v>0</v>
      </c>
      <c r="N1356" s="4">
        <f t="shared" si="86"/>
        <v>2025</v>
      </c>
      <c r="O1356" s="4">
        <f t="shared" si="87"/>
        <v>2</v>
      </c>
    </row>
    <row r="1357" spans="1:15" x14ac:dyDescent="0.25">
      <c r="A1357" t="s">
        <v>2753</v>
      </c>
      <c r="B1357" s="2">
        <v>45675</v>
      </c>
      <c r="C1357" t="s">
        <v>38</v>
      </c>
      <c r="D1357" t="s">
        <v>39</v>
      </c>
      <c r="E1357">
        <v>1942.89</v>
      </c>
      <c r="F1357">
        <v>0</v>
      </c>
      <c r="G1357" t="s">
        <v>11</v>
      </c>
      <c r="H1357" t="s">
        <v>62</v>
      </c>
      <c r="I1357" t="s">
        <v>2754</v>
      </c>
      <c r="J1357" t="s">
        <v>45</v>
      </c>
      <c r="K1357" s="4">
        <f>VLOOKUP(J1357,Exchange_Rates!A:B,2,FALSE)</f>
        <v>1</v>
      </c>
      <c r="L1357" s="4">
        <f t="shared" si="84"/>
        <v>1942.89</v>
      </c>
      <c r="M1357" s="4">
        <f t="shared" si="85"/>
        <v>0</v>
      </c>
      <c r="N1357" s="4">
        <f t="shared" si="86"/>
        <v>2025</v>
      </c>
      <c r="O1357" s="4">
        <f t="shared" si="87"/>
        <v>1</v>
      </c>
    </row>
    <row r="1358" spans="1:15" x14ac:dyDescent="0.25">
      <c r="A1358" t="s">
        <v>2755</v>
      </c>
      <c r="B1358" s="2">
        <v>45578</v>
      </c>
      <c r="C1358" t="s">
        <v>24</v>
      </c>
      <c r="D1358" t="s">
        <v>25</v>
      </c>
      <c r="E1358">
        <v>0</v>
      </c>
      <c r="F1358">
        <v>4122.6000000000004</v>
      </c>
      <c r="G1358" t="s">
        <v>10</v>
      </c>
      <c r="H1358" t="s">
        <v>51</v>
      </c>
      <c r="I1358" t="s">
        <v>2756</v>
      </c>
      <c r="J1358" t="s">
        <v>28</v>
      </c>
      <c r="K1358" s="4">
        <f>VLOOKUP(J1358,Exchange_Rates!A:B,2,FALSE)</f>
        <v>1.27</v>
      </c>
      <c r="L1358" s="4">
        <f t="shared" si="84"/>
        <v>0</v>
      </c>
      <c r="M1358" s="4">
        <f t="shared" si="85"/>
        <v>5235.7020000000002</v>
      </c>
      <c r="N1358" s="4">
        <f t="shared" si="86"/>
        <v>2024</v>
      </c>
      <c r="O1358" s="4">
        <f t="shared" si="87"/>
        <v>4</v>
      </c>
    </row>
    <row r="1359" spans="1:15" x14ac:dyDescent="0.25">
      <c r="A1359" t="s">
        <v>2757</v>
      </c>
      <c r="B1359" s="2">
        <v>45667</v>
      </c>
      <c r="C1359" t="s">
        <v>60</v>
      </c>
      <c r="D1359" t="s">
        <v>61</v>
      </c>
      <c r="E1359">
        <v>0</v>
      </c>
      <c r="F1359">
        <v>3139.71</v>
      </c>
      <c r="G1359" t="s">
        <v>10</v>
      </c>
      <c r="H1359" t="s">
        <v>62</v>
      </c>
      <c r="I1359" t="s">
        <v>2758</v>
      </c>
      <c r="J1359" t="s">
        <v>36</v>
      </c>
      <c r="K1359" s="4">
        <f>VLOOKUP(J1359,Exchange_Rates!A:B,2,FALSE)</f>
        <v>1.08</v>
      </c>
      <c r="L1359" s="4">
        <f t="shared" si="84"/>
        <v>0</v>
      </c>
      <c r="M1359" s="4">
        <f t="shared" si="85"/>
        <v>3390.8868000000002</v>
      </c>
      <c r="N1359" s="4">
        <f t="shared" si="86"/>
        <v>2025</v>
      </c>
      <c r="O1359" s="4">
        <f t="shared" si="87"/>
        <v>1</v>
      </c>
    </row>
    <row r="1360" spans="1:15" x14ac:dyDescent="0.25">
      <c r="A1360" t="s">
        <v>2759</v>
      </c>
      <c r="B1360" s="2">
        <v>45058</v>
      </c>
      <c r="C1360" t="s">
        <v>49</v>
      </c>
      <c r="D1360" t="s">
        <v>50</v>
      </c>
      <c r="E1360">
        <v>168.07</v>
      </c>
      <c r="F1360">
        <v>0</v>
      </c>
      <c r="G1360" t="s">
        <v>9</v>
      </c>
      <c r="H1360" t="s">
        <v>26</v>
      </c>
      <c r="I1360" t="s">
        <v>2760</v>
      </c>
      <c r="J1360" t="s">
        <v>64</v>
      </c>
      <c r="K1360" s="4">
        <f>VLOOKUP(J1360,Exchange_Rates!A:B,2,FALSE)</f>
        <v>0.73</v>
      </c>
      <c r="L1360" s="4">
        <f t="shared" si="84"/>
        <v>122.69109999999999</v>
      </c>
      <c r="M1360" s="4">
        <f t="shared" si="85"/>
        <v>0</v>
      </c>
      <c r="N1360" s="4">
        <f t="shared" si="86"/>
        <v>2023</v>
      </c>
      <c r="O1360" s="4">
        <f t="shared" si="87"/>
        <v>2</v>
      </c>
    </row>
    <row r="1361" spans="1:15" x14ac:dyDescent="0.25">
      <c r="A1361" t="s">
        <v>2761</v>
      </c>
      <c r="B1361" s="2">
        <v>44975</v>
      </c>
      <c r="C1361" t="s">
        <v>24</v>
      </c>
      <c r="D1361" t="s">
        <v>25</v>
      </c>
      <c r="E1361">
        <v>0</v>
      </c>
      <c r="F1361">
        <v>2067.23</v>
      </c>
      <c r="G1361" t="s">
        <v>10</v>
      </c>
      <c r="H1361" t="s">
        <v>51</v>
      </c>
      <c r="I1361" t="s">
        <v>2762</v>
      </c>
      <c r="J1361" t="s">
        <v>28</v>
      </c>
      <c r="K1361" s="4">
        <f>VLOOKUP(J1361,Exchange_Rates!A:B,2,FALSE)</f>
        <v>1.27</v>
      </c>
      <c r="L1361" s="4">
        <f t="shared" si="84"/>
        <v>0</v>
      </c>
      <c r="M1361" s="4">
        <f t="shared" si="85"/>
        <v>2625.3821000000003</v>
      </c>
      <c r="N1361" s="4">
        <f t="shared" si="86"/>
        <v>2023</v>
      </c>
      <c r="O1361" s="4">
        <f t="shared" si="87"/>
        <v>1</v>
      </c>
    </row>
    <row r="1362" spans="1:15" x14ac:dyDescent="0.25">
      <c r="A1362" t="s">
        <v>2763</v>
      </c>
      <c r="B1362" s="2">
        <v>45837</v>
      </c>
      <c r="C1362" t="s">
        <v>49</v>
      </c>
      <c r="D1362" t="s">
        <v>50</v>
      </c>
      <c r="E1362">
        <v>364.93</v>
      </c>
      <c r="F1362">
        <v>0</v>
      </c>
      <c r="G1362" t="s">
        <v>13</v>
      </c>
      <c r="H1362" t="s">
        <v>51</v>
      </c>
      <c r="I1362" t="s">
        <v>2764</v>
      </c>
      <c r="J1362" t="s">
        <v>45</v>
      </c>
      <c r="K1362" s="4">
        <f>VLOOKUP(J1362,Exchange_Rates!A:B,2,FALSE)</f>
        <v>1</v>
      </c>
      <c r="L1362" s="4">
        <f t="shared" si="84"/>
        <v>364.93</v>
      </c>
      <c r="M1362" s="4">
        <f t="shared" si="85"/>
        <v>0</v>
      </c>
      <c r="N1362" s="4">
        <f t="shared" si="86"/>
        <v>2025</v>
      </c>
      <c r="O1362" s="4">
        <f t="shared" si="87"/>
        <v>2</v>
      </c>
    </row>
    <row r="1363" spans="1:15" x14ac:dyDescent="0.25">
      <c r="A1363" t="s">
        <v>2765</v>
      </c>
      <c r="B1363" s="2">
        <v>45694</v>
      </c>
      <c r="C1363" t="s">
        <v>30</v>
      </c>
      <c r="D1363" t="s">
        <v>31</v>
      </c>
      <c r="E1363">
        <v>488.16</v>
      </c>
      <c r="F1363">
        <v>0</v>
      </c>
      <c r="G1363" t="s">
        <v>12</v>
      </c>
      <c r="H1363" t="s">
        <v>26</v>
      </c>
      <c r="I1363" t="s">
        <v>2766</v>
      </c>
      <c r="J1363" t="s">
        <v>28</v>
      </c>
      <c r="K1363" s="4">
        <f>VLOOKUP(J1363,Exchange_Rates!A:B,2,FALSE)</f>
        <v>1.27</v>
      </c>
      <c r="L1363" s="4">
        <f t="shared" si="84"/>
        <v>619.96320000000003</v>
      </c>
      <c r="M1363" s="4">
        <f t="shared" si="85"/>
        <v>0</v>
      </c>
      <c r="N1363" s="4">
        <f t="shared" si="86"/>
        <v>2025</v>
      </c>
      <c r="O1363" s="4">
        <f t="shared" si="87"/>
        <v>1</v>
      </c>
    </row>
    <row r="1364" spans="1:15" x14ac:dyDescent="0.25">
      <c r="A1364" t="s">
        <v>2767</v>
      </c>
      <c r="B1364" s="2">
        <v>44968</v>
      </c>
      <c r="C1364" t="s">
        <v>30</v>
      </c>
      <c r="D1364" t="s">
        <v>31</v>
      </c>
      <c r="E1364">
        <v>506.43</v>
      </c>
      <c r="F1364">
        <v>0</v>
      </c>
      <c r="G1364" t="s">
        <v>13</v>
      </c>
      <c r="H1364" t="s">
        <v>62</v>
      </c>
      <c r="I1364" t="s">
        <v>2768</v>
      </c>
      <c r="J1364" t="s">
        <v>45</v>
      </c>
      <c r="K1364" s="4">
        <f>VLOOKUP(J1364,Exchange_Rates!A:B,2,FALSE)</f>
        <v>1</v>
      </c>
      <c r="L1364" s="4">
        <f t="shared" si="84"/>
        <v>506.43</v>
      </c>
      <c r="M1364" s="4">
        <f t="shared" si="85"/>
        <v>0</v>
      </c>
      <c r="N1364" s="4">
        <f t="shared" si="86"/>
        <v>2023</v>
      </c>
      <c r="O1364" s="4">
        <f t="shared" si="87"/>
        <v>1</v>
      </c>
    </row>
    <row r="1365" spans="1:15" x14ac:dyDescent="0.25">
      <c r="A1365" t="s">
        <v>2769</v>
      </c>
      <c r="B1365" s="2">
        <v>45498</v>
      </c>
      <c r="C1365" t="s">
        <v>30</v>
      </c>
      <c r="D1365" t="s">
        <v>31</v>
      </c>
      <c r="E1365">
        <v>517.6</v>
      </c>
      <c r="F1365">
        <v>0</v>
      </c>
      <c r="G1365" t="s">
        <v>9</v>
      </c>
      <c r="H1365" t="s">
        <v>40</v>
      </c>
      <c r="I1365" t="s">
        <v>2770</v>
      </c>
      <c r="J1365" t="s">
        <v>36</v>
      </c>
      <c r="K1365" s="4">
        <f>VLOOKUP(J1365,Exchange_Rates!A:B,2,FALSE)</f>
        <v>1.08</v>
      </c>
      <c r="L1365" s="4">
        <f t="shared" si="84"/>
        <v>559.00800000000004</v>
      </c>
      <c r="M1365" s="4">
        <f t="shared" si="85"/>
        <v>0</v>
      </c>
      <c r="N1365" s="4">
        <f t="shared" si="86"/>
        <v>2024</v>
      </c>
      <c r="O1365" s="4">
        <f t="shared" si="87"/>
        <v>3</v>
      </c>
    </row>
    <row r="1366" spans="1:15" x14ac:dyDescent="0.25">
      <c r="A1366" t="s">
        <v>2771</v>
      </c>
      <c r="B1366" s="2">
        <v>45279</v>
      </c>
      <c r="C1366" t="s">
        <v>38</v>
      </c>
      <c r="D1366" t="s">
        <v>39</v>
      </c>
      <c r="E1366">
        <v>846.47</v>
      </c>
      <c r="F1366">
        <v>0</v>
      </c>
      <c r="G1366" t="s">
        <v>10</v>
      </c>
      <c r="H1366" t="s">
        <v>51</v>
      </c>
      <c r="I1366" t="s">
        <v>2772</v>
      </c>
      <c r="J1366" t="s">
        <v>42</v>
      </c>
      <c r="K1366" s="4">
        <f>VLOOKUP(J1366,Exchange_Rates!A:B,2,FALSE)</f>
        <v>0.66</v>
      </c>
      <c r="L1366" s="4">
        <f t="shared" si="84"/>
        <v>558.67020000000002</v>
      </c>
      <c r="M1366" s="4">
        <f t="shared" si="85"/>
        <v>0</v>
      </c>
      <c r="N1366" s="4">
        <f t="shared" si="86"/>
        <v>2023</v>
      </c>
      <c r="O1366" s="4">
        <f t="shared" si="87"/>
        <v>4</v>
      </c>
    </row>
    <row r="1367" spans="1:15" x14ac:dyDescent="0.25">
      <c r="A1367" t="s">
        <v>2773</v>
      </c>
      <c r="B1367" s="2">
        <v>45007</v>
      </c>
      <c r="C1367" t="s">
        <v>60</v>
      </c>
      <c r="D1367" t="s">
        <v>61</v>
      </c>
      <c r="E1367">
        <v>0</v>
      </c>
      <c r="F1367">
        <v>998.83</v>
      </c>
      <c r="G1367" t="s">
        <v>13</v>
      </c>
      <c r="H1367" t="s">
        <v>62</v>
      </c>
      <c r="I1367" t="s">
        <v>2774</v>
      </c>
      <c r="J1367" t="s">
        <v>45</v>
      </c>
      <c r="K1367" s="4">
        <f>VLOOKUP(J1367,Exchange_Rates!A:B,2,FALSE)</f>
        <v>1</v>
      </c>
      <c r="L1367" s="4">
        <f t="shared" si="84"/>
        <v>0</v>
      </c>
      <c r="M1367" s="4">
        <f t="shared" si="85"/>
        <v>998.83</v>
      </c>
      <c r="N1367" s="4">
        <f t="shared" si="86"/>
        <v>2023</v>
      </c>
      <c r="O1367" s="4">
        <f t="shared" si="87"/>
        <v>1</v>
      </c>
    </row>
    <row r="1368" spans="1:15" x14ac:dyDescent="0.25">
      <c r="A1368" t="s">
        <v>2775</v>
      </c>
      <c r="B1368" s="2">
        <v>45268</v>
      </c>
      <c r="C1368" t="s">
        <v>49</v>
      </c>
      <c r="D1368" t="s">
        <v>50</v>
      </c>
      <c r="E1368">
        <v>714.9</v>
      </c>
      <c r="F1368">
        <v>0</v>
      </c>
      <c r="G1368" t="s">
        <v>11</v>
      </c>
      <c r="H1368" t="s">
        <v>26</v>
      </c>
      <c r="I1368" t="s">
        <v>2776</v>
      </c>
      <c r="J1368" t="s">
        <v>28</v>
      </c>
      <c r="K1368" s="4">
        <f>VLOOKUP(J1368,Exchange_Rates!A:B,2,FALSE)</f>
        <v>1.27</v>
      </c>
      <c r="L1368" s="4">
        <f t="shared" si="84"/>
        <v>907.923</v>
      </c>
      <c r="M1368" s="4">
        <f t="shared" si="85"/>
        <v>0</v>
      </c>
      <c r="N1368" s="4">
        <f t="shared" si="86"/>
        <v>2023</v>
      </c>
      <c r="O1368" s="4">
        <f t="shared" si="87"/>
        <v>4</v>
      </c>
    </row>
    <row r="1369" spans="1:15" x14ac:dyDescent="0.25">
      <c r="A1369" t="s">
        <v>2777</v>
      </c>
      <c r="B1369" s="2">
        <v>45261</v>
      </c>
      <c r="C1369" t="s">
        <v>60</v>
      </c>
      <c r="D1369" t="s">
        <v>61</v>
      </c>
      <c r="E1369">
        <v>0</v>
      </c>
      <c r="F1369">
        <v>1049.58</v>
      </c>
      <c r="G1369" t="s">
        <v>10</v>
      </c>
      <c r="H1369" t="s">
        <v>26</v>
      </c>
      <c r="I1369" t="s">
        <v>2778</v>
      </c>
      <c r="J1369" t="s">
        <v>42</v>
      </c>
      <c r="K1369" s="4">
        <f>VLOOKUP(J1369,Exchange_Rates!A:B,2,FALSE)</f>
        <v>0.66</v>
      </c>
      <c r="L1369" s="4">
        <f t="shared" si="84"/>
        <v>0</v>
      </c>
      <c r="M1369" s="4">
        <f t="shared" si="85"/>
        <v>692.72280000000001</v>
      </c>
      <c r="N1369" s="4">
        <f t="shared" si="86"/>
        <v>2023</v>
      </c>
      <c r="O1369" s="4">
        <f t="shared" si="87"/>
        <v>4</v>
      </c>
    </row>
    <row r="1370" spans="1:15" x14ac:dyDescent="0.25">
      <c r="A1370" t="s">
        <v>2779</v>
      </c>
      <c r="B1370" s="2">
        <v>44943</v>
      </c>
      <c r="C1370" t="s">
        <v>49</v>
      </c>
      <c r="D1370" t="s">
        <v>50</v>
      </c>
      <c r="E1370">
        <v>1962.1</v>
      </c>
      <c r="F1370">
        <v>0</v>
      </c>
      <c r="G1370" t="s">
        <v>11</v>
      </c>
      <c r="H1370" t="s">
        <v>62</v>
      </c>
      <c r="I1370" t="s">
        <v>2780</v>
      </c>
      <c r="J1370" t="s">
        <v>45</v>
      </c>
      <c r="K1370" s="4">
        <f>VLOOKUP(J1370,Exchange_Rates!A:B,2,FALSE)</f>
        <v>1</v>
      </c>
      <c r="L1370" s="4">
        <f t="shared" si="84"/>
        <v>1962.1</v>
      </c>
      <c r="M1370" s="4">
        <f t="shared" si="85"/>
        <v>0</v>
      </c>
      <c r="N1370" s="4">
        <f t="shared" si="86"/>
        <v>2023</v>
      </c>
      <c r="O1370" s="4">
        <f t="shared" si="87"/>
        <v>1</v>
      </c>
    </row>
    <row r="1371" spans="1:15" x14ac:dyDescent="0.25">
      <c r="A1371" t="s">
        <v>2781</v>
      </c>
      <c r="B1371" s="2">
        <v>44946</v>
      </c>
      <c r="C1371" t="s">
        <v>30</v>
      </c>
      <c r="D1371" t="s">
        <v>31</v>
      </c>
      <c r="E1371">
        <v>773.23</v>
      </c>
      <c r="F1371">
        <v>0</v>
      </c>
      <c r="G1371" t="s">
        <v>13</v>
      </c>
      <c r="H1371" t="s">
        <v>34</v>
      </c>
      <c r="I1371" t="s">
        <v>2782</v>
      </c>
      <c r="J1371" t="s">
        <v>64</v>
      </c>
      <c r="K1371" s="4">
        <f>VLOOKUP(J1371,Exchange_Rates!A:B,2,FALSE)</f>
        <v>0.73</v>
      </c>
      <c r="L1371" s="4">
        <f t="shared" si="84"/>
        <v>564.4579</v>
      </c>
      <c r="M1371" s="4">
        <f t="shared" si="85"/>
        <v>0</v>
      </c>
      <c r="N1371" s="4">
        <f t="shared" si="86"/>
        <v>2023</v>
      </c>
      <c r="O1371" s="4">
        <f t="shared" si="87"/>
        <v>1</v>
      </c>
    </row>
    <row r="1372" spans="1:15" x14ac:dyDescent="0.25">
      <c r="A1372" t="s">
        <v>2783</v>
      </c>
      <c r="B1372" s="2">
        <v>45804</v>
      </c>
      <c r="C1372" t="s">
        <v>49</v>
      </c>
      <c r="D1372" t="s">
        <v>50</v>
      </c>
      <c r="E1372">
        <v>485.53</v>
      </c>
      <c r="F1372">
        <v>0</v>
      </c>
      <c r="G1372" t="s">
        <v>12</v>
      </c>
      <c r="H1372" t="s">
        <v>26</v>
      </c>
      <c r="I1372" t="s">
        <v>2784</v>
      </c>
      <c r="J1372" t="s">
        <v>28</v>
      </c>
      <c r="K1372" s="4">
        <f>VLOOKUP(J1372,Exchange_Rates!A:B,2,FALSE)</f>
        <v>1.27</v>
      </c>
      <c r="L1372" s="4">
        <f t="shared" si="84"/>
        <v>616.62310000000002</v>
      </c>
      <c r="M1372" s="4">
        <f t="shared" si="85"/>
        <v>0</v>
      </c>
      <c r="N1372" s="4">
        <f t="shared" si="86"/>
        <v>2025</v>
      </c>
      <c r="O1372" s="4">
        <f t="shared" si="87"/>
        <v>2</v>
      </c>
    </row>
    <row r="1373" spans="1:15" x14ac:dyDescent="0.25">
      <c r="A1373" t="s">
        <v>2785</v>
      </c>
      <c r="B1373" s="2">
        <v>45360</v>
      </c>
      <c r="C1373" t="s">
        <v>60</v>
      </c>
      <c r="D1373" t="s">
        <v>61</v>
      </c>
      <c r="E1373">
        <v>0</v>
      </c>
      <c r="F1373">
        <v>586.21</v>
      </c>
      <c r="G1373" t="s">
        <v>12</v>
      </c>
      <c r="H1373" t="s">
        <v>40</v>
      </c>
      <c r="I1373" t="s">
        <v>2786</v>
      </c>
      <c r="J1373" t="s">
        <v>36</v>
      </c>
      <c r="K1373" s="4">
        <f>VLOOKUP(J1373,Exchange_Rates!A:B,2,FALSE)</f>
        <v>1.08</v>
      </c>
      <c r="L1373" s="4">
        <f t="shared" si="84"/>
        <v>0</v>
      </c>
      <c r="M1373" s="4">
        <f t="shared" si="85"/>
        <v>633.10680000000013</v>
      </c>
      <c r="N1373" s="4">
        <f t="shared" si="86"/>
        <v>2024</v>
      </c>
      <c r="O1373" s="4">
        <f t="shared" si="87"/>
        <v>1</v>
      </c>
    </row>
    <row r="1374" spans="1:15" x14ac:dyDescent="0.25">
      <c r="A1374" t="s">
        <v>2787</v>
      </c>
      <c r="B1374" s="2">
        <v>45744</v>
      </c>
      <c r="C1374" t="s">
        <v>24</v>
      </c>
      <c r="D1374" t="s">
        <v>25</v>
      </c>
      <c r="E1374">
        <v>0</v>
      </c>
      <c r="F1374">
        <v>1624.21</v>
      </c>
      <c r="G1374" t="s">
        <v>12</v>
      </c>
      <c r="H1374" t="s">
        <v>51</v>
      </c>
      <c r="I1374" t="s">
        <v>2788</v>
      </c>
      <c r="J1374" t="s">
        <v>28</v>
      </c>
      <c r="K1374" s="4">
        <f>VLOOKUP(J1374,Exchange_Rates!A:B,2,FALSE)</f>
        <v>1.27</v>
      </c>
      <c r="L1374" s="4">
        <f t="shared" si="84"/>
        <v>0</v>
      </c>
      <c r="M1374" s="4">
        <f t="shared" si="85"/>
        <v>2062.7467000000001</v>
      </c>
      <c r="N1374" s="4">
        <f t="shared" si="86"/>
        <v>2025</v>
      </c>
      <c r="O1374" s="4">
        <f t="shared" si="87"/>
        <v>1</v>
      </c>
    </row>
    <row r="1375" spans="1:15" x14ac:dyDescent="0.25">
      <c r="A1375" t="s">
        <v>2789</v>
      </c>
      <c r="B1375" s="2">
        <v>45089</v>
      </c>
      <c r="C1375" t="s">
        <v>49</v>
      </c>
      <c r="D1375" t="s">
        <v>50</v>
      </c>
      <c r="E1375">
        <v>680.82</v>
      </c>
      <c r="F1375">
        <v>0</v>
      </c>
      <c r="G1375" t="s">
        <v>13</v>
      </c>
      <c r="H1375" t="s">
        <v>62</v>
      </c>
      <c r="I1375" t="s">
        <v>2790</v>
      </c>
      <c r="J1375" t="s">
        <v>45</v>
      </c>
      <c r="K1375" s="4">
        <f>VLOOKUP(J1375,Exchange_Rates!A:B,2,FALSE)</f>
        <v>1</v>
      </c>
      <c r="L1375" s="4">
        <f t="shared" si="84"/>
        <v>680.82</v>
      </c>
      <c r="M1375" s="4">
        <f t="shared" si="85"/>
        <v>0</v>
      </c>
      <c r="N1375" s="4">
        <f t="shared" si="86"/>
        <v>2023</v>
      </c>
      <c r="O1375" s="4">
        <f t="shared" si="87"/>
        <v>2</v>
      </c>
    </row>
    <row r="1376" spans="1:15" x14ac:dyDescent="0.25">
      <c r="A1376" t="s">
        <v>2791</v>
      </c>
      <c r="B1376" s="2">
        <v>45262</v>
      </c>
      <c r="C1376" t="s">
        <v>38</v>
      </c>
      <c r="D1376" t="s">
        <v>39</v>
      </c>
      <c r="E1376">
        <v>167.34</v>
      </c>
      <c r="F1376">
        <v>0</v>
      </c>
      <c r="G1376" t="s">
        <v>12</v>
      </c>
      <c r="H1376" t="s">
        <v>40</v>
      </c>
      <c r="I1376" t="s">
        <v>2792</v>
      </c>
      <c r="J1376" t="s">
        <v>45</v>
      </c>
      <c r="K1376" s="4">
        <f>VLOOKUP(J1376,Exchange_Rates!A:B,2,FALSE)</f>
        <v>1</v>
      </c>
      <c r="L1376" s="4">
        <f t="shared" si="84"/>
        <v>167.34</v>
      </c>
      <c r="M1376" s="4">
        <f t="shared" si="85"/>
        <v>0</v>
      </c>
      <c r="N1376" s="4">
        <f t="shared" si="86"/>
        <v>2023</v>
      </c>
      <c r="O1376" s="4">
        <f t="shared" si="87"/>
        <v>4</v>
      </c>
    </row>
    <row r="1377" spans="1:15" x14ac:dyDescent="0.25">
      <c r="A1377" t="s">
        <v>2793</v>
      </c>
      <c r="B1377" s="2">
        <v>45489</v>
      </c>
      <c r="C1377" t="s">
        <v>24</v>
      </c>
      <c r="D1377" t="s">
        <v>25</v>
      </c>
      <c r="E1377">
        <v>0</v>
      </c>
      <c r="F1377">
        <v>1929.16</v>
      </c>
      <c r="G1377" t="s">
        <v>12</v>
      </c>
      <c r="H1377" t="s">
        <v>51</v>
      </c>
      <c r="I1377" t="s">
        <v>2794</v>
      </c>
      <c r="J1377" t="s">
        <v>36</v>
      </c>
      <c r="K1377" s="4">
        <f>VLOOKUP(J1377,Exchange_Rates!A:B,2,FALSE)</f>
        <v>1.08</v>
      </c>
      <c r="L1377" s="4">
        <f t="shared" si="84"/>
        <v>0</v>
      </c>
      <c r="M1377" s="4">
        <f t="shared" si="85"/>
        <v>2083.4928000000004</v>
      </c>
      <c r="N1377" s="4">
        <f t="shared" si="86"/>
        <v>2024</v>
      </c>
      <c r="O1377" s="4">
        <f t="shared" si="87"/>
        <v>3</v>
      </c>
    </row>
    <row r="1378" spans="1:15" x14ac:dyDescent="0.25">
      <c r="A1378" t="s">
        <v>2795</v>
      </c>
      <c r="B1378" s="2">
        <v>45240</v>
      </c>
      <c r="C1378" t="s">
        <v>49</v>
      </c>
      <c r="D1378" t="s">
        <v>50</v>
      </c>
      <c r="E1378">
        <v>400.54</v>
      </c>
      <c r="F1378">
        <v>0</v>
      </c>
      <c r="G1378" t="s">
        <v>12</v>
      </c>
      <c r="H1378" t="s">
        <v>40</v>
      </c>
      <c r="I1378" t="s">
        <v>2796</v>
      </c>
      <c r="J1378" t="s">
        <v>36</v>
      </c>
      <c r="K1378" s="4">
        <f>VLOOKUP(J1378,Exchange_Rates!A:B,2,FALSE)</f>
        <v>1.08</v>
      </c>
      <c r="L1378" s="4">
        <f t="shared" si="84"/>
        <v>432.58320000000003</v>
      </c>
      <c r="M1378" s="4">
        <f t="shared" si="85"/>
        <v>0</v>
      </c>
      <c r="N1378" s="4">
        <f t="shared" si="86"/>
        <v>2023</v>
      </c>
      <c r="O1378" s="4">
        <f t="shared" si="87"/>
        <v>4</v>
      </c>
    </row>
    <row r="1379" spans="1:15" x14ac:dyDescent="0.25">
      <c r="A1379" t="s">
        <v>2797</v>
      </c>
      <c r="B1379" s="2">
        <v>45397</v>
      </c>
      <c r="C1379" t="s">
        <v>60</v>
      </c>
      <c r="D1379" t="s">
        <v>61</v>
      </c>
      <c r="E1379">
        <v>0</v>
      </c>
      <c r="F1379">
        <v>1657.49</v>
      </c>
      <c r="G1379" t="s">
        <v>13</v>
      </c>
      <c r="H1379" t="s">
        <v>40</v>
      </c>
      <c r="I1379" t="s">
        <v>2798</v>
      </c>
      <c r="J1379" t="s">
        <v>28</v>
      </c>
      <c r="K1379" s="4">
        <f>VLOOKUP(J1379,Exchange_Rates!A:B,2,FALSE)</f>
        <v>1.27</v>
      </c>
      <c r="L1379" s="4">
        <f t="shared" si="84"/>
        <v>0</v>
      </c>
      <c r="M1379" s="4">
        <f t="shared" si="85"/>
        <v>2105.0122999999999</v>
      </c>
      <c r="N1379" s="4">
        <f t="shared" si="86"/>
        <v>2024</v>
      </c>
      <c r="O1379" s="4">
        <f t="shared" si="87"/>
        <v>2</v>
      </c>
    </row>
    <row r="1380" spans="1:15" x14ac:dyDescent="0.25">
      <c r="A1380" t="s">
        <v>2799</v>
      </c>
      <c r="B1380" s="2">
        <v>45388</v>
      </c>
      <c r="C1380" t="s">
        <v>24</v>
      </c>
      <c r="D1380" t="s">
        <v>25</v>
      </c>
      <c r="E1380">
        <v>0</v>
      </c>
      <c r="F1380">
        <v>1718.15</v>
      </c>
      <c r="G1380" t="s">
        <v>11</v>
      </c>
      <c r="H1380" t="s">
        <v>51</v>
      </c>
      <c r="I1380" t="s">
        <v>2800</v>
      </c>
      <c r="J1380" t="s">
        <v>28</v>
      </c>
      <c r="K1380" s="4">
        <f>VLOOKUP(J1380,Exchange_Rates!A:B,2,FALSE)</f>
        <v>1.27</v>
      </c>
      <c r="L1380" s="4">
        <f t="shared" si="84"/>
        <v>0</v>
      </c>
      <c r="M1380" s="4">
        <f t="shared" si="85"/>
        <v>2182.0505000000003</v>
      </c>
      <c r="N1380" s="4">
        <f t="shared" si="86"/>
        <v>2024</v>
      </c>
      <c r="O1380" s="4">
        <f t="shared" si="87"/>
        <v>2</v>
      </c>
    </row>
    <row r="1381" spans="1:15" x14ac:dyDescent="0.25">
      <c r="A1381" t="s">
        <v>2801</v>
      </c>
      <c r="B1381" s="2">
        <v>45824</v>
      </c>
      <c r="C1381" t="s">
        <v>60</v>
      </c>
      <c r="D1381" t="s">
        <v>61</v>
      </c>
      <c r="E1381">
        <v>0</v>
      </c>
      <c r="F1381">
        <v>3216.06</v>
      </c>
      <c r="G1381" t="s">
        <v>8</v>
      </c>
      <c r="H1381" t="s">
        <v>62</v>
      </c>
      <c r="I1381" t="s">
        <v>2802</v>
      </c>
      <c r="J1381" t="s">
        <v>64</v>
      </c>
      <c r="K1381" s="4">
        <f>VLOOKUP(J1381,Exchange_Rates!A:B,2,FALSE)</f>
        <v>0.73</v>
      </c>
      <c r="L1381" s="4">
        <f t="shared" si="84"/>
        <v>0</v>
      </c>
      <c r="M1381" s="4">
        <f t="shared" si="85"/>
        <v>2347.7237999999998</v>
      </c>
      <c r="N1381" s="4">
        <f t="shared" si="86"/>
        <v>2025</v>
      </c>
      <c r="O1381" s="4">
        <f t="shared" si="87"/>
        <v>2</v>
      </c>
    </row>
    <row r="1382" spans="1:15" x14ac:dyDescent="0.25">
      <c r="A1382" t="s">
        <v>2803</v>
      </c>
      <c r="B1382" s="2">
        <v>45065</v>
      </c>
      <c r="C1382" t="s">
        <v>60</v>
      </c>
      <c r="D1382" t="s">
        <v>61</v>
      </c>
      <c r="E1382">
        <v>0</v>
      </c>
      <c r="F1382">
        <v>3406.43</v>
      </c>
      <c r="G1382" t="s">
        <v>10</v>
      </c>
      <c r="H1382" t="s">
        <v>62</v>
      </c>
      <c r="I1382" t="s">
        <v>2804</v>
      </c>
      <c r="J1382" t="s">
        <v>42</v>
      </c>
      <c r="K1382" s="4">
        <f>VLOOKUP(J1382,Exchange_Rates!A:B,2,FALSE)</f>
        <v>0.66</v>
      </c>
      <c r="L1382" s="4">
        <f t="shared" si="84"/>
        <v>0</v>
      </c>
      <c r="M1382" s="4">
        <f t="shared" si="85"/>
        <v>2248.2438000000002</v>
      </c>
      <c r="N1382" s="4">
        <f t="shared" si="86"/>
        <v>2023</v>
      </c>
      <c r="O1382" s="4">
        <f t="shared" si="87"/>
        <v>2</v>
      </c>
    </row>
    <row r="1383" spans="1:15" x14ac:dyDescent="0.25">
      <c r="A1383" t="s">
        <v>2805</v>
      </c>
      <c r="B1383" s="2">
        <v>45744</v>
      </c>
      <c r="C1383" t="s">
        <v>38</v>
      </c>
      <c r="D1383" t="s">
        <v>39</v>
      </c>
      <c r="E1383">
        <v>1047.53</v>
      </c>
      <c r="F1383">
        <v>0</v>
      </c>
      <c r="G1383" t="s">
        <v>8</v>
      </c>
      <c r="H1383" t="s">
        <v>51</v>
      </c>
      <c r="I1383" t="s">
        <v>2806</v>
      </c>
      <c r="J1383" t="s">
        <v>45</v>
      </c>
      <c r="K1383" s="4">
        <f>VLOOKUP(J1383,Exchange_Rates!A:B,2,FALSE)</f>
        <v>1</v>
      </c>
      <c r="L1383" s="4">
        <f t="shared" si="84"/>
        <v>1047.53</v>
      </c>
      <c r="M1383" s="4">
        <f t="shared" si="85"/>
        <v>0</v>
      </c>
      <c r="N1383" s="4">
        <f t="shared" si="86"/>
        <v>2025</v>
      </c>
      <c r="O1383" s="4">
        <f t="shared" si="87"/>
        <v>1</v>
      </c>
    </row>
    <row r="1384" spans="1:15" x14ac:dyDescent="0.25">
      <c r="A1384" t="s">
        <v>2807</v>
      </c>
      <c r="B1384" s="2">
        <v>45599</v>
      </c>
      <c r="C1384" t="s">
        <v>49</v>
      </c>
      <c r="D1384" t="s">
        <v>50</v>
      </c>
      <c r="E1384">
        <v>129.62</v>
      </c>
      <c r="F1384">
        <v>0</v>
      </c>
      <c r="G1384" t="s">
        <v>8</v>
      </c>
      <c r="H1384" t="s">
        <v>26</v>
      </c>
      <c r="I1384" t="s">
        <v>2808</v>
      </c>
      <c r="J1384" t="s">
        <v>36</v>
      </c>
      <c r="K1384" s="4">
        <f>VLOOKUP(J1384,Exchange_Rates!A:B,2,FALSE)</f>
        <v>1.08</v>
      </c>
      <c r="L1384" s="4">
        <f t="shared" si="84"/>
        <v>139.98960000000002</v>
      </c>
      <c r="M1384" s="4">
        <f t="shared" si="85"/>
        <v>0</v>
      </c>
      <c r="N1384" s="4">
        <f t="shared" si="86"/>
        <v>2024</v>
      </c>
      <c r="O1384" s="4">
        <f t="shared" si="87"/>
        <v>4</v>
      </c>
    </row>
    <row r="1385" spans="1:15" x14ac:dyDescent="0.25">
      <c r="A1385" t="s">
        <v>2809</v>
      </c>
      <c r="B1385" s="2">
        <v>45158</v>
      </c>
      <c r="C1385" t="s">
        <v>60</v>
      </c>
      <c r="D1385" t="s">
        <v>61</v>
      </c>
      <c r="E1385">
        <v>0</v>
      </c>
      <c r="F1385">
        <v>2334.75</v>
      </c>
      <c r="G1385" t="s">
        <v>10</v>
      </c>
      <c r="H1385" t="s">
        <v>51</v>
      </c>
      <c r="I1385" t="s">
        <v>2810</v>
      </c>
      <c r="J1385" t="s">
        <v>42</v>
      </c>
      <c r="K1385" s="4">
        <f>VLOOKUP(J1385,Exchange_Rates!A:B,2,FALSE)</f>
        <v>0.66</v>
      </c>
      <c r="L1385" s="4">
        <f t="shared" si="84"/>
        <v>0</v>
      </c>
      <c r="M1385" s="4">
        <f t="shared" si="85"/>
        <v>1540.9350000000002</v>
      </c>
      <c r="N1385" s="4">
        <f t="shared" si="86"/>
        <v>2023</v>
      </c>
      <c r="O1385" s="4">
        <f t="shared" si="87"/>
        <v>3</v>
      </c>
    </row>
    <row r="1386" spans="1:15" x14ac:dyDescent="0.25">
      <c r="A1386" t="s">
        <v>2811</v>
      </c>
      <c r="B1386" s="2">
        <v>45091</v>
      </c>
      <c r="C1386" t="s">
        <v>38</v>
      </c>
      <c r="D1386" t="s">
        <v>39</v>
      </c>
      <c r="E1386">
        <v>1023.61</v>
      </c>
      <c r="F1386">
        <v>0</v>
      </c>
      <c r="G1386" t="s">
        <v>11</v>
      </c>
      <c r="H1386" t="s">
        <v>34</v>
      </c>
      <c r="I1386" t="s">
        <v>2812</v>
      </c>
      <c r="J1386" t="s">
        <v>28</v>
      </c>
      <c r="K1386" s="4">
        <f>VLOOKUP(J1386,Exchange_Rates!A:B,2,FALSE)</f>
        <v>1.27</v>
      </c>
      <c r="L1386" s="4">
        <f t="shared" si="84"/>
        <v>1299.9847</v>
      </c>
      <c r="M1386" s="4">
        <f t="shared" si="85"/>
        <v>0</v>
      </c>
      <c r="N1386" s="4">
        <f t="shared" si="86"/>
        <v>2023</v>
      </c>
      <c r="O1386" s="4">
        <f t="shared" si="87"/>
        <v>2</v>
      </c>
    </row>
    <row r="1387" spans="1:15" x14ac:dyDescent="0.25">
      <c r="A1387" t="s">
        <v>2813</v>
      </c>
      <c r="B1387" s="2">
        <v>45311</v>
      </c>
      <c r="C1387" t="s">
        <v>49</v>
      </c>
      <c r="D1387" t="s">
        <v>50</v>
      </c>
      <c r="E1387">
        <v>182.89</v>
      </c>
      <c r="F1387">
        <v>0</v>
      </c>
      <c r="G1387" t="s">
        <v>12</v>
      </c>
      <c r="H1387" t="s">
        <v>34</v>
      </c>
      <c r="I1387" t="s">
        <v>2814</v>
      </c>
      <c r="J1387" t="s">
        <v>28</v>
      </c>
      <c r="K1387" s="4">
        <f>VLOOKUP(J1387,Exchange_Rates!A:B,2,FALSE)</f>
        <v>1.27</v>
      </c>
      <c r="L1387" s="4">
        <f t="shared" si="84"/>
        <v>232.27029999999999</v>
      </c>
      <c r="M1387" s="4">
        <f t="shared" si="85"/>
        <v>0</v>
      </c>
      <c r="N1387" s="4">
        <f t="shared" si="86"/>
        <v>2024</v>
      </c>
      <c r="O1387" s="4">
        <f t="shared" si="87"/>
        <v>1</v>
      </c>
    </row>
    <row r="1388" spans="1:15" x14ac:dyDescent="0.25">
      <c r="A1388" t="s">
        <v>2815</v>
      </c>
      <c r="B1388" s="2">
        <v>45476</v>
      </c>
      <c r="C1388" t="s">
        <v>38</v>
      </c>
      <c r="D1388" t="s">
        <v>39</v>
      </c>
      <c r="E1388">
        <v>229.97</v>
      </c>
      <c r="F1388">
        <v>0</v>
      </c>
      <c r="G1388" t="s">
        <v>11</v>
      </c>
      <c r="H1388" t="s">
        <v>34</v>
      </c>
      <c r="I1388" t="s">
        <v>2816</v>
      </c>
      <c r="J1388" t="s">
        <v>28</v>
      </c>
      <c r="K1388" s="4">
        <f>VLOOKUP(J1388,Exchange_Rates!A:B,2,FALSE)</f>
        <v>1.27</v>
      </c>
      <c r="L1388" s="4">
        <f t="shared" si="84"/>
        <v>292.06189999999998</v>
      </c>
      <c r="M1388" s="4">
        <f t="shared" si="85"/>
        <v>0</v>
      </c>
      <c r="N1388" s="4">
        <f t="shared" si="86"/>
        <v>2024</v>
      </c>
      <c r="O1388" s="4">
        <f t="shared" si="87"/>
        <v>3</v>
      </c>
    </row>
    <row r="1389" spans="1:15" x14ac:dyDescent="0.25">
      <c r="A1389" t="s">
        <v>2817</v>
      </c>
      <c r="B1389" s="2">
        <v>45548</v>
      </c>
      <c r="C1389" t="s">
        <v>38</v>
      </c>
      <c r="D1389" t="s">
        <v>39</v>
      </c>
      <c r="E1389">
        <v>1443.86</v>
      </c>
      <c r="F1389">
        <v>0</v>
      </c>
      <c r="G1389" t="s">
        <v>12</v>
      </c>
      <c r="H1389" t="s">
        <v>62</v>
      </c>
      <c r="I1389" t="s">
        <v>2818</v>
      </c>
      <c r="J1389" t="s">
        <v>45</v>
      </c>
      <c r="K1389" s="4">
        <f>VLOOKUP(J1389,Exchange_Rates!A:B,2,FALSE)</f>
        <v>1</v>
      </c>
      <c r="L1389" s="4">
        <f t="shared" si="84"/>
        <v>1443.86</v>
      </c>
      <c r="M1389" s="4">
        <f t="shared" si="85"/>
        <v>0</v>
      </c>
      <c r="N1389" s="4">
        <f t="shared" si="86"/>
        <v>2024</v>
      </c>
      <c r="O1389" s="4">
        <f t="shared" si="87"/>
        <v>3</v>
      </c>
    </row>
    <row r="1390" spans="1:15" x14ac:dyDescent="0.25">
      <c r="A1390" t="s">
        <v>2819</v>
      </c>
      <c r="B1390" s="2">
        <v>45391</v>
      </c>
      <c r="C1390" t="s">
        <v>60</v>
      </c>
      <c r="D1390" t="s">
        <v>61</v>
      </c>
      <c r="E1390">
        <v>0</v>
      </c>
      <c r="F1390">
        <v>1270.57</v>
      </c>
      <c r="G1390" t="s">
        <v>10</v>
      </c>
      <c r="H1390" t="s">
        <v>34</v>
      </c>
      <c r="I1390" t="s">
        <v>2820</v>
      </c>
      <c r="J1390" t="s">
        <v>42</v>
      </c>
      <c r="K1390" s="4">
        <f>VLOOKUP(J1390,Exchange_Rates!A:B,2,FALSE)</f>
        <v>0.66</v>
      </c>
      <c r="L1390" s="4">
        <f t="shared" si="84"/>
        <v>0</v>
      </c>
      <c r="M1390" s="4">
        <f t="shared" si="85"/>
        <v>838.57619999999997</v>
      </c>
      <c r="N1390" s="4">
        <f t="shared" si="86"/>
        <v>2024</v>
      </c>
      <c r="O1390" s="4">
        <f t="shared" si="87"/>
        <v>2</v>
      </c>
    </row>
    <row r="1391" spans="1:15" x14ac:dyDescent="0.25">
      <c r="A1391" t="s">
        <v>2821</v>
      </c>
      <c r="B1391" s="2">
        <v>45139</v>
      </c>
      <c r="C1391" t="s">
        <v>60</v>
      </c>
      <c r="D1391" t="s">
        <v>61</v>
      </c>
      <c r="E1391">
        <v>0</v>
      </c>
      <c r="F1391">
        <v>1310.5899999999999</v>
      </c>
      <c r="G1391" t="s">
        <v>13</v>
      </c>
      <c r="H1391" t="s">
        <v>62</v>
      </c>
      <c r="I1391" t="s">
        <v>2822</v>
      </c>
      <c r="J1391" t="s">
        <v>64</v>
      </c>
      <c r="K1391" s="4">
        <f>VLOOKUP(J1391,Exchange_Rates!A:B,2,FALSE)</f>
        <v>0.73</v>
      </c>
      <c r="L1391" s="4">
        <f t="shared" si="84"/>
        <v>0</v>
      </c>
      <c r="M1391" s="4">
        <f t="shared" si="85"/>
        <v>956.73069999999996</v>
      </c>
      <c r="N1391" s="4">
        <f t="shared" si="86"/>
        <v>2023</v>
      </c>
      <c r="O1391" s="4">
        <f t="shared" si="87"/>
        <v>3</v>
      </c>
    </row>
    <row r="1392" spans="1:15" x14ac:dyDescent="0.25">
      <c r="A1392" t="s">
        <v>2823</v>
      </c>
      <c r="B1392" s="2">
        <v>45344</v>
      </c>
      <c r="C1392" t="s">
        <v>60</v>
      </c>
      <c r="D1392" t="s">
        <v>61</v>
      </c>
      <c r="E1392">
        <v>0</v>
      </c>
      <c r="F1392">
        <v>3868.62</v>
      </c>
      <c r="G1392" t="s">
        <v>13</v>
      </c>
      <c r="H1392" t="s">
        <v>62</v>
      </c>
      <c r="I1392" t="s">
        <v>2824</v>
      </c>
      <c r="J1392" t="s">
        <v>42</v>
      </c>
      <c r="K1392" s="4">
        <f>VLOOKUP(J1392,Exchange_Rates!A:B,2,FALSE)</f>
        <v>0.66</v>
      </c>
      <c r="L1392" s="4">
        <f t="shared" si="84"/>
        <v>0</v>
      </c>
      <c r="M1392" s="4">
        <f t="shared" si="85"/>
        <v>2553.2892000000002</v>
      </c>
      <c r="N1392" s="4">
        <f t="shared" si="86"/>
        <v>2024</v>
      </c>
      <c r="O1392" s="4">
        <f t="shared" si="87"/>
        <v>1</v>
      </c>
    </row>
    <row r="1393" spans="1:15" x14ac:dyDescent="0.25">
      <c r="A1393" t="s">
        <v>2825</v>
      </c>
      <c r="B1393" s="2">
        <v>45094</v>
      </c>
      <c r="C1393" t="s">
        <v>24</v>
      </c>
      <c r="D1393" t="s">
        <v>25</v>
      </c>
      <c r="E1393">
        <v>0</v>
      </c>
      <c r="F1393">
        <v>138.43</v>
      </c>
      <c r="G1393" t="s">
        <v>9</v>
      </c>
      <c r="H1393" t="s">
        <v>26</v>
      </c>
      <c r="I1393" t="s">
        <v>2826</v>
      </c>
      <c r="J1393" t="s">
        <v>28</v>
      </c>
      <c r="K1393" s="4">
        <f>VLOOKUP(J1393,Exchange_Rates!A:B,2,FALSE)</f>
        <v>1.27</v>
      </c>
      <c r="L1393" s="4">
        <f t="shared" si="84"/>
        <v>0</v>
      </c>
      <c r="M1393" s="4">
        <f t="shared" si="85"/>
        <v>175.80610000000001</v>
      </c>
      <c r="N1393" s="4">
        <f t="shared" si="86"/>
        <v>2023</v>
      </c>
      <c r="O1393" s="4">
        <f t="shared" si="87"/>
        <v>2</v>
      </c>
    </row>
    <row r="1394" spans="1:15" x14ac:dyDescent="0.25">
      <c r="A1394" t="s">
        <v>2827</v>
      </c>
      <c r="B1394" s="2">
        <v>45210</v>
      </c>
      <c r="C1394" t="s">
        <v>30</v>
      </c>
      <c r="D1394" t="s">
        <v>31</v>
      </c>
      <c r="E1394">
        <v>1749.68</v>
      </c>
      <c r="F1394">
        <v>0</v>
      </c>
      <c r="G1394" t="s">
        <v>9</v>
      </c>
      <c r="H1394" t="s">
        <v>51</v>
      </c>
      <c r="I1394" t="s">
        <v>2828</v>
      </c>
      <c r="J1394" t="s">
        <v>36</v>
      </c>
      <c r="K1394" s="4">
        <f>VLOOKUP(J1394,Exchange_Rates!A:B,2,FALSE)</f>
        <v>1.08</v>
      </c>
      <c r="L1394" s="4">
        <f t="shared" si="84"/>
        <v>1889.6544000000001</v>
      </c>
      <c r="M1394" s="4">
        <f t="shared" si="85"/>
        <v>0</v>
      </c>
      <c r="N1394" s="4">
        <f t="shared" si="86"/>
        <v>2023</v>
      </c>
      <c r="O1394" s="4">
        <f t="shared" si="87"/>
        <v>4</v>
      </c>
    </row>
    <row r="1395" spans="1:15" x14ac:dyDescent="0.25">
      <c r="A1395" t="s">
        <v>2829</v>
      </c>
      <c r="B1395" s="2">
        <v>45807</v>
      </c>
      <c r="C1395" t="s">
        <v>60</v>
      </c>
      <c r="D1395" t="s">
        <v>61</v>
      </c>
      <c r="E1395">
        <v>0</v>
      </c>
      <c r="F1395">
        <v>4955.21</v>
      </c>
      <c r="G1395" t="s">
        <v>10</v>
      </c>
      <c r="H1395" t="s">
        <v>51</v>
      </c>
      <c r="I1395" t="s">
        <v>2830</v>
      </c>
      <c r="J1395" t="s">
        <v>36</v>
      </c>
      <c r="K1395" s="4">
        <f>VLOOKUP(J1395,Exchange_Rates!A:B,2,FALSE)</f>
        <v>1.08</v>
      </c>
      <c r="L1395" s="4">
        <f t="shared" si="84"/>
        <v>0</v>
      </c>
      <c r="M1395" s="4">
        <f t="shared" si="85"/>
        <v>5351.6268</v>
      </c>
      <c r="N1395" s="4">
        <f t="shared" si="86"/>
        <v>2025</v>
      </c>
      <c r="O1395" s="4">
        <f t="shared" si="87"/>
        <v>2</v>
      </c>
    </row>
    <row r="1396" spans="1:15" x14ac:dyDescent="0.25">
      <c r="A1396" t="s">
        <v>2831</v>
      </c>
      <c r="B1396" s="2">
        <v>45223</v>
      </c>
      <c r="C1396" t="s">
        <v>49</v>
      </c>
      <c r="D1396" t="s">
        <v>50</v>
      </c>
      <c r="E1396">
        <v>1030.07</v>
      </c>
      <c r="F1396">
        <v>0</v>
      </c>
      <c r="G1396" t="s">
        <v>9</v>
      </c>
      <c r="H1396" t="s">
        <v>34</v>
      </c>
      <c r="I1396" t="s">
        <v>2832</v>
      </c>
      <c r="J1396" t="s">
        <v>64</v>
      </c>
      <c r="K1396" s="4">
        <f>VLOOKUP(J1396,Exchange_Rates!A:B,2,FALSE)</f>
        <v>0.73</v>
      </c>
      <c r="L1396" s="4">
        <f t="shared" si="84"/>
        <v>751.95109999999988</v>
      </c>
      <c r="M1396" s="4">
        <f t="shared" si="85"/>
        <v>0</v>
      </c>
      <c r="N1396" s="4">
        <f t="shared" si="86"/>
        <v>2023</v>
      </c>
      <c r="O1396" s="4">
        <f t="shared" si="87"/>
        <v>4</v>
      </c>
    </row>
    <row r="1397" spans="1:15" x14ac:dyDescent="0.25">
      <c r="A1397" t="s">
        <v>2833</v>
      </c>
      <c r="B1397" s="2">
        <v>44951</v>
      </c>
      <c r="C1397" t="s">
        <v>38</v>
      </c>
      <c r="D1397" t="s">
        <v>39</v>
      </c>
      <c r="E1397">
        <v>1552.9</v>
      </c>
      <c r="F1397">
        <v>0</v>
      </c>
      <c r="G1397" t="s">
        <v>9</v>
      </c>
      <c r="H1397" t="s">
        <v>34</v>
      </c>
      <c r="I1397" t="s">
        <v>2834</v>
      </c>
      <c r="J1397" t="s">
        <v>28</v>
      </c>
      <c r="K1397" s="4">
        <f>VLOOKUP(J1397,Exchange_Rates!A:B,2,FALSE)</f>
        <v>1.27</v>
      </c>
      <c r="L1397" s="4">
        <f t="shared" si="84"/>
        <v>1972.1830000000002</v>
      </c>
      <c r="M1397" s="4">
        <f t="shared" si="85"/>
        <v>0</v>
      </c>
      <c r="N1397" s="4">
        <f t="shared" si="86"/>
        <v>2023</v>
      </c>
      <c r="O1397" s="4">
        <f t="shared" si="87"/>
        <v>1</v>
      </c>
    </row>
    <row r="1398" spans="1:15" x14ac:dyDescent="0.25">
      <c r="A1398" t="s">
        <v>2835</v>
      </c>
      <c r="B1398" s="2">
        <v>45009</v>
      </c>
      <c r="C1398" t="s">
        <v>30</v>
      </c>
      <c r="D1398" t="s">
        <v>31</v>
      </c>
      <c r="E1398">
        <v>1837.1</v>
      </c>
      <c r="F1398">
        <v>0</v>
      </c>
      <c r="G1398" t="s">
        <v>9</v>
      </c>
      <c r="H1398" t="s">
        <v>26</v>
      </c>
      <c r="I1398" t="s">
        <v>2836</v>
      </c>
      <c r="J1398" t="s">
        <v>45</v>
      </c>
      <c r="K1398" s="4">
        <f>VLOOKUP(J1398,Exchange_Rates!A:B,2,FALSE)</f>
        <v>1</v>
      </c>
      <c r="L1398" s="4">
        <f t="shared" si="84"/>
        <v>1837.1</v>
      </c>
      <c r="M1398" s="4">
        <f t="shared" si="85"/>
        <v>0</v>
      </c>
      <c r="N1398" s="4">
        <f t="shared" si="86"/>
        <v>2023</v>
      </c>
      <c r="O1398" s="4">
        <f t="shared" si="87"/>
        <v>1</v>
      </c>
    </row>
    <row r="1399" spans="1:15" x14ac:dyDescent="0.25">
      <c r="A1399" t="s">
        <v>2837</v>
      </c>
      <c r="B1399" s="2">
        <v>45200</v>
      </c>
      <c r="C1399" t="s">
        <v>24</v>
      </c>
      <c r="D1399" t="s">
        <v>25</v>
      </c>
      <c r="E1399">
        <v>0</v>
      </c>
      <c r="F1399">
        <v>3838.99</v>
      </c>
      <c r="G1399" t="s">
        <v>9</v>
      </c>
      <c r="H1399" t="s">
        <v>34</v>
      </c>
      <c r="I1399" t="s">
        <v>2838</v>
      </c>
      <c r="J1399" t="s">
        <v>42</v>
      </c>
      <c r="K1399" s="4">
        <f>VLOOKUP(J1399,Exchange_Rates!A:B,2,FALSE)</f>
        <v>0.66</v>
      </c>
      <c r="L1399" s="4">
        <f t="shared" si="84"/>
        <v>0</v>
      </c>
      <c r="M1399" s="4">
        <f t="shared" si="85"/>
        <v>2533.7334000000001</v>
      </c>
      <c r="N1399" s="4">
        <f t="shared" si="86"/>
        <v>2023</v>
      </c>
      <c r="O1399" s="4">
        <f t="shared" si="87"/>
        <v>4</v>
      </c>
    </row>
    <row r="1400" spans="1:15" x14ac:dyDescent="0.25">
      <c r="A1400" t="s">
        <v>2839</v>
      </c>
      <c r="B1400" s="2">
        <v>45352</v>
      </c>
      <c r="C1400" t="s">
        <v>38</v>
      </c>
      <c r="D1400" t="s">
        <v>39</v>
      </c>
      <c r="E1400">
        <v>1204.07</v>
      </c>
      <c r="F1400">
        <v>0</v>
      </c>
      <c r="G1400" t="s">
        <v>9</v>
      </c>
      <c r="H1400" t="s">
        <v>51</v>
      </c>
      <c r="I1400" t="s">
        <v>2840</v>
      </c>
      <c r="J1400" t="s">
        <v>36</v>
      </c>
      <c r="K1400" s="4">
        <f>VLOOKUP(J1400,Exchange_Rates!A:B,2,FALSE)</f>
        <v>1.08</v>
      </c>
      <c r="L1400" s="4">
        <f t="shared" si="84"/>
        <v>1300.3956000000001</v>
      </c>
      <c r="M1400" s="4">
        <f t="shared" si="85"/>
        <v>0</v>
      </c>
      <c r="N1400" s="4">
        <f t="shared" si="86"/>
        <v>2024</v>
      </c>
      <c r="O1400" s="4">
        <f t="shared" si="87"/>
        <v>1</v>
      </c>
    </row>
    <row r="1401" spans="1:15" x14ac:dyDescent="0.25">
      <c r="A1401" t="s">
        <v>2841</v>
      </c>
      <c r="B1401" s="2">
        <v>45128</v>
      </c>
      <c r="C1401" t="s">
        <v>49</v>
      </c>
      <c r="D1401" t="s">
        <v>50</v>
      </c>
      <c r="E1401">
        <v>1122.26</v>
      </c>
      <c r="F1401">
        <v>0</v>
      </c>
      <c r="G1401" t="s">
        <v>10</v>
      </c>
      <c r="H1401" t="s">
        <v>26</v>
      </c>
      <c r="I1401" t="s">
        <v>2842</v>
      </c>
      <c r="J1401" t="s">
        <v>42</v>
      </c>
      <c r="K1401" s="4">
        <f>VLOOKUP(J1401,Exchange_Rates!A:B,2,FALSE)</f>
        <v>0.66</v>
      </c>
      <c r="L1401" s="4">
        <f t="shared" si="84"/>
        <v>740.69159999999999</v>
      </c>
      <c r="M1401" s="4">
        <f t="shared" si="85"/>
        <v>0</v>
      </c>
      <c r="N1401" s="4">
        <f t="shared" si="86"/>
        <v>2023</v>
      </c>
      <c r="O1401" s="4">
        <f t="shared" si="87"/>
        <v>3</v>
      </c>
    </row>
    <row r="1402" spans="1:15" x14ac:dyDescent="0.25">
      <c r="A1402" t="s">
        <v>2843</v>
      </c>
      <c r="B1402" s="2">
        <v>45257</v>
      </c>
      <c r="C1402" t="s">
        <v>49</v>
      </c>
      <c r="D1402" t="s">
        <v>50</v>
      </c>
      <c r="E1402">
        <v>633.59</v>
      </c>
      <c r="F1402">
        <v>0</v>
      </c>
      <c r="G1402" t="s">
        <v>12</v>
      </c>
      <c r="H1402" t="s">
        <v>34</v>
      </c>
      <c r="I1402" t="s">
        <v>2844</v>
      </c>
      <c r="J1402" t="s">
        <v>64</v>
      </c>
      <c r="K1402" s="4">
        <f>VLOOKUP(J1402,Exchange_Rates!A:B,2,FALSE)</f>
        <v>0.73</v>
      </c>
      <c r="L1402" s="4">
        <f t="shared" si="84"/>
        <v>462.52070000000003</v>
      </c>
      <c r="M1402" s="4">
        <f t="shared" si="85"/>
        <v>0</v>
      </c>
      <c r="N1402" s="4">
        <f t="shared" si="86"/>
        <v>2023</v>
      </c>
      <c r="O1402" s="4">
        <f t="shared" si="87"/>
        <v>4</v>
      </c>
    </row>
    <row r="1403" spans="1:15" x14ac:dyDescent="0.25">
      <c r="A1403" t="s">
        <v>2845</v>
      </c>
      <c r="B1403" s="2">
        <v>44935</v>
      </c>
      <c r="C1403" t="s">
        <v>60</v>
      </c>
      <c r="D1403" t="s">
        <v>61</v>
      </c>
      <c r="E1403">
        <v>0</v>
      </c>
      <c r="F1403">
        <v>4074.33</v>
      </c>
      <c r="G1403" t="s">
        <v>10</v>
      </c>
      <c r="H1403" t="s">
        <v>62</v>
      </c>
      <c r="I1403" t="s">
        <v>2846</v>
      </c>
      <c r="J1403" t="s">
        <v>45</v>
      </c>
      <c r="K1403" s="4">
        <f>VLOOKUP(J1403,Exchange_Rates!A:B,2,FALSE)</f>
        <v>1</v>
      </c>
      <c r="L1403" s="4">
        <f t="shared" si="84"/>
        <v>0</v>
      </c>
      <c r="M1403" s="4">
        <f t="shared" si="85"/>
        <v>4074.33</v>
      </c>
      <c r="N1403" s="4">
        <f t="shared" si="86"/>
        <v>2023</v>
      </c>
      <c r="O1403" s="4">
        <f t="shared" si="87"/>
        <v>1</v>
      </c>
    </row>
    <row r="1404" spans="1:15" x14ac:dyDescent="0.25">
      <c r="A1404" t="s">
        <v>2847</v>
      </c>
      <c r="B1404" s="2">
        <v>45540</v>
      </c>
      <c r="C1404" t="s">
        <v>38</v>
      </c>
      <c r="D1404" t="s">
        <v>39</v>
      </c>
      <c r="E1404">
        <v>340.22</v>
      </c>
      <c r="F1404">
        <v>0</v>
      </c>
      <c r="G1404" t="s">
        <v>13</v>
      </c>
      <c r="H1404" t="s">
        <v>40</v>
      </c>
      <c r="I1404" t="s">
        <v>2848</v>
      </c>
      <c r="J1404" t="s">
        <v>28</v>
      </c>
      <c r="K1404" s="4">
        <f>VLOOKUP(J1404,Exchange_Rates!A:B,2,FALSE)</f>
        <v>1.27</v>
      </c>
      <c r="L1404" s="4">
        <f t="shared" si="84"/>
        <v>432.07940000000002</v>
      </c>
      <c r="M1404" s="4">
        <f t="shared" si="85"/>
        <v>0</v>
      </c>
      <c r="N1404" s="4">
        <f t="shared" si="86"/>
        <v>2024</v>
      </c>
      <c r="O1404" s="4">
        <f t="shared" si="87"/>
        <v>3</v>
      </c>
    </row>
    <row r="1405" spans="1:15" x14ac:dyDescent="0.25">
      <c r="A1405" t="s">
        <v>2849</v>
      </c>
      <c r="B1405" s="2">
        <v>45796</v>
      </c>
      <c r="C1405" t="s">
        <v>38</v>
      </c>
      <c r="D1405" t="s">
        <v>39</v>
      </c>
      <c r="E1405">
        <v>1891.61</v>
      </c>
      <c r="F1405">
        <v>0</v>
      </c>
      <c r="G1405" t="s">
        <v>11</v>
      </c>
      <c r="H1405" t="s">
        <v>26</v>
      </c>
      <c r="I1405" t="s">
        <v>2850</v>
      </c>
      <c r="J1405" t="s">
        <v>36</v>
      </c>
      <c r="K1405" s="4">
        <f>VLOOKUP(J1405,Exchange_Rates!A:B,2,FALSE)</f>
        <v>1.08</v>
      </c>
      <c r="L1405" s="4">
        <f t="shared" si="84"/>
        <v>2042.9388000000001</v>
      </c>
      <c r="M1405" s="4">
        <f t="shared" si="85"/>
        <v>0</v>
      </c>
      <c r="N1405" s="4">
        <f t="shared" si="86"/>
        <v>2025</v>
      </c>
      <c r="O1405" s="4">
        <f t="shared" si="87"/>
        <v>2</v>
      </c>
    </row>
    <row r="1406" spans="1:15" x14ac:dyDescent="0.25">
      <c r="A1406" t="s">
        <v>2851</v>
      </c>
      <c r="B1406" s="2">
        <v>45694</v>
      </c>
      <c r="C1406" t="s">
        <v>30</v>
      </c>
      <c r="D1406" t="s">
        <v>31</v>
      </c>
      <c r="E1406">
        <v>1998.5</v>
      </c>
      <c r="F1406">
        <v>0</v>
      </c>
      <c r="G1406" t="s">
        <v>12</v>
      </c>
      <c r="H1406" t="s">
        <v>51</v>
      </c>
      <c r="I1406" t="s">
        <v>2852</v>
      </c>
      <c r="J1406" t="s">
        <v>36</v>
      </c>
      <c r="K1406" s="4">
        <f>VLOOKUP(J1406,Exchange_Rates!A:B,2,FALSE)</f>
        <v>1.08</v>
      </c>
      <c r="L1406" s="4">
        <f t="shared" si="84"/>
        <v>2158.38</v>
      </c>
      <c r="M1406" s="4">
        <f t="shared" si="85"/>
        <v>0</v>
      </c>
      <c r="N1406" s="4">
        <f t="shared" si="86"/>
        <v>2025</v>
      </c>
      <c r="O1406" s="4">
        <f t="shared" si="87"/>
        <v>1</v>
      </c>
    </row>
    <row r="1407" spans="1:15" x14ac:dyDescent="0.25">
      <c r="A1407" t="s">
        <v>2853</v>
      </c>
      <c r="B1407" s="2">
        <v>45816</v>
      </c>
      <c r="C1407" t="s">
        <v>24</v>
      </c>
      <c r="D1407" t="s">
        <v>25</v>
      </c>
      <c r="E1407">
        <v>0</v>
      </c>
      <c r="F1407">
        <v>2567.37</v>
      </c>
      <c r="G1407" t="s">
        <v>12</v>
      </c>
      <c r="H1407" t="s">
        <v>40</v>
      </c>
      <c r="I1407" t="s">
        <v>2854</v>
      </c>
      <c r="J1407" t="s">
        <v>36</v>
      </c>
      <c r="K1407" s="4">
        <f>VLOOKUP(J1407,Exchange_Rates!A:B,2,FALSE)</f>
        <v>1.08</v>
      </c>
      <c r="L1407" s="4">
        <f t="shared" si="84"/>
        <v>0</v>
      </c>
      <c r="M1407" s="4">
        <f t="shared" si="85"/>
        <v>2772.7595999999999</v>
      </c>
      <c r="N1407" s="4">
        <f t="shared" si="86"/>
        <v>2025</v>
      </c>
      <c r="O1407" s="4">
        <f t="shared" si="87"/>
        <v>2</v>
      </c>
    </row>
    <row r="1408" spans="1:15" x14ac:dyDescent="0.25">
      <c r="A1408" t="s">
        <v>2855</v>
      </c>
      <c r="B1408" s="2">
        <v>45784</v>
      </c>
      <c r="C1408" t="s">
        <v>30</v>
      </c>
      <c r="D1408" t="s">
        <v>31</v>
      </c>
      <c r="E1408">
        <v>1097.98</v>
      </c>
      <c r="F1408">
        <v>0</v>
      </c>
      <c r="G1408" t="s">
        <v>13</v>
      </c>
      <c r="H1408" t="s">
        <v>62</v>
      </c>
      <c r="I1408" t="s">
        <v>2856</v>
      </c>
      <c r="J1408" t="s">
        <v>36</v>
      </c>
      <c r="K1408" s="4">
        <f>VLOOKUP(J1408,Exchange_Rates!A:B,2,FALSE)</f>
        <v>1.08</v>
      </c>
      <c r="L1408" s="4">
        <f t="shared" si="84"/>
        <v>1185.8184000000001</v>
      </c>
      <c r="M1408" s="4">
        <f t="shared" si="85"/>
        <v>0</v>
      </c>
      <c r="N1408" s="4">
        <f t="shared" si="86"/>
        <v>2025</v>
      </c>
      <c r="O1408" s="4">
        <f t="shared" si="87"/>
        <v>2</v>
      </c>
    </row>
    <row r="1409" spans="1:15" x14ac:dyDescent="0.25">
      <c r="A1409" t="s">
        <v>2857</v>
      </c>
      <c r="B1409" s="2">
        <v>45736</v>
      </c>
      <c r="C1409" t="s">
        <v>38</v>
      </c>
      <c r="D1409" t="s">
        <v>39</v>
      </c>
      <c r="E1409">
        <v>443.66</v>
      </c>
      <c r="F1409">
        <v>0</v>
      </c>
      <c r="G1409" t="s">
        <v>12</v>
      </c>
      <c r="H1409" t="s">
        <v>40</v>
      </c>
      <c r="I1409" t="s">
        <v>2858</v>
      </c>
      <c r="J1409" t="s">
        <v>28</v>
      </c>
      <c r="K1409" s="4">
        <f>VLOOKUP(J1409,Exchange_Rates!A:B,2,FALSE)</f>
        <v>1.27</v>
      </c>
      <c r="L1409" s="4">
        <f t="shared" si="84"/>
        <v>563.44820000000004</v>
      </c>
      <c r="M1409" s="4">
        <f t="shared" si="85"/>
        <v>0</v>
      </c>
      <c r="N1409" s="4">
        <f t="shared" si="86"/>
        <v>2025</v>
      </c>
      <c r="O1409" s="4">
        <f t="shared" si="87"/>
        <v>1</v>
      </c>
    </row>
    <row r="1410" spans="1:15" x14ac:dyDescent="0.25">
      <c r="A1410" t="s">
        <v>2859</v>
      </c>
      <c r="B1410" s="2">
        <v>45021</v>
      </c>
      <c r="C1410" t="s">
        <v>30</v>
      </c>
      <c r="D1410" t="s">
        <v>31</v>
      </c>
      <c r="E1410">
        <v>225.89</v>
      </c>
      <c r="F1410">
        <v>0</v>
      </c>
      <c r="G1410" t="s">
        <v>9</v>
      </c>
      <c r="H1410" t="s">
        <v>40</v>
      </c>
      <c r="I1410" t="s">
        <v>2860</v>
      </c>
      <c r="J1410" t="s">
        <v>42</v>
      </c>
      <c r="K1410" s="4">
        <f>VLOOKUP(J1410,Exchange_Rates!A:B,2,FALSE)</f>
        <v>0.66</v>
      </c>
      <c r="L1410" s="4">
        <f t="shared" si="84"/>
        <v>149.0874</v>
      </c>
      <c r="M1410" s="4">
        <f t="shared" si="85"/>
        <v>0</v>
      </c>
      <c r="N1410" s="4">
        <f t="shared" si="86"/>
        <v>2023</v>
      </c>
      <c r="O1410" s="4">
        <f t="shared" si="87"/>
        <v>2</v>
      </c>
    </row>
    <row r="1411" spans="1:15" x14ac:dyDescent="0.25">
      <c r="A1411" t="s">
        <v>2861</v>
      </c>
      <c r="B1411" s="2">
        <v>45199</v>
      </c>
      <c r="C1411" t="s">
        <v>30</v>
      </c>
      <c r="D1411" t="s">
        <v>31</v>
      </c>
      <c r="E1411">
        <v>90.95</v>
      </c>
      <c r="F1411">
        <v>0</v>
      </c>
      <c r="G1411" t="s">
        <v>12</v>
      </c>
      <c r="H1411" t="s">
        <v>51</v>
      </c>
      <c r="I1411" t="s">
        <v>2862</v>
      </c>
      <c r="J1411" t="s">
        <v>45</v>
      </c>
      <c r="K1411" s="4">
        <f>VLOOKUP(J1411,Exchange_Rates!A:B,2,FALSE)</f>
        <v>1</v>
      </c>
      <c r="L1411" s="4">
        <f t="shared" ref="L1411:L1474" si="88">E1411*K1411</f>
        <v>90.95</v>
      </c>
      <c r="M1411" s="4">
        <f t="shared" ref="M1411:M1474" si="89">F1411*K1411</f>
        <v>0</v>
      </c>
      <c r="N1411" s="4">
        <f t="shared" ref="N1411:N1474" si="90">YEAR(B1411)</f>
        <v>2023</v>
      </c>
      <c r="O1411" s="4">
        <f t="shared" ref="O1411:O1474" si="91">ROUNDUP(MONTH(B1411)/3,0)</f>
        <v>3</v>
      </c>
    </row>
    <row r="1412" spans="1:15" x14ac:dyDescent="0.25">
      <c r="A1412" t="s">
        <v>2863</v>
      </c>
      <c r="B1412" s="2">
        <v>45793</v>
      </c>
      <c r="C1412" t="s">
        <v>60</v>
      </c>
      <c r="D1412" t="s">
        <v>61</v>
      </c>
      <c r="E1412">
        <v>0</v>
      </c>
      <c r="F1412">
        <v>4806.1400000000003</v>
      </c>
      <c r="G1412" t="s">
        <v>12</v>
      </c>
      <c r="H1412" t="s">
        <v>62</v>
      </c>
      <c r="I1412" t="s">
        <v>2864</v>
      </c>
      <c r="J1412" t="s">
        <v>36</v>
      </c>
      <c r="K1412" s="4">
        <f>VLOOKUP(J1412,Exchange_Rates!A:B,2,FALSE)</f>
        <v>1.08</v>
      </c>
      <c r="L1412" s="4">
        <f t="shared" si="88"/>
        <v>0</v>
      </c>
      <c r="M1412" s="4">
        <f t="shared" si="89"/>
        <v>5190.6312000000007</v>
      </c>
      <c r="N1412" s="4">
        <f t="shared" si="90"/>
        <v>2025</v>
      </c>
      <c r="O1412" s="4">
        <f t="shared" si="91"/>
        <v>2</v>
      </c>
    </row>
    <row r="1413" spans="1:15" x14ac:dyDescent="0.25">
      <c r="A1413" t="s">
        <v>2865</v>
      </c>
      <c r="B1413" s="2">
        <v>45582</v>
      </c>
      <c r="C1413" t="s">
        <v>60</v>
      </c>
      <c r="D1413" t="s">
        <v>61</v>
      </c>
      <c r="E1413">
        <v>0</v>
      </c>
      <c r="F1413">
        <v>2397.21</v>
      </c>
      <c r="G1413" t="s">
        <v>13</v>
      </c>
      <c r="H1413" t="s">
        <v>51</v>
      </c>
      <c r="I1413" t="s">
        <v>2866</v>
      </c>
      <c r="J1413" t="s">
        <v>28</v>
      </c>
      <c r="K1413" s="4">
        <f>VLOOKUP(J1413,Exchange_Rates!A:B,2,FALSE)</f>
        <v>1.27</v>
      </c>
      <c r="L1413" s="4">
        <f t="shared" si="88"/>
        <v>0</v>
      </c>
      <c r="M1413" s="4">
        <f t="shared" si="89"/>
        <v>3044.4567000000002</v>
      </c>
      <c r="N1413" s="4">
        <f t="shared" si="90"/>
        <v>2024</v>
      </c>
      <c r="O1413" s="4">
        <f t="shared" si="91"/>
        <v>4</v>
      </c>
    </row>
    <row r="1414" spans="1:15" x14ac:dyDescent="0.25">
      <c r="A1414" t="s">
        <v>2867</v>
      </c>
      <c r="B1414" s="2">
        <v>45022</v>
      </c>
      <c r="C1414" t="s">
        <v>60</v>
      </c>
      <c r="D1414" t="s">
        <v>61</v>
      </c>
      <c r="E1414">
        <v>0</v>
      </c>
      <c r="F1414">
        <v>1164.68</v>
      </c>
      <c r="G1414" t="s">
        <v>11</v>
      </c>
      <c r="H1414" t="s">
        <v>51</v>
      </c>
      <c r="I1414" t="s">
        <v>2868</v>
      </c>
      <c r="J1414" t="s">
        <v>45</v>
      </c>
      <c r="K1414" s="4">
        <f>VLOOKUP(J1414,Exchange_Rates!A:B,2,FALSE)</f>
        <v>1</v>
      </c>
      <c r="L1414" s="4">
        <f t="shared" si="88"/>
        <v>0</v>
      </c>
      <c r="M1414" s="4">
        <f t="shared" si="89"/>
        <v>1164.68</v>
      </c>
      <c r="N1414" s="4">
        <f t="shared" si="90"/>
        <v>2023</v>
      </c>
      <c r="O1414" s="4">
        <f t="shared" si="91"/>
        <v>2</v>
      </c>
    </row>
    <row r="1415" spans="1:15" x14ac:dyDescent="0.25">
      <c r="A1415" t="s">
        <v>2869</v>
      </c>
      <c r="B1415" s="2">
        <v>45432</v>
      </c>
      <c r="C1415" t="s">
        <v>24</v>
      </c>
      <c r="D1415" t="s">
        <v>25</v>
      </c>
      <c r="E1415">
        <v>0</v>
      </c>
      <c r="F1415">
        <v>4994.2</v>
      </c>
      <c r="G1415" t="s">
        <v>12</v>
      </c>
      <c r="H1415" t="s">
        <v>51</v>
      </c>
      <c r="I1415" t="s">
        <v>2870</v>
      </c>
      <c r="J1415" t="s">
        <v>64</v>
      </c>
      <c r="K1415" s="4">
        <f>VLOOKUP(J1415,Exchange_Rates!A:B,2,FALSE)</f>
        <v>0.73</v>
      </c>
      <c r="L1415" s="4">
        <f t="shared" si="88"/>
        <v>0</v>
      </c>
      <c r="M1415" s="4">
        <f t="shared" si="89"/>
        <v>3645.7659999999996</v>
      </c>
      <c r="N1415" s="4">
        <f t="shared" si="90"/>
        <v>2024</v>
      </c>
      <c r="O1415" s="4">
        <f t="shared" si="91"/>
        <v>2</v>
      </c>
    </row>
    <row r="1416" spans="1:15" x14ac:dyDescent="0.25">
      <c r="A1416" t="s">
        <v>2871</v>
      </c>
      <c r="B1416" s="2">
        <v>45312</v>
      </c>
      <c r="C1416" t="s">
        <v>60</v>
      </c>
      <c r="D1416" t="s">
        <v>61</v>
      </c>
      <c r="E1416">
        <v>0</v>
      </c>
      <c r="F1416">
        <v>127.25</v>
      </c>
      <c r="G1416" t="s">
        <v>8</v>
      </c>
      <c r="H1416" t="s">
        <v>34</v>
      </c>
      <c r="I1416" t="s">
        <v>2872</v>
      </c>
      <c r="J1416" t="s">
        <v>64</v>
      </c>
      <c r="K1416" s="4">
        <f>VLOOKUP(J1416,Exchange_Rates!A:B,2,FALSE)</f>
        <v>0.73</v>
      </c>
      <c r="L1416" s="4">
        <f t="shared" si="88"/>
        <v>0</v>
      </c>
      <c r="M1416" s="4">
        <f t="shared" si="89"/>
        <v>92.892499999999998</v>
      </c>
      <c r="N1416" s="4">
        <f t="shared" si="90"/>
        <v>2024</v>
      </c>
      <c r="O1416" s="4">
        <f t="shared" si="91"/>
        <v>1</v>
      </c>
    </row>
    <row r="1417" spans="1:15" x14ac:dyDescent="0.25">
      <c r="A1417" t="s">
        <v>2873</v>
      </c>
      <c r="B1417" s="2">
        <v>45812</v>
      </c>
      <c r="C1417" t="s">
        <v>49</v>
      </c>
      <c r="D1417" t="s">
        <v>50</v>
      </c>
      <c r="E1417">
        <v>1383.8</v>
      </c>
      <c r="F1417">
        <v>0</v>
      </c>
      <c r="G1417" t="s">
        <v>13</v>
      </c>
      <c r="H1417" t="s">
        <v>51</v>
      </c>
      <c r="I1417" t="s">
        <v>2874</v>
      </c>
      <c r="J1417" t="s">
        <v>64</v>
      </c>
      <c r="K1417" s="4">
        <f>VLOOKUP(J1417,Exchange_Rates!A:B,2,FALSE)</f>
        <v>0.73</v>
      </c>
      <c r="L1417" s="4">
        <f t="shared" si="88"/>
        <v>1010.174</v>
      </c>
      <c r="M1417" s="4">
        <f t="shared" si="89"/>
        <v>0</v>
      </c>
      <c r="N1417" s="4">
        <f t="shared" si="90"/>
        <v>2025</v>
      </c>
      <c r="O1417" s="4">
        <f t="shared" si="91"/>
        <v>2</v>
      </c>
    </row>
    <row r="1418" spans="1:15" x14ac:dyDescent="0.25">
      <c r="A1418" t="s">
        <v>2875</v>
      </c>
      <c r="B1418" s="2">
        <v>45535</v>
      </c>
      <c r="C1418" t="s">
        <v>60</v>
      </c>
      <c r="D1418" t="s">
        <v>61</v>
      </c>
      <c r="E1418">
        <v>0</v>
      </c>
      <c r="F1418">
        <v>4604.16</v>
      </c>
      <c r="G1418" t="s">
        <v>8</v>
      </c>
      <c r="H1418" t="s">
        <v>51</v>
      </c>
      <c r="I1418" t="s">
        <v>2876</v>
      </c>
      <c r="J1418" t="s">
        <v>28</v>
      </c>
      <c r="K1418" s="4">
        <f>VLOOKUP(J1418,Exchange_Rates!A:B,2,FALSE)</f>
        <v>1.27</v>
      </c>
      <c r="L1418" s="4">
        <f t="shared" si="88"/>
        <v>0</v>
      </c>
      <c r="M1418" s="4">
        <f t="shared" si="89"/>
        <v>5847.2831999999999</v>
      </c>
      <c r="N1418" s="4">
        <f t="shared" si="90"/>
        <v>2024</v>
      </c>
      <c r="O1418" s="4">
        <f t="shared" si="91"/>
        <v>3</v>
      </c>
    </row>
    <row r="1419" spans="1:15" x14ac:dyDescent="0.25">
      <c r="A1419" t="s">
        <v>2877</v>
      </c>
      <c r="B1419" s="2">
        <v>45522</v>
      </c>
      <c r="C1419" t="s">
        <v>24</v>
      </c>
      <c r="D1419" t="s">
        <v>25</v>
      </c>
      <c r="E1419">
        <v>0</v>
      </c>
      <c r="F1419">
        <v>4835.3</v>
      </c>
      <c r="G1419" t="s">
        <v>10</v>
      </c>
      <c r="H1419" t="s">
        <v>62</v>
      </c>
      <c r="I1419" t="s">
        <v>2878</v>
      </c>
      <c r="J1419" t="s">
        <v>28</v>
      </c>
      <c r="K1419" s="4">
        <f>VLOOKUP(J1419,Exchange_Rates!A:B,2,FALSE)</f>
        <v>1.27</v>
      </c>
      <c r="L1419" s="4">
        <f t="shared" si="88"/>
        <v>0</v>
      </c>
      <c r="M1419" s="4">
        <f t="shared" si="89"/>
        <v>6140.8310000000001</v>
      </c>
      <c r="N1419" s="4">
        <f t="shared" si="90"/>
        <v>2024</v>
      </c>
      <c r="O1419" s="4">
        <f t="shared" si="91"/>
        <v>3</v>
      </c>
    </row>
    <row r="1420" spans="1:15" x14ac:dyDescent="0.25">
      <c r="A1420" t="s">
        <v>2879</v>
      </c>
      <c r="B1420" s="2">
        <v>45750</v>
      </c>
      <c r="C1420" t="s">
        <v>60</v>
      </c>
      <c r="D1420" t="s">
        <v>61</v>
      </c>
      <c r="E1420">
        <v>0</v>
      </c>
      <c r="F1420">
        <v>1057.72</v>
      </c>
      <c r="G1420" t="s">
        <v>8</v>
      </c>
      <c r="H1420" t="s">
        <v>26</v>
      </c>
      <c r="I1420" t="s">
        <v>2880</v>
      </c>
      <c r="J1420" t="s">
        <v>64</v>
      </c>
      <c r="K1420" s="4">
        <f>VLOOKUP(J1420,Exchange_Rates!A:B,2,FALSE)</f>
        <v>0.73</v>
      </c>
      <c r="L1420" s="4">
        <f t="shared" si="88"/>
        <v>0</v>
      </c>
      <c r="M1420" s="4">
        <f t="shared" si="89"/>
        <v>772.13559999999995</v>
      </c>
      <c r="N1420" s="4">
        <f t="shared" si="90"/>
        <v>2025</v>
      </c>
      <c r="O1420" s="4">
        <f t="shared" si="91"/>
        <v>2</v>
      </c>
    </row>
    <row r="1421" spans="1:15" x14ac:dyDescent="0.25">
      <c r="A1421" t="s">
        <v>2881</v>
      </c>
      <c r="B1421" s="2">
        <v>45175</v>
      </c>
      <c r="C1421" t="s">
        <v>49</v>
      </c>
      <c r="D1421" t="s">
        <v>50</v>
      </c>
      <c r="E1421">
        <v>1394.77</v>
      </c>
      <c r="F1421">
        <v>0</v>
      </c>
      <c r="G1421" t="s">
        <v>11</v>
      </c>
      <c r="H1421" t="s">
        <v>62</v>
      </c>
      <c r="I1421" t="s">
        <v>2882</v>
      </c>
      <c r="J1421" t="s">
        <v>64</v>
      </c>
      <c r="K1421" s="4">
        <f>VLOOKUP(J1421,Exchange_Rates!A:B,2,FALSE)</f>
        <v>0.73</v>
      </c>
      <c r="L1421" s="4">
        <f t="shared" si="88"/>
        <v>1018.1821</v>
      </c>
      <c r="M1421" s="4">
        <f t="shared" si="89"/>
        <v>0</v>
      </c>
      <c r="N1421" s="4">
        <f t="shared" si="90"/>
        <v>2023</v>
      </c>
      <c r="O1421" s="4">
        <f t="shared" si="91"/>
        <v>3</v>
      </c>
    </row>
    <row r="1422" spans="1:15" x14ac:dyDescent="0.25">
      <c r="A1422" t="s">
        <v>2883</v>
      </c>
      <c r="B1422" s="2">
        <v>45244</v>
      </c>
      <c r="C1422" t="s">
        <v>30</v>
      </c>
      <c r="D1422" t="s">
        <v>31</v>
      </c>
      <c r="E1422">
        <v>803.08</v>
      </c>
      <c r="F1422">
        <v>0</v>
      </c>
      <c r="G1422" t="s">
        <v>8</v>
      </c>
      <c r="H1422" t="s">
        <v>40</v>
      </c>
      <c r="I1422" t="s">
        <v>2884</v>
      </c>
      <c r="J1422" t="s">
        <v>42</v>
      </c>
      <c r="K1422" s="4">
        <f>VLOOKUP(J1422,Exchange_Rates!A:B,2,FALSE)</f>
        <v>0.66</v>
      </c>
      <c r="L1422" s="4">
        <f t="shared" si="88"/>
        <v>530.03280000000007</v>
      </c>
      <c r="M1422" s="4">
        <f t="shared" si="89"/>
        <v>0</v>
      </c>
      <c r="N1422" s="4">
        <f t="shared" si="90"/>
        <v>2023</v>
      </c>
      <c r="O1422" s="4">
        <f t="shared" si="91"/>
        <v>4</v>
      </c>
    </row>
    <row r="1423" spans="1:15" x14ac:dyDescent="0.25">
      <c r="A1423" t="s">
        <v>2885</v>
      </c>
      <c r="B1423" s="2">
        <v>45169</v>
      </c>
      <c r="C1423" t="s">
        <v>38</v>
      </c>
      <c r="D1423" t="s">
        <v>39</v>
      </c>
      <c r="E1423">
        <v>500.5</v>
      </c>
      <c r="F1423">
        <v>0</v>
      </c>
      <c r="G1423" t="s">
        <v>11</v>
      </c>
      <c r="H1423" t="s">
        <v>26</v>
      </c>
      <c r="I1423" t="s">
        <v>2886</v>
      </c>
      <c r="J1423" t="s">
        <v>64</v>
      </c>
      <c r="K1423" s="4">
        <f>VLOOKUP(J1423,Exchange_Rates!A:B,2,FALSE)</f>
        <v>0.73</v>
      </c>
      <c r="L1423" s="4">
        <f t="shared" si="88"/>
        <v>365.36500000000001</v>
      </c>
      <c r="M1423" s="4">
        <f t="shared" si="89"/>
        <v>0</v>
      </c>
      <c r="N1423" s="4">
        <f t="shared" si="90"/>
        <v>2023</v>
      </c>
      <c r="O1423" s="4">
        <f t="shared" si="91"/>
        <v>3</v>
      </c>
    </row>
    <row r="1424" spans="1:15" x14ac:dyDescent="0.25">
      <c r="A1424" t="s">
        <v>2887</v>
      </c>
      <c r="B1424" s="2">
        <v>44962</v>
      </c>
      <c r="C1424" t="s">
        <v>49</v>
      </c>
      <c r="D1424" t="s">
        <v>50</v>
      </c>
      <c r="E1424">
        <v>413.05</v>
      </c>
      <c r="F1424">
        <v>0</v>
      </c>
      <c r="G1424" t="s">
        <v>13</v>
      </c>
      <c r="H1424" t="s">
        <v>40</v>
      </c>
      <c r="I1424" t="s">
        <v>2888</v>
      </c>
      <c r="J1424" t="s">
        <v>28</v>
      </c>
      <c r="K1424" s="4">
        <f>VLOOKUP(J1424,Exchange_Rates!A:B,2,FALSE)</f>
        <v>1.27</v>
      </c>
      <c r="L1424" s="4">
        <f t="shared" si="88"/>
        <v>524.57349999999997</v>
      </c>
      <c r="M1424" s="4">
        <f t="shared" si="89"/>
        <v>0</v>
      </c>
      <c r="N1424" s="4">
        <f t="shared" si="90"/>
        <v>2023</v>
      </c>
      <c r="O1424" s="4">
        <f t="shared" si="91"/>
        <v>1</v>
      </c>
    </row>
    <row r="1425" spans="1:15" x14ac:dyDescent="0.25">
      <c r="A1425" t="s">
        <v>2889</v>
      </c>
      <c r="B1425" s="2">
        <v>45217</v>
      </c>
      <c r="C1425" t="s">
        <v>30</v>
      </c>
      <c r="D1425" t="s">
        <v>31</v>
      </c>
      <c r="E1425">
        <v>1483.66</v>
      </c>
      <c r="F1425">
        <v>0</v>
      </c>
      <c r="G1425" t="s">
        <v>12</v>
      </c>
      <c r="H1425" t="s">
        <v>34</v>
      </c>
      <c r="I1425" t="s">
        <v>2890</v>
      </c>
      <c r="J1425" t="s">
        <v>36</v>
      </c>
      <c r="K1425" s="4">
        <f>VLOOKUP(J1425,Exchange_Rates!A:B,2,FALSE)</f>
        <v>1.08</v>
      </c>
      <c r="L1425" s="4">
        <f t="shared" si="88"/>
        <v>1602.3528000000001</v>
      </c>
      <c r="M1425" s="4">
        <f t="shared" si="89"/>
        <v>0</v>
      </c>
      <c r="N1425" s="4">
        <f t="shared" si="90"/>
        <v>2023</v>
      </c>
      <c r="O1425" s="4">
        <f t="shared" si="91"/>
        <v>4</v>
      </c>
    </row>
    <row r="1426" spans="1:15" x14ac:dyDescent="0.25">
      <c r="A1426" t="s">
        <v>2891</v>
      </c>
      <c r="B1426" s="2">
        <v>45019</v>
      </c>
      <c r="C1426" t="s">
        <v>49</v>
      </c>
      <c r="D1426" t="s">
        <v>50</v>
      </c>
      <c r="E1426">
        <v>1752.32</v>
      </c>
      <c r="F1426">
        <v>0</v>
      </c>
      <c r="G1426" t="s">
        <v>11</v>
      </c>
      <c r="H1426" t="s">
        <v>40</v>
      </c>
      <c r="I1426" t="s">
        <v>2892</v>
      </c>
      <c r="J1426" t="s">
        <v>64</v>
      </c>
      <c r="K1426" s="4">
        <f>VLOOKUP(J1426,Exchange_Rates!A:B,2,FALSE)</f>
        <v>0.73</v>
      </c>
      <c r="L1426" s="4">
        <f t="shared" si="88"/>
        <v>1279.1935999999998</v>
      </c>
      <c r="M1426" s="4">
        <f t="shared" si="89"/>
        <v>0</v>
      </c>
      <c r="N1426" s="4">
        <f t="shared" si="90"/>
        <v>2023</v>
      </c>
      <c r="O1426" s="4">
        <f t="shared" si="91"/>
        <v>2</v>
      </c>
    </row>
    <row r="1427" spans="1:15" x14ac:dyDescent="0.25">
      <c r="A1427" t="s">
        <v>2893</v>
      </c>
      <c r="B1427" s="2">
        <v>45255</v>
      </c>
      <c r="C1427" t="s">
        <v>24</v>
      </c>
      <c r="D1427" t="s">
        <v>25</v>
      </c>
      <c r="E1427">
        <v>0</v>
      </c>
      <c r="F1427">
        <v>1556.95</v>
      </c>
      <c r="G1427" t="s">
        <v>12</v>
      </c>
      <c r="H1427" t="s">
        <v>62</v>
      </c>
      <c r="I1427" t="s">
        <v>2894</v>
      </c>
      <c r="J1427" t="s">
        <v>64</v>
      </c>
      <c r="K1427" s="4">
        <f>VLOOKUP(J1427,Exchange_Rates!A:B,2,FALSE)</f>
        <v>0.73</v>
      </c>
      <c r="L1427" s="4">
        <f t="shared" si="88"/>
        <v>0</v>
      </c>
      <c r="M1427" s="4">
        <f t="shared" si="89"/>
        <v>1136.5735</v>
      </c>
      <c r="N1427" s="4">
        <f t="shared" si="90"/>
        <v>2023</v>
      </c>
      <c r="O1427" s="4">
        <f t="shared" si="91"/>
        <v>4</v>
      </c>
    </row>
    <row r="1428" spans="1:15" x14ac:dyDescent="0.25">
      <c r="A1428" t="s">
        <v>2895</v>
      </c>
      <c r="B1428" s="2">
        <v>45621</v>
      </c>
      <c r="C1428" t="s">
        <v>49</v>
      </c>
      <c r="D1428" t="s">
        <v>50</v>
      </c>
      <c r="E1428">
        <v>1162.76</v>
      </c>
      <c r="F1428">
        <v>0</v>
      </c>
      <c r="G1428" t="s">
        <v>13</v>
      </c>
      <c r="H1428" t="s">
        <v>51</v>
      </c>
      <c r="I1428" t="s">
        <v>2896</v>
      </c>
      <c r="J1428" t="s">
        <v>64</v>
      </c>
      <c r="K1428" s="4">
        <f>VLOOKUP(J1428,Exchange_Rates!A:B,2,FALSE)</f>
        <v>0.73</v>
      </c>
      <c r="L1428" s="4">
        <f t="shared" si="88"/>
        <v>848.81479999999999</v>
      </c>
      <c r="M1428" s="4">
        <f t="shared" si="89"/>
        <v>0</v>
      </c>
      <c r="N1428" s="4">
        <f t="shared" si="90"/>
        <v>2024</v>
      </c>
      <c r="O1428" s="4">
        <f t="shared" si="91"/>
        <v>4</v>
      </c>
    </row>
    <row r="1429" spans="1:15" x14ac:dyDescent="0.25">
      <c r="A1429" t="s">
        <v>2897</v>
      </c>
      <c r="B1429" s="2">
        <v>45304</v>
      </c>
      <c r="C1429" t="s">
        <v>24</v>
      </c>
      <c r="D1429" t="s">
        <v>25</v>
      </c>
      <c r="E1429">
        <v>0</v>
      </c>
      <c r="F1429">
        <v>3293.95</v>
      </c>
      <c r="G1429" t="s">
        <v>8</v>
      </c>
      <c r="H1429" t="s">
        <v>51</v>
      </c>
      <c r="I1429" t="s">
        <v>2898</v>
      </c>
      <c r="J1429" t="s">
        <v>64</v>
      </c>
      <c r="K1429" s="4">
        <f>VLOOKUP(J1429,Exchange_Rates!A:B,2,FALSE)</f>
        <v>0.73</v>
      </c>
      <c r="L1429" s="4">
        <f t="shared" si="88"/>
        <v>0</v>
      </c>
      <c r="M1429" s="4">
        <f t="shared" si="89"/>
        <v>2404.5834999999997</v>
      </c>
      <c r="N1429" s="4">
        <f t="shared" si="90"/>
        <v>2024</v>
      </c>
      <c r="O1429" s="4">
        <f t="shared" si="91"/>
        <v>1</v>
      </c>
    </row>
    <row r="1430" spans="1:15" x14ac:dyDescent="0.25">
      <c r="A1430" t="s">
        <v>2899</v>
      </c>
      <c r="B1430" s="2">
        <v>45340</v>
      </c>
      <c r="C1430" t="s">
        <v>49</v>
      </c>
      <c r="D1430" t="s">
        <v>50</v>
      </c>
      <c r="E1430">
        <v>949.79</v>
      </c>
      <c r="F1430">
        <v>0</v>
      </c>
      <c r="G1430" t="s">
        <v>11</v>
      </c>
      <c r="H1430" t="s">
        <v>62</v>
      </c>
      <c r="I1430" t="s">
        <v>2900</v>
      </c>
      <c r="J1430" t="s">
        <v>28</v>
      </c>
      <c r="K1430" s="4">
        <f>VLOOKUP(J1430,Exchange_Rates!A:B,2,FALSE)</f>
        <v>1.27</v>
      </c>
      <c r="L1430" s="4">
        <f t="shared" si="88"/>
        <v>1206.2332999999999</v>
      </c>
      <c r="M1430" s="4">
        <f t="shared" si="89"/>
        <v>0</v>
      </c>
      <c r="N1430" s="4">
        <f t="shared" si="90"/>
        <v>2024</v>
      </c>
      <c r="O1430" s="4">
        <f t="shared" si="91"/>
        <v>1</v>
      </c>
    </row>
    <row r="1431" spans="1:15" x14ac:dyDescent="0.25">
      <c r="A1431" t="s">
        <v>2901</v>
      </c>
      <c r="B1431" s="2">
        <v>45364</v>
      </c>
      <c r="C1431" t="s">
        <v>60</v>
      </c>
      <c r="D1431" t="s">
        <v>61</v>
      </c>
      <c r="E1431">
        <v>0</v>
      </c>
      <c r="F1431">
        <v>536.59</v>
      </c>
      <c r="G1431" t="s">
        <v>11</v>
      </c>
      <c r="H1431" t="s">
        <v>62</v>
      </c>
      <c r="I1431" t="s">
        <v>2902</v>
      </c>
      <c r="J1431" t="s">
        <v>45</v>
      </c>
      <c r="K1431" s="4">
        <f>VLOOKUP(J1431,Exchange_Rates!A:B,2,FALSE)</f>
        <v>1</v>
      </c>
      <c r="L1431" s="4">
        <f t="shared" si="88"/>
        <v>0</v>
      </c>
      <c r="M1431" s="4">
        <f t="shared" si="89"/>
        <v>536.59</v>
      </c>
      <c r="N1431" s="4">
        <f t="shared" si="90"/>
        <v>2024</v>
      </c>
      <c r="O1431" s="4">
        <f t="shared" si="91"/>
        <v>1</v>
      </c>
    </row>
    <row r="1432" spans="1:15" x14ac:dyDescent="0.25">
      <c r="A1432" t="s">
        <v>2903</v>
      </c>
      <c r="B1432" s="2">
        <v>45088</v>
      </c>
      <c r="C1432" t="s">
        <v>24</v>
      </c>
      <c r="D1432" t="s">
        <v>25</v>
      </c>
      <c r="E1432">
        <v>0</v>
      </c>
      <c r="F1432">
        <v>352.44</v>
      </c>
      <c r="G1432" t="s">
        <v>8</v>
      </c>
      <c r="H1432" t="s">
        <v>40</v>
      </c>
      <c r="I1432" t="s">
        <v>2904</v>
      </c>
      <c r="J1432" t="s">
        <v>64</v>
      </c>
      <c r="K1432" s="4">
        <f>VLOOKUP(J1432,Exchange_Rates!A:B,2,FALSE)</f>
        <v>0.73</v>
      </c>
      <c r="L1432" s="4">
        <f t="shared" si="88"/>
        <v>0</v>
      </c>
      <c r="M1432" s="4">
        <f t="shared" si="89"/>
        <v>257.28120000000001</v>
      </c>
      <c r="N1432" s="4">
        <f t="shared" si="90"/>
        <v>2023</v>
      </c>
      <c r="O1432" s="4">
        <f t="shared" si="91"/>
        <v>2</v>
      </c>
    </row>
    <row r="1433" spans="1:15" x14ac:dyDescent="0.25">
      <c r="A1433" t="s">
        <v>2905</v>
      </c>
      <c r="B1433" s="2">
        <v>45484</v>
      </c>
      <c r="C1433" t="s">
        <v>30</v>
      </c>
      <c r="D1433" t="s">
        <v>31</v>
      </c>
      <c r="E1433">
        <v>479.39</v>
      </c>
      <c r="F1433">
        <v>0</v>
      </c>
      <c r="G1433" t="s">
        <v>11</v>
      </c>
      <c r="H1433" t="s">
        <v>26</v>
      </c>
      <c r="I1433" t="s">
        <v>2906</v>
      </c>
      <c r="J1433" t="s">
        <v>36</v>
      </c>
      <c r="K1433" s="4">
        <f>VLOOKUP(J1433,Exchange_Rates!A:B,2,FALSE)</f>
        <v>1.08</v>
      </c>
      <c r="L1433" s="4">
        <f t="shared" si="88"/>
        <v>517.74120000000005</v>
      </c>
      <c r="M1433" s="4">
        <f t="shared" si="89"/>
        <v>0</v>
      </c>
      <c r="N1433" s="4">
        <f t="shared" si="90"/>
        <v>2024</v>
      </c>
      <c r="O1433" s="4">
        <f t="shared" si="91"/>
        <v>3</v>
      </c>
    </row>
    <row r="1434" spans="1:15" x14ac:dyDescent="0.25">
      <c r="A1434" t="s">
        <v>2907</v>
      </c>
      <c r="B1434" s="2">
        <v>45663</v>
      </c>
      <c r="C1434" t="s">
        <v>38</v>
      </c>
      <c r="D1434" t="s">
        <v>39</v>
      </c>
      <c r="E1434">
        <v>875.44</v>
      </c>
      <c r="F1434">
        <v>0</v>
      </c>
      <c r="G1434" t="s">
        <v>9</v>
      </c>
      <c r="H1434" t="s">
        <v>26</v>
      </c>
      <c r="I1434" t="s">
        <v>2908</v>
      </c>
      <c r="J1434" t="s">
        <v>45</v>
      </c>
      <c r="K1434" s="4">
        <f>VLOOKUP(J1434,Exchange_Rates!A:B,2,FALSE)</f>
        <v>1</v>
      </c>
      <c r="L1434" s="4">
        <f t="shared" si="88"/>
        <v>875.44</v>
      </c>
      <c r="M1434" s="4">
        <f t="shared" si="89"/>
        <v>0</v>
      </c>
      <c r="N1434" s="4">
        <f t="shared" si="90"/>
        <v>2025</v>
      </c>
      <c r="O1434" s="4">
        <f t="shared" si="91"/>
        <v>1</v>
      </c>
    </row>
    <row r="1435" spans="1:15" x14ac:dyDescent="0.25">
      <c r="A1435" t="s">
        <v>2909</v>
      </c>
      <c r="B1435" s="2">
        <v>45676</v>
      </c>
      <c r="C1435" t="s">
        <v>30</v>
      </c>
      <c r="D1435" t="s">
        <v>31</v>
      </c>
      <c r="E1435">
        <v>726.79</v>
      </c>
      <c r="F1435">
        <v>0</v>
      </c>
      <c r="G1435" t="s">
        <v>13</v>
      </c>
      <c r="H1435" t="s">
        <v>34</v>
      </c>
      <c r="I1435" t="s">
        <v>2910</v>
      </c>
      <c r="J1435" t="s">
        <v>28</v>
      </c>
      <c r="K1435" s="4">
        <f>VLOOKUP(J1435,Exchange_Rates!A:B,2,FALSE)</f>
        <v>1.27</v>
      </c>
      <c r="L1435" s="4">
        <f t="shared" si="88"/>
        <v>923.02329999999995</v>
      </c>
      <c r="M1435" s="4">
        <f t="shared" si="89"/>
        <v>0</v>
      </c>
      <c r="N1435" s="4">
        <f t="shared" si="90"/>
        <v>2025</v>
      </c>
      <c r="O1435" s="4">
        <f t="shared" si="91"/>
        <v>1</v>
      </c>
    </row>
    <row r="1436" spans="1:15" x14ac:dyDescent="0.25">
      <c r="A1436" t="s">
        <v>2911</v>
      </c>
      <c r="B1436" s="2">
        <v>45114</v>
      </c>
      <c r="C1436" t="s">
        <v>60</v>
      </c>
      <c r="D1436" t="s">
        <v>61</v>
      </c>
      <c r="E1436">
        <v>0</v>
      </c>
      <c r="F1436">
        <v>3492.12</v>
      </c>
      <c r="G1436" t="s">
        <v>9</v>
      </c>
      <c r="H1436" t="s">
        <v>26</v>
      </c>
      <c r="I1436" t="s">
        <v>2912</v>
      </c>
      <c r="J1436" t="s">
        <v>45</v>
      </c>
      <c r="K1436" s="4">
        <f>VLOOKUP(J1436,Exchange_Rates!A:B,2,FALSE)</f>
        <v>1</v>
      </c>
      <c r="L1436" s="4">
        <f t="shared" si="88"/>
        <v>0</v>
      </c>
      <c r="M1436" s="4">
        <f t="shared" si="89"/>
        <v>3492.12</v>
      </c>
      <c r="N1436" s="4">
        <f t="shared" si="90"/>
        <v>2023</v>
      </c>
      <c r="O1436" s="4">
        <f t="shared" si="91"/>
        <v>3</v>
      </c>
    </row>
    <row r="1437" spans="1:15" x14ac:dyDescent="0.25">
      <c r="A1437" t="s">
        <v>2913</v>
      </c>
      <c r="B1437" s="2">
        <v>45422</v>
      </c>
      <c r="C1437" t="s">
        <v>49</v>
      </c>
      <c r="D1437" t="s">
        <v>50</v>
      </c>
      <c r="E1437">
        <v>868.34</v>
      </c>
      <c r="F1437">
        <v>0</v>
      </c>
      <c r="G1437" t="s">
        <v>9</v>
      </c>
      <c r="H1437" t="s">
        <v>40</v>
      </c>
      <c r="I1437" t="s">
        <v>2914</v>
      </c>
      <c r="J1437" t="s">
        <v>45</v>
      </c>
      <c r="K1437" s="4">
        <f>VLOOKUP(J1437,Exchange_Rates!A:B,2,FALSE)</f>
        <v>1</v>
      </c>
      <c r="L1437" s="4">
        <f t="shared" si="88"/>
        <v>868.34</v>
      </c>
      <c r="M1437" s="4">
        <f t="shared" si="89"/>
        <v>0</v>
      </c>
      <c r="N1437" s="4">
        <f t="shared" si="90"/>
        <v>2024</v>
      </c>
      <c r="O1437" s="4">
        <f t="shared" si="91"/>
        <v>2</v>
      </c>
    </row>
    <row r="1438" spans="1:15" x14ac:dyDescent="0.25">
      <c r="A1438" t="s">
        <v>2915</v>
      </c>
      <c r="B1438" s="2">
        <v>44998</v>
      </c>
      <c r="C1438" t="s">
        <v>24</v>
      </c>
      <c r="D1438" t="s">
        <v>25</v>
      </c>
      <c r="E1438">
        <v>0</v>
      </c>
      <c r="F1438">
        <v>1610.63</v>
      </c>
      <c r="G1438" t="s">
        <v>8</v>
      </c>
      <c r="H1438" t="s">
        <v>26</v>
      </c>
      <c r="I1438" t="s">
        <v>2916</v>
      </c>
      <c r="J1438" t="s">
        <v>64</v>
      </c>
      <c r="K1438" s="4">
        <f>VLOOKUP(J1438,Exchange_Rates!A:B,2,FALSE)</f>
        <v>0.73</v>
      </c>
      <c r="L1438" s="4">
        <f t="shared" si="88"/>
        <v>0</v>
      </c>
      <c r="M1438" s="4">
        <f t="shared" si="89"/>
        <v>1175.7599</v>
      </c>
      <c r="N1438" s="4">
        <f t="shared" si="90"/>
        <v>2023</v>
      </c>
      <c r="O1438" s="4">
        <f t="shared" si="91"/>
        <v>1</v>
      </c>
    </row>
    <row r="1439" spans="1:15" x14ac:dyDescent="0.25">
      <c r="A1439" t="s">
        <v>2917</v>
      </c>
      <c r="B1439" s="2">
        <v>45089</v>
      </c>
      <c r="C1439" t="s">
        <v>38</v>
      </c>
      <c r="D1439" t="s">
        <v>39</v>
      </c>
      <c r="E1439">
        <v>1429.61</v>
      </c>
      <c r="F1439">
        <v>0</v>
      </c>
      <c r="G1439" t="s">
        <v>9</v>
      </c>
      <c r="H1439" t="s">
        <v>34</v>
      </c>
      <c r="I1439" t="s">
        <v>2918</v>
      </c>
      <c r="J1439" t="s">
        <v>36</v>
      </c>
      <c r="K1439" s="4">
        <f>VLOOKUP(J1439,Exchange_Rates!A:B,2,FALSE)</f>
        <v>1.08</v>
      </c>
      <c r="L1439" s="4">
        <f t="shared" si="88"/>
        <v>1543.9788000000001</v>
      </c>
      <c r="M1439" s="4">
        <f t="shared" si="89"/>
        <v>0</v>
      </c>
      <c r="N1439" s="4">
        <f t="shared" si="90"/>
        <v>2023</v>
      </c>
      <c r="O1439" s="4">
        <f t="shared" si="91"/>
        <v>2</v>
      </c>
    </row>
    <row r="1440" spans="1:15" x14ac:dyDescent="0.25">
      <c r="A1440" t="s">
        <v>2919</v>
      </c>
      <c r="B1440" s="2">
        <v>45251</v>
      </c>
      <c r="C1440" t="s">
        <v>30</v>
      </c>
      <c r="D1440" t="s">
        <v>31</v>
      </c>
      <c r="E1440">
        <v>918.99</v>
      </c>
      <c r="F1440">
        <v>0</v>
      </c>
      <c r="G1440" t="s">
        <v>8</v>
      </c>
      <c r="H1440" t="s">
        <v>51</v>
      </c>
      <c r="I1440" t="s">
        <v>2920</v>
      </c>
      <c r="J1440" t="s">
        <v>36</v>
      </c>
      <c r="K1440" s="4">
        <f>VLOOKUP(J1440,Exchange_Rates!A:B,2,FALSE)</f>
        <v>1.08</v>
      </c>
      <c r="L1440" s="4">
        <f t="shared" si="88"/>
        <v>992.50920000000008</v>
      </c>
      <c r="M1440" s="4">
        <f t="shared" si="89"/>
        <v>0</v>
      </c>
      <c r="N1440" s="4">
        <f t="shared" si="90"/>
        <v>2023</v>
      </c>
      <c r="O1440" s="4">
        <f t="shared" si="91"/>
        <v>4</v>
      </c>
    </row>
    <row r="1441" spans="1:15" x14ac:dyDescent="0.25">
      <c r="A1441" t="s">
        <v>2921</v>
      </c>
      <c r="B1441" s="2">
        <v>45829</v>
      </c>
      <c r="C1441" t="s">
        <v>49</v>
      </c>
      <c r="D1441" t="s">
        <v>50</v>
      </c>
      <c r="E1441">
        <v>189.23</v>
      </c>
      <c r="F1441">
        <v>0</v>
      </c>
      <c r="G1441" t="s">
        <v>9</v>
      </c>
      <c r="H1441" t="s">
        <v>62</v>
      </c>
      <c r="I1441" t="s">
        <v>2922</v>
      </c>
      <c r="J1441" t="s">
        <v>36</v>
      </c>
      <c r="K1441" s="4">
        <f>VLOOKUP(J1441,Exchange_Rates!A:B,2,FALSE)</f>
        <v>1.08</v>
      </c>
      <c r="L1441" s="4">
        <f t="shared" si="88"/>
        <v>204.36840000000001</v>
      </c>
      <c r="M1441" s="4">
        <f t="shared" si="89"/>
        <v>0</v>
      </c>
      <c r="N1441" s="4">
        <f t="shared" si="90"/>
        <v>2025</v>
      </c>
      <c r="O1441" s="4">
        <f t="shared" si="91"/>
        <v>2</v>
      </c>
    </row>
    <row r="1442" spans="1:15" x14ac:dyDescent="0.25">
      <c r="A1442" t="s">
        <v>2923</v>
      </c>
      <c r="B1442" s="2">
        <v>45818</v>
      </c>
      <c r="C1442" t="s">
        <v>60</v>
      </c>
      <c r="D1442" t="s">
        <v>61</v>
      </c>
      <c r="E1442">
        <v>0</v>
      </c>
      <c r="F1442">
        <v>4553.74</v>
      </c>
      <c r="G1442" t="s">
        <v>10</v>
      </c>
      <c r="H1442" t="s">
        <v>26</v>
      </c>
      <c r="I1442" t="s">
        <v>2924</v>
      </c>
      <c r="J1442" t="s">
        <v>45</v>
      </c>
      <c r="K1442" s="4">
        <f>VLOOKUP(J1442,Exchange_Rates!A:B,2,FALSE)</f>
        <v>1</v>
      </c>
      <c r="L1442" s="4">
        <f t="shared" si="88"/>
        <v>0</v>
      </c>
      <c r="M1442" s="4">
        <f t="shared" si="89"/>
        <v>4553.74</v>
      </c>
      <c r="N1442" s="4">
        <f t="shared" si="90"/>
        <v>2025</v>
      </c>
      <c r="O1442" s="4">
        <f t="shared" si="91"/>
        <v>2</v>
      </c>
    </row>
    <row r="1443" spans="1:15" x14ac:dyDescent="0.25">
      <c r="A1443" t="s">
        <v>2925</v>
      </c>
      <c r="B1443" s="2">
        <v>45618</v>
      </c>
      <c r="C1443" t="s">
        <v>60</v>
      </c>
      <c r="D1443" t="s">
        <v>61</v>
      </c>
      <c r="E1443">
        <v>0</v>
      </c>
      <c r="F1443">
        <v>224.69</v>
      </c>
      <c r="G1443" t="s">
        <v>13</v>
      </c>
      <c r="H1443" t="s">
        <v>51</v>
      </c>
      <c r="I1443" t="s">
        <v>2926</v>
      </c>
      <c r="J1443" t="s">
        <v>42</v>
      </c>
      <c r="K1443" s="4">
        <f>VLOOKUP(J1443,Exchange_Rates!A:B,2,FALSE)</f>
        <v>0.66</v>
      </c>
      <c r="L1443" s="4">
        <f t="shared" si="88"/>
        <v>0</v>
      </c>
      <c r="M1443" s="4">
        <f t="shared" si="89"/>
        <v>148.2954</v>
      </c>
      <c r="N1443" s="4">
        <f t="shared" si="90"/>
        <v>2024</v>
      </c>
      <c r="O1443" s="4">
        <f t="shared" si="91"/>
        <v>4</v>
      </c>
    </row>
    <row r="1444" spans="1:15" x14ac:dyDescent="0.25">
      <c r="A1444" t="s">
        <v>2927</v>
      </c>
      <c r="B1444" s="2">
        <v>45359</v>
      </c>
      <c r="C1444" t="s">
        <v>30</v>
      </c>
      <c r="D1444" t="s">
        <v>31</v>
      </c>
      <c r="E1444">
        <v>1447.98</v>
      </c>
      <c r="F1444">
        <v>0</v>
      </c>
      <c r="G1444" t="s">
        <v>8</v>
      </c>
      <c r="H1444" t="s">
        <v>51</v>
      </c>
      <c r="I1444" t="s">
        <v>2928</v>
      </c>
      <c r="J1444" t="s">
        <v>28</v>
      </c>
      <c r="K1444" s="4">
        <f>VLOOKUP(J1444,Exchange_Rates!A:B,2,FALSE)</f>
        <v>1.27</v>
      </c>
      <c r="L1444" s="4">
        <f t="shared" si="88"/>
        <v>1838.9346</v>
      </c>
      <c r="M1444" s="4">
        <f t="shared" si="89"/>
        <v>0</v>
      </c>
      <c r="N1444" s="4">
        <f t="shared" si="90"/>
        <v>2024</v>
      </c>
      <c r="O1444" s="4">
        <f t="shared" si="91"/>
        <v>1</v>
      </c>
    </row>
    <row r="1445" spans="1:15" x14ac:dyDescent="0.25">
      <c r="A1445" t="s">
        <v>2929</v>
      </c>
      <c r="B1445" s="2">
        <v>44964</v>
      </c>
      <c r="C1445" t="s">
        <v>38</v>
      </c>
      <c r="D1445" t="s">
        <v>39</v>
      </c>
      <c r="E1445">
        <v>1846.98</v>
      </c>
      <c r="F1445">
        <v>0</v>
      </c>
      <c r="G1445" t="s">
        <v>9</v>
      </c>
      <c r="H1445" t="s">
        <v>40</v>
      </c>
      <c r="I1445" t="s">
        <v>2930</v>
      </c>
      <c r="J1445" t="s">
        <v>45</v>
      </c>
      <c r="K1445" s="4">
        <f>VLOOKUP(J1445,Exchange_Rates!A:B,2,FALSE)</f>
        <v>1</v>
      </c>
      <c r="L1445" s="4">
        <f t="shared" si="88"/>
        <v>1846.98</v>
      </c>
      <c r="M1445" s="4">
        <f t="shared" si="89"/>
        <v>0</v>
      </c>
      <c r="N1445" s="4">
        <f t="shared" si="90"/>
        <v>2023</v>
      </c>
      <c r="O1445" s="4">
        <f t="shared" si="91"/>
        <v>1</v>
      </c>
    </row>
    <row r="1446" spans="1:15" x14ac:dyDescent="0.25">
      <c r="A1446" t="s">
        <v>2931</v>
      </c>
      <c r="B1446" s="2">
        <v>45680</v>
      </c>
      <c r="C1446" t="s">
        <v>49</v>
      </c>
      <c r="D1446" t="s">
        <v>50</v>
      </c>
      <c r="E1446">
        <v>1709.33</v>
      </c>
      <c r="F1446">
        <v>0</v>
      </c>
      <c r="G1446" t="s">
        <v>10</v>
      </c>
      <c r="H1446" t="s">
        <v>34</v>
      </c>
      <c r="I1446" t="s">
        <v>2932</v>
      </c>
      <c r="J1446" t="s">
        <v>64</v>
      </c>
      <c r="K1446" s="4">
        <f>VLOOKUP(J1446,Exchange_Rates!A:B,2,FALSE)</f>
        <v>0.73</v>
      </c>
      <c r="L1446" s="4">
        <f t="shared" si="88"/>
        <v>1247.8108999999999</v>
      </c>
      <c r="M1446" s="4">
        <f t="shared" si="89"/>
        <v>0</v>
      </c>
      <c r="N1446" s="4">
        <f t="shared" si="90"/>
        <v>2025</v>
      </c>
      <c r="O1446" s="4">
        <f t="shared" si="91"/>
        <v>1</v>
      </c>
    </row>
    <row r="1447" spans="1:15" x14ac:dyDescent="0.25">
      <c r="A1447" t="s">
        <v>2933</v>
      </c>
      <c r="B1447" s="2">
        <v>45171</v>
      </c>
      <c r="C1447" t="s">
        <v>60</v>
      </c>
      <c r="D1447" t="s">
        <v>61</v>
      </c>
      <c r="E1447">
        <v>0</v>
      </c>
      <c r="F1447">
        <v>4210.6499999999996</v>
      </c>
      <c r="G1447" t="s">
        <v>9</v>
      </c>
      <c r="H1447" t="s">
        <v>26</v>
      </c>
      <c r="I1447" t="s">
        <v>2934</v>
      </c>
      <c r="J1447" t="s">
        <v>36</v>
      </c>
      <c r="K1447" s="4">
        <f>VLOOKUP(J1447,Exchange_Rates!A:B,2,FALSE)</f>
        <v>1.08</v>
      </c>
      <c r="L1447" s="4">
        <f t="shared" si="88"/>
        <v>0</v>
      </c>
      <c r="M1447" s="4">
        <f t="shared" si="89"/>
        <v>4547.5019999999995</v>
      </c>
      <c r="N1447" s="4">
        <f t="shared" si="90"/>
        <v>2023</v>
      </c>
      <c r="O1447" s="4">
        <f t="shared" si="91"/>
        <v>3</v>
      </c>
    </row>
    <row r="1448" spans="1:15" x14ac:dyDescent="0.25">
      <c r="A1448" t="s">
        <v>2935</v>
      </c>
      <c r="B1448" s="2">
        <v>45519</v>
      </c>
      <c r="C1448" t="s">
        <v>49</v>
      </c>
      <c r="D1448" t="s">
        <v>50</v>
      </c>
      <c r="E1448">
        <v>1733.89</v>
      </c>
      <c r="F1448">
        <v>0</v>
      </c>
      <c r="G1448" t="s">
        <v>12</v>
      </c>
      <c r="H1448" t="s">
        <v>26</v>
      </c>
      <c r="I1448" t="s">
        <v>2936</v>
      </c>
      <c r="J1448" t="s">
        <v>36</v>
      </c>
      <c r="K1448" s="4">
        <f>VLOOKUP(J1448,Exchange_Rates!A:B,2,FALSE)</f>
        <v>1.08</v>
      </c>
      <c r="L1448" s="4">
        <f t="shared" si="88"/>
        <v>1872.6012000000003</v>
      </c>
      <c r="M1448" s="4">
        <f t="shared" si="89"/>
        <v>0</v>
      </c>
      <c r="N1448" s="4">
        <f t="shared" si="90"/>
        <v>2024</v>
      </c>
      <c r="O1448" s="4">
        <f t="shared" si="91"/>
        <v>3</v>
      </c>
    </row>
    <row r="1449" spans="1:15" x14ac:dyDescent="0.25">
      <c r="A1449" t="s">
        <v>2937</v>
      </c>
      <c r="B1449" s="2">
        <v>45317</v>
      </c>
      <c r="C1449" t="s">
        <v>24</v>
      </c>
      <c r="D1449" t="s">
        <v>25</v>
      </c>
      <c r="E1449">
        <v>0</v>
      </c>
      <c r="F1449">
        <v>4741</v>
      </c>
      <c r="G1449" t="s">
        <v>10</v>
      </c>
      <c r="H1449" t="s">
        <v>34</v>
      </c>
      <c r="I1449" t="s">
        <v>2938</v>
      </c>
      <c r="J1449" t="s">
        <v>45</v>
      </c>
      <c r="K1449" s="4">
        <f>VLOOKUP(J1449,Exchange_Rates!A:B,2,FALSE)</f>
        <v>1</v>
      </c>
      <c r="L1449" s="4">
        <f t="shared" si="88"/>
        <v>0</v>
      </c>
      <c r="M1449" s="4">
        <f t="shared" si="89"/>
        <v>4741</v>
      </c>
      <c r="N1449" s="4">
        <f t="shared" si="90"/>
        <v>2024</v>
      </c>
      <c r="O1449" s="4">
        <f t="shared" si="91"/>
        <v>1</v>
      </c>
    </row>
    <row r="1450" spans="1:15" x14ac:dyDescent="0.25">
      <c r="A1450" t="s">
        <v>2939</v>
      </c>
      <c r="B1450" s="2">
        <v>45197</v>
      </c>
      <c r="C1450" t="s">
        <v>38</v>
      </c>
      <c r="D1450" t="s">
        <v>39</v>
      </c>
      <c r="E1450">
        <v>1800.94</v>
      </c>
      <c r="F1450">
        <v>0</v>
      </c>
      <c r="G1450" t="s">
        <v>13</v>
      </c>
      <c r="H1450" t="s">
        <v>26</v>
      </c>
      <c r="I1450" t="s">
        <v>2940</v>
      </c>
      <c r="J1450" t="s">
        <v>36</v>
      </c>
      <c r="K1450" s="4">
        <f>VLOOKUP(J1450,Exchange_Rates!A:B,2,FALSE)</f>
        <v>1.08</v>
      </c>
      <c r="L1450" s="4">
        <f t="shared" si="88"/>
        <v>1945.0152000000003</v>
      </c>
      <c r="M1450" s="4">
        <f t="shared" si="89"/>
        <v>0</v>
      </c>
      <c r="N1450" s="4">
        <f t="shared" si="90"/>
        <v>2023</v>
      </c>
      <c r="O1450" s="4">
        <f t="shared" si="91"/>
        <v>3</v>
      </c>
    </row>
    <row r="1451" spans="1:15" x14ac:dyDescent="0.25">
      <c r="A1451" t="s">
        <v>2941</v>
      </c>
      <c r="B1451" s="2">
        <v>45431</v>
      </c>
      <c r="C1451" t="s">
        <v>38</v>
      </c>
      <c r="D1451" t="s">
        <v>39</v>
      </c>
      <c r="E1451">
        <v>1648.82</v>
      </c>
      <c r="F1451">
        <v>0</v>
      </c>
      <c r="G1451" t="s">
        <v>10</v>
      </c>
      <c r="H1451" t="s">
        <v>62</v>
      </c>
      <c r="I1451" t="s">
        <v>2942</v>
      </c>
      <c r="J1451" t="s">
        <v>42</v>
      </c>
      <c r="K1451" s="4">
        <f>VLOOKUP(J1451,Exchange_Rates!A:B,2,FALSE)</f>
        <v>0.66</v>
      </c>
      <c r="L1451" s="4">
        <f t="shared" si="88"/>
        <v>1088.2212</v>
      </c>
      <c r="M1451" s="4">
        <f t="shared" si="89"/>
        <v>0</v>
      </c>
      <c r="N1451" s="4">
        <f t="shared" si="90"/>
        <v>2024</v>
      </c>
      <c r="O1451" s="4">
        <f t="shared" si="91"/>
        <v>2</v>
      </c>
    </row>
    <row r="1452" spans="1:15" x14ac:dyDescent="0.25">
      <c r="A1452" t="s">
        <v>2943</v>
      </c>
      <c r="B1452" s="2">
        <v>45781</v>
      </c>
      <c r="C1452" t="s">
        <v>60</v>
      </c>
      <c r="D1452" t="s">
        <v>61</v>
      </c>
      <c r="E1452">
        <v>0</v>
      </c>
      <c r="F1452">
        <v>174.57</v>
      </c>
      <c r="G1452" t="s">
        <v>13</v>
      </c>
      <c r="H1452" t="s">
        <v>26</v>
      </c>
      <c r="I1452" t="s">
        <v>2944</v>
      </c>
      <c r="J1452" t="s">
        <v>45</v>
      </c>
      <c r="K1452" s="4">
        <f>VLOOKUP(J1452,Exchange_Rates!A:B,2,FALSE)</f>
        <v>1</v>
      </c>
      <c r="L1452" s="4">
        <f t="shared" si="88"/>
        <v>0</v>
      </c>
      <c r="M1452" s="4">
        <f t="shared" si="89"/>
        <v>174.57</v>
      </c>
      <c r="N1452" s="4">
        <f t="shared" si="90"/>
        <v>2025</v>
      </c>
      <c r="O1452" s="4">
        <f t="shared" si="91"/>
        <v>2</v>
      </c>
    </row>
    <row r="1453" spans="1:15" x14ac:dyDescent="0.25">
      <c r="A1453" t="s">
        <v>2945</v>
      </c>
      <c r="B1453" s="2">
        <v>45366</v>
      </c>
      <c r="C1453" t="s">
        <v>38</v>
      </c>
      <c r="D1453" t="s">
        <v>39</v>
      </c>
      <c r="E1453">
        <v>302.02999999999997</v>
      </c>
      <c r="F1453">
        <v>0</v>
      </c>
      <c r="G1453" t="s">
        <v>9</v>
      </c>
      <c r="H1453" t="s">
        <v>51</v>
      </c>
      <c r="I1453" t="s">
        <v>2946</v>
      </c>
      <c r="J1453" t="s">
        <v>36</v>
      </c>
      <c r="K1453" s="4">
        <f>VLOOKUP(J1453,Exchange_Rates!A:B,2,FALSE)</f>
        <v>1.08</v>
      </c>
      <c r="L1453" s="4">
        <f t="shared" si="88"/>
        <v>326.19239999999996</v>
      </c>
      <c r="M1453" s="4">
        <f t="shared" si="89"/>
        <v>0</v>
      </c>
      <c r="N1453" s="4">
        <f t="shared" si="90"/>
        <v>2024</v>
      </c>
      <c r="O1453" s="4">
        <f t="shared" si="91"/>
        <v>1</v>
      </c>
    </row>
    <row r="1454" spans="1:15" x14ac:dyDescent="0.25">
      <c r="A1454" t="s">
        <v>2947</v>
      </c>
      <c r="B1454" s="2">
        <v>45450</v>
      </c>
      <c r="C1454" t="s">
        <v>38</v>
      </c>
      <c r="D1454" t="s">
        <v>39</v>
      </c>
      <c r="E1454">
        <v>226.75</v>
      </c>
      <c r="F1454">
        <v>0</v>
      </c>
      <c r="G1454" t="s">
        <v>9</v>
      </c>
      <c r="H1454" t="s">
        <v>34</v>
      </c>
      <c r="I1454" t="s">
        <v>2948</v>
      </c>
      <c r="J1454" t="s">
        <v>64</v>
      </c>
      <c r="K1454" s="4">
        <f>VLOOKUP(J1454,Exchange_Rates!A:B,2,FALSE)</f>
        <v>0.73</v>
      </c>
      <c r="L1454" s="4">
        <f t="shared" si="88"/>
        <v>165.5275</v>
      </c>
      <c r="M1454" s="4">
        <f t="shared" si="89"/>
        <v>0</v>
      </c>
      <c r="N1454" s="4">
        <f t="shared" si="90"/>
        <v>2024</v>
      </c>
      <c r="O1454" s="4">
        <f t="shared" si="91"/>
        <v>2</v>
      </c>
    </row>
    <row r="1455" spans="1:15" x14ac:dyDescent="0.25">
      <c r="A1455" t="s">
        <v>2949</v>
      </c>
      <c r="B1455" s="2">
        <v>45141</v>
      </c>
      <c r="C1455" t="s">
        <v>60</v>
      </c>
      <c r="D1455" t="s">
        <v>61</v>
      </c>
      <c r="E1455">
        <v>0</v>
      </c>
      <c r="F1455">
        <v>3167.06</v>
      </c>
      <c r="G1455" t="s">
        <v>11</v>
      </c>
      <c r="H1455" t="s">
        <v>40</v>
      </c>
      <c r="I1455" t="s">
        <v>2950</v>
      </c>
      <c r="J1455" t="s">
        <v>42</v>
      </c>
      <c r="K1455" s="4">
        <f>VLOOKUP(J1455,Exchange_Rates!A:B,2,FALSE)</f>
        <v>0.66</v>
      </c>
      <c r="L1455" s="4">
        <f t="shared" si="88"/>
        <v>0</v>
      </c>
      <c r="M1455" s="4">
        <f t="shared" si="89"/>
        <v>2090.2595999999999</v>
      </c>
      <c r="N1455" s="4">
        <f t="shared" si="90"/>
        <v>2023</v>
      </c>
      <c r="O1455" s="4">
        <f t="shared" si="91"/>
        <v>3</v>
      </c>
    </row>
    <row r="1456" spans="1:15" x14ac:dyDescent="0.25">
      <c r="A1456" t="s">
        <v>2951</v>
      </c>
      <c r="B1456" s="2">
        <v>44929</v>
      </c>
      <c r="C1456" t="s">
        <v>30</v>
      </c>
      <c r="D1456" t="s">
        <v>31</v>
      </c>
      <c r="E1456">
        <v>1135.3699999999999</v>
      </c>
      <c r="F1456">
        <v>0</v>
      </c>
      <c r="G1456" t="s">
        <v>12</v>
      </c>
      <c r="H1456" t="s">
        <v>62</v>
      </c>
      <c r="I1456" t="s">
        <v>2952</v>
      </c>
      <c r="J1456" t="s">
        <v>42</v>
      </c>
      <c r="K1456" s="4">
        <f>VLOOKUP(J1456,Exchange_Rates!A:B,2,FALSE)</f>
        <v>0.66</v>
      </c>
      <c r="L1456" s="4">
        <f t="shared" si="88"/>
        <v>749.3442</v>
      </c>
      <c r="M1456" s="4">
        <f t="shared" si="89"/>
        <v>0</v>
      </c>
      <c r="N1456" s="4">
        <f t="shared" si="90"/>
        <v>2023</v>
      </c>
      <c r="O1456" s="4">
        <f t="shared" si="91"/>
        <v>1</v>
      </c>
    </row>
    <row r="1457" spans="1:15" x14ac:dyDescent="0.25">
      <c r="A1457" t="s">
        <v>2953</v>
      </c>
      <c r="B1457" s="2">
        <v>45649</v>
      </c>
      <c r="C1457" t="s">
        <v>38</v>
      </c>
      <c r="D1457" t="s">
        <v>39</v>
      </c>
      <c r="E1457">
        <v>418.07</v>
      </c>
      <c r="F1457">
        <v>0</v>
      </c>
      <c r="G1457" t="s">
        <v>13</v>
      </c>
      <c r="H1457" t="s">
        <v>62</v>
      </c>
      <c r="I1457" t="s">
        <v>2954</v>
      </c>
      <c r="J1457" t="s">
        <v>64</v>
      </c>
      <c r="K1457" s="4">
        <f>VLOOKUP(J1457,Exchange_Rates!A:B,2,FALSE)</f>
        <v>0.73</v>
      </c>
      <c r="L1457" s="4">
        <f t="shared" si="88"/>
        <v>305.19110000000001</v>
      </c>
      <c r="M1457" s="4">
        <f t="shared" si="89"/>
        <v>0</v>
      </c>
      <c r="N1457" s="4">
        <f t="shared" si="90"/>
        <v>2024</v>
      </c>
      <c r="O1457" s="4">
        <f t="shared" si="91"/>
        <v>4</v>
      </c>
    </row>
    <row r="1458" spans="1:15" x14ac:dyDescent="0.25">
      <c r="A1458" t="s">
        <v>2955</v>
      </c>
      <c r="B1458" s="2">
        <v>45635</v>
      </c>
      <c r="C1458" t="s">
        <v>24</v>
      </c>
      <c r="D1458" t="s">
        <v>25</v>
      </c>
      <c r="E1458">
        <v>0</v>
      </c>
      <c r="F1458">
        <v>3400.48</v>
      </c>
      <c r="G1458" t="s">
        <v>11</v>
      </c>
      <c r="H1458" t="s">
        <v>62</v>
      </c>
      <c r="I1458" t="s">
        <v>2956</v>
      </c>
      <c r="J1458" t="s">
        <v>42</v>
      </c>
      <c r="K1458" s="4">
        <f>VLOOKUP(J1458,Exchange_Rates!A:B,2,FALSE)</f>
        <v>0.66</v>
      </c>
      <c r="L1458" s="4">
        <f t="shared" si="88"/>
        <v>0</v>
      </c>
      <c r="M1458" s="4">
        <f t="shared" si="89"/>
        <v>2244.3168000000001</v>
      </c>
      <c r="N1458" s="4">
        <f t="shared" si="90"/>
        <v>2024</v>
      </c>
      <c r="O1458" s="4">
        <f t="shared" si="91"/>
        <v>4</v>
      </c>
    </row>
    <row r="1459" spans="1:15" x14ac:dyDescent="0.25">
      <c r="A1459" t="s">
        <v>2957</v>
      </c>
      <c r="B1459" s="2">
        <v>45327</v>
      </c>
      <c r="C1459" t="s">
        <v>30</v>
      </c>
      <c r="D1459" t="s">
        <v>31</v>
      </c>
      <c r="E1459">
        <v>67.56</v>
      </c>
      <c r="F1459">
        <v>0</v>
      </c>
      <c r="G1459" t="s">
        <v>13</v>
      </c>
      <c r="H1459" t="s">
        <v>26</v>
      </c>
      <c r="I1459" t="s">
        <v>2958</v>
      </c>
      <c r="J1459" t="s">
        <v>28</v>
      </c>
      <c r="K1459" s="4">
        <f>VLOOKUP(J1459,Exchange_Rates!A:B,2,FALSE)</f>
        <v>1.27</v>
      </c>
      <c r="L1459" s="4">
        <f t="shared" si="88"/>
        <v>85.801200000000009</v>
      </c>
      <c r="M1459" s="4">
        <f t="shared" si="89"/>
        <v>0</v>
      </c>
      <c r="N1459" s="4">
        <f t="shared" si="90"/>
        <v>2024</v>
      </c>
      <c r="O1459" s="4">
        <f t="shared" si="91"/>
        <v>1</v>
      </c>
    </row>
    <row r="1460" spans="1:15" x14ac:dyDescent="0.25">
      <c r="A1460" t="s">
        <v>2959</v>
      </c>
      <c r="B1460" s="2">
        <v>45430</v>
      </c>
      <c r="C1460" t="s">
        <v>24</v>
      </c>
      <c r="D1460" t="s">
        <v>25</v>
      </c>
      <c r="E1460">
        <v>0</v>
      </c>
      <c r="F1460">
        <v>2980.92</v>
      </c>
      <c r="G1460" t="s">
        <v>12</v>
      </c>
      <c r="H1460" t="s">
        <v>40</v>
      </c>
      <c r="I1460" t="s">
        <v>2960</v>
      </c>
      <c r="J1460" t="s">
        <v>42</v>
      </c>
      <c r="K1460" s="4">
        <f>VLOOKUP(J1460,Exchange_Rates!A:B,2,FALSE)</f>
        <v>0.66</v>
      </c>
      <c r="L1460" s="4">
        <f t="shared" si="88"/>
        <v>0</v>
      </c>
      <c r="M1460" s="4">
        <f t="shared" si="89"/>
        <v>1967.4072000000001</v>
      </c>
      <c r="N1460" s="4">
        <f t="shared" si="90"/>
        <v>2024</v>
      </c>
      <c r="O1460" s="4">
        <f t="shared" si="91"/>
        <v>2</v>
      </c>
    </row>
    <row r="1461" spans="1:15" x14ac:dyDescent="0.25">
      <c r="A1461" t="s">
        <v>2961</v>
      </c>
      <c r="B1461" s="2">
        <v>45452</v>
      </c>
      <c r="C1461" t="s">
        <v>49</v>
      </c>
      <c r="D1461" t="s">
        <v>50</v>
      </c>
      <c r="E1461">
        <v>1093.1300000000001</v>
      </c>
      <c r="F1461">
        <v>0</v>
      </c>
      <c r="G1461" t="s">
        <v>10</v>
      </c>
      <c r="H1461" t="s">
        <v>51</v>
      </c>
      <c r="I1461" t="s">
        <v>2962</v>
      </c>
      <c r="J1461" t="s">
        <v>45</v>
      </c>
      <c r="K1461" s="4">
        <f>VLOOKUP(J1461,Exchange_Rates!A:B,2,FALSE)</f>
        <v>1</v>
      </c>
      <c r="L1461" s="4">
        <f t="shared" si="88"/>
        <v>1093.1300000000001</v>
      </c>
      <c r="M1461" s="4">
        <f t="shared" si="89"/>
        <v>0</v>
      </c>
      <c r="N1461" s="4">
        <f t="shared" si="90"/>
        <v>2024</v>
      </c>
      <c r="O1461" s="4">
        <f t="shared" si="91"/>
        <v>2</v>
      </c>
    </row>
    <row r="1462" spans="1:15" x14ac:dyDescent="0.25">
      <c r="A1462" t="s">
        <v>2963</v>
      </c>
      <c r="B1462" s="2">
        <v>45823</v>
      </c>
      <c r="C1462" t="s">
        <v>60</v>
      </c>
      <c r="D1462" t="s">
        <v>61</v>
      </c>
      <c r="E1462">
        <v>0</v>
      </c>
      <c r="F1462">
        <v>3048.03</v>
      </c>
      <c r="G1462" t="s">
        <v>8</v>
      </c>
      <c r="H1462" t="s">
        <v>62</v>
      </c>
      <c r="I1462" t="s">
        <v>2964</v>
      </c>
      <c r="J1462" t="s">
        <v>64</v>
      </c>
      <c r="K1462" s="4">
        <f>VLOOKUP(J1462,Exchange_Rates!A:B,2,FALSE)</f>
        <v>0.73</v>
      </c>
      <c r="L1462" s="4">
        <f t="shared" si="88"/>
        <v>0</v>
      </c>
      <c r="M1462" s="4">
        <f t="shared" si="89"/>
        <v>2225.0619000000002</v>
      </c>
      <c r="N1462" s="4">
        <f t="shared" si="90"/>
        <v>2025</v>
      </c>
      <c r="O1462" s="4">
        <f t="shared" si="91"/>
        <v>2</v>
      </c>
    </row>
    <row r="1463" spans="1:15" x14ac:dyDescent="0.25">
      <c r="A1463" t="s">
        <v>2965</v>
      </c>
      <c r="B1463" s="2">
        <v>45649</v>
      </c>
      <c r="C1463" t="s">
        <v>38</v>
      </c>
      <c r="D1463" t="s">
        <v>39</v>
      </c>
      <c r="E1463">
        <v>1020.63</v>
      </c>
      <c r="F1463">
        <v>0</v>
      </c>
      <c r="G1463" t="s">
        <v>12</v>
      </c>
      <c r="H1463" t="s">
        <v>40</v>
      </c>
      <c r="I1463" t="s">
        <v>2966</v>
      </c>
      <c r="J1463" t="s">
        <v>42</v>
      </c>
      <c r="K1463" s="4">
        <f>VLOOKUP(J1463,Exchange_Rates!A:B,2,FALSE)</f>
        <v>0.66</v>
      </c>
      <c r="L1463" s="4">
        <f t="shared" si="88"/>
        <v>673.61580000000004</v>
      </c>
      <c r="M1463" s="4">
        <f t="shared" si="89"/>
        <v>0</v>
      </c>
      <c r="N1463" s="4">
        <f t="shared" si="90"/>
        <v>2024</v>
      </c>
      <c r="O1463" s="4">
        <f t="shared" si="91"/>
        <v>4</v>
      </c>
    </row>
    <row r="1464" spans="1:15" x14ac:dyDescent="0.25">
      <c r="A1464" t="s">
        <v>2967</v>
      </c>
      <c r="B1464" s="2">
        <v>45047</v>
      </c>
      <c r="C1464" t="s">
        <v>49</v>
      </c>
      <c r="D1464" t="s">
        <v>50</v>
      </c>
      <c r="E1464">
        <v>1162.8900000000001</v>
      </c>
      <c r="F1464">
        <v>0</v>
      </c>
      <c r="G1464" t="s">
        <v>11</v>
      </c>
      <c r="H1464" t="s">
        <v>26</v>
      </c>
      <c r="I1464" t="s">
        <v>2968</v>
      </c>
      <c r="J1464" t="s">
        <v>28</v>
      </c>
      <c r="K1464" s="4">
        <f>VLOOKUP(J1464,Exchange_Rates!A:B,2,FALSE)</f>
        <v>1.27</v>
      </c>
      <c r="L1464" s="4">
        <f t="shared" si="88"/>
        <v>1476.8703</v>
      </c>
      <c r="M1464" s="4">
        <f t="shared" si="89"/>
        <v>0</v>
      </c>
      <c r="N1464" s="4">
        <f t="shared" si="90"/>
        <v>2023</v>
      </c>
      <c r="O1464" s="4">
        <f t="shared" si="91"/>
        <v>2</v>
      </c>
    </row>
    <row r="1465" spans="1:15" x14ac:dyDescent="0.25">
      <c r="A1465" t="s">
        <v>2969</v>
      </c>
      <c r="B1465" s="2">
        <v>45824</v>
      </c>
      <c r="C1465" t="s">
        <v>30</v>
      </c>
      <c r="D1465" t="s">
        <v>31</v>
      </c>
      <c r="E1465">
        <v>783.53</v>
      </c>
      <c r="F1465">
        <v>0</v>
      </c>
      <c r="G1465" t="s">
        <v>13</v>
      </c>
      <c r="H1465" t="s">
        <v>34</v>
      </c>
      <c r="I1465" t="s">
        <v>2970</v>
      </c>
      <c r="J1465" t="s">
        <v>28</v>
      </c>
      <c r="K1465" s="4">
        <f>VLOOKUP(J1465,Exchange_Rates!A:B,2,FALSE)</f>
        <v>1.27</v>
      </c>
      <c r="L1465" s="4">
        <f t="shared" si="88"/>
        <v>995.08309999999994</v>
      </c>
      <c r="M1465" s="4">
        <f t="shared" si="89"/>
        <v>0</v>
      </c>
      <c r="N1465" s="4">
        <f t="shared" si="90"/>
        <v>2025</v>
      </c>
      <c r="O1465" s="4">
        <f t="shared" si="91"/>
        <v>2</v>
      </c>
    </row>
    <row r="1466" spans="1:15" x14ac:dyDescent="0.25">
      <c r="A1466" t="s">
        <v>2971</v>
      </c>
      <c r="B1466" s="2">
        <v>45337</v>
      </c>
      <c r="C1466" t="s">
        <v>24</v>
      </c>
      <c r="D1466" t="s">
        <v>25</v>
      </c>
      <c r="E1466">
        <v>0</v>
      </c>
      <c r="F1466">
        <v>3125.16</v>
      </c>
      <c r="G1466" t="s">
        <v>11</v>
      </c>
      <c r="H1466" t="s">
        <v>51</v>
      </c>
      <c r="I1466" t="s">
        <v>2972</v>
      </c>
      <c r="J1466" t="s">
        <v>36</v>
      </c>
      <c r="K1466" s="4">
        <f>VLOOKUP(J1466,Exchange_Rates!A:B,2,FALSE)</f>
        <v>1.08</v>
      </c>
      <c r="L1466" s="4">
        <f t="shared" si="88"/>
        <v>0</v>
      </c>
      <c r="M1466" s="4">
        <f t="shared" si="89"/>
        <v>3375.1728000000003</v>
      </c>
      <c r="N1466" s="4">
        <f t="shared" si="90"/>
        <v>2024</v>
      </c>
      <c r="O1466" s="4">
        <f t="shared" si="91"/>
        <v>1</v>
      </c>
    </row>
    <row r="1467" spans="1:15" x14ac:dyDescent="0.25">
      <c r="A1467" t="s">
        <v>2973</v>
      </c>
      <c r="B1467" s="2">
        <v>45508</v>
      </c>
      <c r="C1467" t="s">
        <v>30</v>
      </c>
      <c r="D1467" t="s">
        <v>31</v>
      </c>
      <c r="E1467">
        <v>1578.71</v>
      </c>
      <c r="F1467">
        <v>0</v>
      </c>
      <c r="G1467" t="s">
        <v>8</v>
      </c>
      <c r="H1467" t="s">
        <v>34</v>
      </c>
      <c r="I1467" t="s">
        <v>2974</v>
      </c>
      <c r="J1467" t="s">
        <v>36</v>
      </c>
      <c r="K1467" s="4">
        <f>VLOOKUP(J1467,Exchange_Rates!A:B,2,FALSE)</f>
        <v>1.08</v>
      </c>
      <c r="L1467" s="4">
        <f t="shared" si="88"/>
        <v>1705.0068000000001</v>
      </c>
      <c r="M1467" s="4">
        <f t="shared" si="89"/>
        <v>0</v>
      </c>
      <c r="N1467" s="4">
        <f t="shared" si="90"/>
        <v>2024</v>
      </c>
      <c r="O1467" s="4">
        <f t="shared" si="91"/>
        <v>3</v>
      </c>
    </row>
    <row r="1468" spans="1:15" x14ac:dyDescent="0.25">
      <c r="A1468" t="s">
        <v>2975</v>
      </c>
      <c r="B1468" s="2">
        <v>45247</v>
      </c>
      <c r="C1468" t="s">
        <v>24</v>
      </c>
      <c r="D1468" t="s">
        <v>25</v>
      </c>
      <c r="E1468">
        <v>0</v>
      </c>
      <c r="F1468">
        <v>4453.8</v>
      </c>
      <c r="G1468" t="s">
        <v>8</v>
      </c>
      <c r="H1468" t="s">
        <v>40</v>
      </c>
      <c r="I1468" t="s">
        <v>2976</v>
      </c>
      <c r="J1468" t="s">
        <v>45</v>
      </c>
      <c r="K1468" s="4">
        <f>VLOOKUP(J1468,Exchange_Rates!A:B,2,FALSE)</f>
        <v>1</v>
      </c>
      <c r="L1468" s="4">
        <f t="shared" si="88"/>
        <v>0</v>
      </c>
      <c r="M1468" s="4">
        <f t="shared" si="89"/>
        <v>4453.8</v>
      </c>
      <c r="N1468" s="4">
        <f t="shared" si="90"/>
        <v>2023</v>
      </c>
      <c r="O1468" s="4">
        <f t="shared" si="91"/>
        <v>4</v>
      </c>
    </row>
    <row r="1469" spans="1:15" x14ac:dyDescent="0.25">
      <c r="A1469" t="s">
        <v>2977</v>
      </c>
      <c r="B1469" s="2">
        <v>45173</v>
      </c>
      <c r="C1469" t="s">
        <v>24</v>
      </c>
      <c r="D1469" t="s">
        <v>25</v>
      </c>
      <c r="E1469">
        <v>0</v>
      </c>
      <c r="F1469">
        <v>4929.5200000000004</v>
      </c>
      <c r="G1469" t="s">
        <v>13</v>
      </c>
      <c r="H1469" t="s">
        <v>40</v>
      </c>
      <c r="I1469" t="s">
        <v>2978</v>
      </c>
      <c r="J1469" t="s">
        <v>28</v>
      </c>
      <c r="K1469" s="4">
        <f>VLOOKUP(J1469,Exchange_Rates!A:B,2,FALSE)</f>
        <v>1.27</v>
      </c>
      <c r="L1469" s="4">
        <f t="shared" si="88"/>
        <v>0</v>
      </c>
      <c r="M1469" s="4">
        <f t="shared" si="89"/>
        <v>6260.4904000000006</v>
      </c>
      <c r="N1469" s="4">
        <f t="shared" si="90"/>
        <v>2023</v>
      </c>
      <c r="O1469" s="4">
        <f t="shared" si="91"/>
        <v>3</v>
      </c>
    </row>
    <row r="1470" spans="1:15" x14ac:dyDescent="0.25">
      <c r="A1470" t="s">
        <v>2979</v>
      </c>
      <c r="B1470" s="2">
        <v>44976</v>
      </c>
      <c r="C1470" t="s">
        <v>30</v>
      </c>
      <c r="D1470" t="s">
        <v>31</v>
      </c>
      <c r="E1470">
        <v>537.51</v>
      </c>
      <c r="F1470">
        <v>0</v>
      </c>
      <c r="G1470" t="s">
        <v>8</v>
      </c>
      <c r="H1470" t="s">
        <v>40</v>
      </c>
      <c r="I1470" t="s">
        <v>2980</v>
      </c>
      <c r="J1470" t="s">
        <v>28</v>
      </c>
      <c r="K1470" s="4">
        <f>VLOOKUP(J1470,Exchange_Rates!A:B,2,FALSE)</f>
        <v>1.27</v>
      </c>
      <c r="L1470" s="4">
        <f t="shared" si="88"/>
        <v>682.6377</v>
      </c>
      <c r="M1470" s="4">
        <f t="shared" si="89"/>
        <v>0</v>
      </c>
      <c r="N1470" s="4">
        <f t="shared" si="90"/>
        <v>2023</v>
      </c>
      <c r="O1470" s="4">
        <f t="shared" si="91"/>
        <v>1</v>
      </c>
    </row>
    <row r="1471" spans="1:15" x14ac:dyDescent="0.25">
      <c r="A1471" t="s">
        <v>2981</v>
      </c>
      <c r="B1471" s="2">
        <v>45641</v>
      </c>
      <c r="C1471" t="s">
        <v>30</v>
      </c>
      <c r="D1471" t="s">
        <v>31</v>
      </c>
      <c r="E1471">
        <v>554.87</v>
      </c>
      <c r="F1471">
        <v>0</v>
      </c>
      <c r="G1471" t="s">
        <v>12</v>
      </c>
      <c r="H1471" t="s">
        <v>34</v>
      </c>
      <c r="I1471" t="s">
        <v>2982</v>
      </c>
      <c r="J1471" t="s">
        <v>28</v>
      </c>
      <c r="K1471" s="4">
        <f>VLOOKUP(J1471,Exchange_Rates!A:B,2,FALSE)</f>
        <v>1.27</v>
      </c>
      <c r="L1471" s="4">
        <f t="shared" si="88"/>
        <v>704.68489999999997</v>
      </c>
      <c r="M1471" s="4">
        <f t="shared" si="89"/>
        <v>0</v>
      </c>
      <c r="N1471" s="4">
        <f t="shared" si="90"/>
        <v>2024</v>
      </c>
      <c r="O1471" s="4">
        <f t="shared" si="91"/>
        <v>4</v>
      </c>
    </row>
    <row r="1472" spans="1:15" x14ac:dyDescent="0.25">
      <c r="A1472" t="s">
        <v>2983</v>
      </c>
      <c r="B1472" s="2">
        <v>45406</v>
      </c>
      <c r="C1472" t="s">
        <v>60</v>
      </c>
      <c r="D1472" t="s">
        <v>61</v>
      </c>
      <c r="E1472">
        <v>0</v>
      </c>
      <c r="F1472">
        <v>4941.29</v>
      </c>
      <c r="G1472" t="s">
        <v>12</v>
      </c>
      <c r="H1472" t="s">
        <v>51</v>
      </c>
      <c r="I1472" t="s">
        <v>2984</v>
      </c>
      <c r="J1472" t="s">
        <v>42</v>
      </c>
      <c r="K1472" s="4">
        <f>VLOOKUP(J1472,Exchange_Rates!A:B,2,FALSE)</f>
        <v>0.66</v>
      </c>
      <c r="L1472" s="4">
        <f t="shared" si="88"/>
        <v>0</v>
      </c>
      <c r="M1472" s="4">
        <f t="shared" si="89"/>
        <v>3261.2514000000001</v>
      </c>
      <c r="N1472" s="4">
        <f t="shared" si="90"/>
        <v>2024</v>
      </c>
      <c r="O1472" s="4">
        <f t="shared" si="91"/>
        <v>2</v>
      </c>
    </row>
    <row r="1473" spans="1:15" x14ac:dyDescent="0.25">
      <c r="A1473" t="s">
        <v>2985</v>
      </c>
      <c r="B1473" s="2">
        <v>45246</v>
      </c>
      <c r="C1473" t="s">
        <v>30</v>
      </c>
      <c r="D1473" t="s">
        <v>31</v>
      </c>
      <c r="E1473">
        <v>1427.31</v>
      </c>
      <c r="F1473">
        <v>0</v>
      </c>
      <c r="G1473" t="s">
        <v>9</v>
      </c>
      <c r="H1473" t="s">
        <v>51</v>
      </c>
      <c r="I1473" t="s">
        <v>2986</v>
      </c>
      <c r="J1473" t="s">
        <v>36</v>
      </c>
      <c r="K1473" s="4">
        <f>VLOOKUP(J1473,Exchange_Rates!A:B,2,FALSE)</f>
        <v>1.08</v>
      </c>
      <c r="L1473" s="4">
        <f t="shared" si="88"/>
        <v>1541.4947999999999</v>
      </c>
      <c r="M1473" s="4">
        <f t="shared" si="89"/>
        <v>0</v>
      </c>
      <c r="N1473" s="4">
        <f t="shared" si="90"/>
        <v>2023</v>
      </c>
      <c r="O1473" s="4">
        <f t="shared" si="91"/>
        <v>4</v>
      </c>
    </row>
    <row r="1474" spans="1:15" x14ac:dyDescent="0.25">
      <c r="A1474" t="s">
        <v>2987</v>
      </c>
      <c r="B1474" s="2">
        <v>45234</v>
      </c>
      <c r="C1474" t="s">
        <v>24</v>
      </c>
      <c r="D1474" t="s">
        <v>25</v>
      </c>
      <c r="E1474">
        <v>0</v>
      </c>
      <c r="F1474">
        <v>1063.56</v>
      </c>
      <c r="G1474" t="s">
        <v>8</v>
      </c>
      <c r="H1474" t="s">
        <v>62</v>
      </c>
      <c r="I1474" t="s">
        <v>2988</v>
      </c>
      <c r="J1474" t="s">
        <v>36</v>
      </c>
      <c r="K1474" s="4">
        <f>VLOOKUP(J1474,Exchange_Rates!A:B,2,FALSE)</f>
        <v>1.08</v>
      </c>
      <c r="L1474" s="4">
        <f t="shared" si="88"/>
        <v>0</v>
      </c>
      <c r="M1474" s="4">
        <f t="shared" si="89"/>
        <v>1148.6448</v>
      </c>
      <c r="N1474" s="4">
        <f t="shared" si="90"/>
        <v>2023</v>
      </c>
      <c r="O1474" s="4">
        <f t="shared" si="91"/>
        <v>4</v>
      </c>
    </row>
    <row r="1475" spans="1:15" x14ac:dyDescent="0.25">
      <c r="A1475" t="s">
        <v>2989</v>
      </c>
      <c r="B1475" s="2">
        <v>45061</v>
      </c>
      <c r="C1475" t="s">
        <v>38</v>
      </c>
      <c r="D1475" t="s">
        <v>39</v>
      </c>
      <c r="E1475">
        <v>665.12</v>
      </c>
      <c r="F1475">
        <v>0</v>
      </c>
      <c r="G1475" t="s">
        <v>12</v>
      </c>
      <c r="H1475" t="s">
        <v>51</v>
      </c>
      <c r="I1475" t="s">
        <v>2990</v>
      </c>
      <c r="J1475" t="s">
        <v>64</v>
      </c>
      <c r="K1475" s="4">
        <f>VLOOKUP(J1475,Exchange_Rates!A:B,2,FALSE)</f>
        <v>0.73</v>
      </c>
      <c r="L1475" s="4">
        <f t="shared" ref="L1475:L1538" si="92">E1475*K1475</f>
        <v>485.5376</v>
      </c>
      <c r="M1475" s="4">
        <f t="shared" ref="M1475:M1538" si="93">F1475*K1475</f>
        <v>0</v>
      </c>
      <c r="N1475" s="4">
        <f t="shared" ref="N1475:N1538" si="94">YEAR(B1475)</f>
        <v>2023</v>
      </c>
      <c r="O1475" s="4">
        <f t="shared" ref="O1475:O1538" si="95">ROUNDUP(MONTH(B1475)/3,0)</f>
        <v>2</v>
      </c>
    </row>
    <row r="1476" spans="1:15" x14ac:dyDescent="0.25">
      <c r="A1476" t="s">
        <v>2991</v>
      </c>
      <c r="B1476" s="2">
        <v>45427</v>
      </c>
      <c r="C1476" t="s">
        <v>24</v>
      </c>
      <c r="D1476" t="s">
        <v>25</v>
      </c>
      <c r="E1476">
        <v>0</v>
      </c>
      <c r="F1476">
        <v>185.76</v>
      </c>
      <c r="G1476" t="s">
        <v>12</v>
      </c>
      <c r="H1476" t="s">
        <v>34</v>
      </c>
      <c r="I1476" t="s">
        <v>2992</v>
      </c>
      <c r="J1476" t="s">
        <v>45</v>
      </c>
      <c r="K1476" s="4">
        <f>VLOOKUP(J1476,Exchange_Rates!A:B,2,FALSE)</f>
        <v>1</v>
      </c>
      <c r="L1476" s="4">
        <f t="shared" si="92"/>
        <v>0</v>
      </c>
      <c r="M1476" s="4">
        <f t="shared" si="93"/>
        <v>185.76</v>
      </c>
      <c r="N1476" s="4">
        <f t="shared" si="94"/>
        <v>2024</v>
      </c>
      <c r="O1476" s="4">
        <f t="shared" si="95"/>
        <v>2</v>
      </c>
    </row>
    <row r="1477" spans="1:15" x14ac:dyDescent="0.25">
      <c r="A1477" t="s">
        <v>2993</v>
      </c>
      <c r="B1477" s="2">
        <v>45695</v>
      </c>
      <c r="C1477" t="s">
        <v>60</v>
      </c>
      <c r="D1477" t="s">
        <v>61</v>
      </c>
      <c r="E1477">
        <v>0</v>
      </c>
      <c r="F1477">
        <v>278.45999999999998</v>
      </c>
      <c r="G1477" t="s">
        <v>12</v>
      </c>
      <c r="H1477" t="s">
        <v>40</v>
      </c>
      <c r="I1477" t="s">
        <v>2994</v>
      </c>
      <c r="J1477" t="s">
        <v>42</v>
      </c>
      <c r="K1477" s="4">
        <f>VLOOKUP(J1477,Exchange_Rates!A:B,2,FALSE)</f>
        <v>0.66</v>
      </c>
      <c r="L1477" s="4">
        <f t="shared" si="92"/>
        <v>0</v>
      </c>
      <c r="M1477" s="4">
        <f t="shared" si="93"/>
        <v>183.78360000000001</v>
      </c>
      <c r="N1477" s="4">
        <f t="shared" si="94"/>
        <v>2025</v>
      </c>
      <c r="O1477" s="4">
        <f t="shared" si="95"/>
        <v>1</v>
      </c>
    </row>
    <row r="1478" spans="1:15" x14ac:dyDescent="0.25">
      <c r="A1478" t="s">
        <v>2995</v>
      </c>
      <c r="B1478" s="2">
        <v>45336</v>
      </c>
      <c r="C1478" t="s">
        <v>24</v>
      </c>
      <c r="D1478" t="s">
        <v>25</v>
      </c>
      <c r="E1478">
        <v>0</v>
      </c>
      <c r="F1478">
        <v>4294.84</v>
      </c>
      <c r="G1478" t="s">
        <v>12</v>
      </c>
      <c r="H1478" t="s">
        <v>26</v>
      </c>
      <c r="I1478" t="s">
        <v>2996</v>
      </c>
      <c r="J1478" t="s">
        <v>64</v>
      </c>
      <c r="K1478" s="4">
        <f>VLOOKUP(J1478,Exchange_Rates!A:B,2,FALSE)</f>
        <v>0.73</v>
      </c>
      <c r="L1478" s="4">
        <f t="shared" si="92"/>
        <v>0</v>
      </c>
      <c r="M1478" s="4">
        <f t="shared" si="93"/>
        <v>3135.2332000000001</v>
      </c>
      <c r="N1478" s="4">
        <f t="shared" si="94"/>
        <v>2024</v>
      </c>
      <c r="O1478" s="4">
        <f t="shared" si="95"/>
        <v>1</v>
      </c>
    </row>
    <row r="1479" spans="1:15" x14ac:dyDescent="0.25">
      <c r="A1479" t="s">
        <v>2997</v>
      </c>
      <c r="B1479" s="2">
        <v>45199</v>
      </c>
      <c r="C1479" t="s">
        <v>49</v>
      </c>
      <c r="D1479" t="s">
        <v>50</v>
      </c>
      <c r="E1479">
        <v>1675.83</v>
      </c>
      <c r="F1479">
        <v>0</v>
      </c>
      <c r="G1479" t="s">
        <v>11</v>
      </c>
      <c r="H1479" t="s">
        <v>40</v>
      </c>
      <c r="I1479" t="s">
        <v>2998</v>
      </c>
      <c r="J1479" t="s">
        <v>45</v>
      </c>
      <c r="K1479" s="4">
        <f>VLOOKUP(J1479,Exchange_Rates!A:B,2,FALSE)</f>
        <v>1</v>
      </c>
      <c r="L1479" s="4">
        <f t="shared" si="92"/>
        <v>1675.83</v>
      </c>
      <c r="M1479" s="4">
        <f t="shared" si="93"/>
        <v>0</v>
      </c>
      <c r="N1479" s="4">
        <f t="shared" si="94"/>
        <v>2023</v>
      </c>
      <c r="O1479" s="4">
        <f t="shared" si="95"/>
        <v>3</v>
      </c>
    </row>
    <row r="1480" spans="1:15" x14ac:dyDescent="0.25">
      <c r="A1480" t="s">
        <v>2999</v>
      </c>
      <c r="B1480" s="2">
        <v>45578</v>
      </c>
      <c r="C1480" t="s">
        <v>49</v>
      </c>
      <c r="D1480" t="s">
        <v>50</v>
      </c>
      <c r="E1480">
        <v>658.13</v>
      </c>
      <c r="F1480">
        <v>0</v>
      </c>
      <c r="G1480" t="s">
        <v>10</v>
      </c>
      <c r="H1480" t="s">
        <v>26</v>
      </c>
      <c r="I1480" t="s">
        <v>3000</v>
      </c>
      <c r="J1480" t="s">
        <v>28</v>
      </c>
      <c r="K1480" s="4">
        <f>VLOOKUP(J1480,Exchange_Rates!A:B,2,FALSE)</f>
        <v>1.27</v>
      </c>
      <c r="L1480" s="4">
        <f t="shared" si="92"/>
        <v>835.82510000000002</v>
      </c>
      <c r="M1480" s="4">
        <f t="shared" si="93"/>
        <v>0</v>
      </c>
      <c r="N1480" s="4">
        <f t="shared" si="94"/>
        <v>2024</v>
      </c>
      <c r="O1480" s="4">
        <f t="shared" si="95"/>
        <v>4</v>
      </c>
    </row>
    <row r="1481" spans="1:15" x14ac:dyDescent="0.25">
      <c r="A1481" t="s">
        <v>3001</v>
      </c>
      <c r="B1481" s="2">
        <v>45794</v>
      </c>
      <c r="C1481" t="s">
        <v>38</v>
      </c>
      <c r="D1481" t="s">
        <v>39</v>
      </c>
      <c r="E1481">
        <v>1615.35</v>
      </c>
      <c r="F1481">
        <v>0</v>
      </c>
      <c r="G1481" t="s">
        <v>10</v>
      </c>
      <c r="H1481" t="s">
        <v>26</v>
      </c>
      <c r="I1481" t="s">
        <v>3002</v>
      </c>
      <c r="J1481" t="s">
        <v>64</v>
      </c>
      <c r="K1481" s="4">
        <f>VLOOKUP(J1481,Exchange_Rates!A:B,2,FALSE)</f>
        <v>0.73</v>
      </c>
      <c r="L1481" s="4">
        <f t="shared" si="92"/>
        <v>1179.2054999999998</v>
      </c>
      <c r="M1481" s="4">
        <f t="shared" si="93"/>
        <v>0</v>
      </c>
      <c r="N1481" s="4">
        <f t="shared" si="94"/>
        <v>2025</v>
      </c>
      <c r="O1481" s="4">
        <f t="shared" si="95"/>
        <v>2</v>
      </c>
    </row>
    <row r="1482" spans="1:15" x14ac:dyDescent="0.25">
      <c r="A1482" t="s">
        <v>3003</v>
      </c>
      <c r="B1482" s="2">
        <v>45195</v>
      </c>
      <c r="C1482" t="s">
        <v>60</v>
      </c>
      <c r="D1482" t="s">
        <v>61</v>
      </c>
      <c r="E1482">
        <v>0</v>
      </c>
      <c r="F1482">
        <v>4040.21</v>
      </c>
      <c r="G1482" t="s">
        <v>12</v>
      </c>
      <c r="H1482" t="s">
        <v>51</v>
      </c>
      <c r="I1482" t="s">
        <v>3004</v>
      </c>
      <c r="J1482" t="s">
        <v>64</v>
      </c>
      <c r="K1482" s="4">
        <f>VLOOKUP(J1482,Exchange_Rates!A:B,2,FALSE)</f>
        <v>0.73</v>
      </c>
      <c r="L1482" s="4">
        <f t="shared" si="92"/>
        <v>0</v>
      </c>
      <c r="M1482" s="4">
        <f t="shared" si="93"/>
        <v>2949.3532999999998</v>
      </c>
      <c r="N1482" s="4">
        <f t="shared" si="94"/>
        <v>2023</v>
      </c>
      <c r="O1482" s="4">
        <f t="shared" si="95"/>
        <v>3</v>
      </c>
    </row>
    <row r="1483" spans="1:15" x14ac:dyDescent="0.25">
      <c r="A1483" t="s">
        <v>3005</v>
      </c>
      <c r="B1483" s="2">
        <v>45804</v>
      </c>
      <c r="C1483" t="s">
        <v>24</v>
      </c>
      <c r="D1483" t="s">
        <v>25</v>
      </c>
      <c r="E1483">
        <v>0</v>
      </c>
      <c r="F1483">
        <v>1080.5</v>
      </c>
      <c r="G1483" t="s">
        <v>11</v>
      </c>
      <c r="H1483" t="s">
        <v>62</v>
      </c>
      <c r="I1483" t="s">
        <v>3006</v>
      </c>
      <c r="J1483" t="s">
        <v>36</v>
      </c>
      <c r="K1483" s="4">
        <f>VLOOKUP(J1483,Exchange_Rates!A:B,2,FALSE)</f>
        <v>1.08</v>
      </c>
      <c r="L1483" s="4">
        <f t="shared" si="92"/>
        <v>0</v>
      </c>
      <c r="M1483" s="4">
        <f t="shared" si="93"/>
        <v>1166.94</v>
      </c>
      <c r="N1483" s="4">
        <f t="shared" si="94"/>
        <v>2025</v>
      </c>
      <c r="O1483" s="4">
        <f t="shared" si="95"/>
        <v>2</v>
      </c>
    </row>
    <row r="1484" spans="1:15" x14ac:dyDescent="0.25">
      <c r="A1484" t="s">
        <v>3007</v>
      </c>
      <c r="B1484" s="2">
        <v>45754</v>
      </c>
      <c r="C1484" t="s">
        <v>38</v>
      </c>
      <c r="D1484" t="s">
        <v>39</v>
      </c>
      <c r="E1484">
        <v>1674.78</v>
      </c>
      <c r="F1484">
        <v>0</v>
      </c>
      <c r="G1484" t="s">
        <v>8</v>
      </c>
      <c r="H1484" t="s">
        <v>40</v>
      </c>
      <c r="I1484" t="s">
        <v>3008</v>
      </c>
      <c r="J1484" t="s">
        <v>36</v>
      </c>
      <c r="K1484" s="4">
        <f>VLOOKUP(J1484,Exchange_Rates!A:B,2,FALSE)</f>
        <v>1.08</v>
      </c>
      <c r="L1484" s="4">
        <f t="shared" si="92"/>
        <v>1808.7624000000001</v>
      </c>
      <c r="M1484" s="4">
        <f t="shared" si="93"/>
        <v>0</v>
      </c>
      <c r="N1484" s="4">
        <f t="shared" si="94"/>
        <v>2025</v>
      </c>
      <c r="O1484" s="4">
        <f t="shared" si="95"/>
        <v>2</v>
      </c>
    </row>
    <row r="1485" spans="1:15" x14ac:dyDescent="0.25">
      <c r="A1485" t="s">
        <v>3009</v>
      </c>
      <c r="B1485" s="2">
        <v>45611</v>
      </c>
      <c r="C1485" t="s">
        <v>49</v>
      </c>
      <c r="D1485" t="s">
        <v>50</v>
      </c>
      <c r="E1485">
        <v>959.69</v>
      </c>
      <c r="F1485">
        <v>0</v>
      </c>
      <c r="G1485" t="s">
        <v>13</v>
      </c>
      <c r="H1485" t="s">
        <v>34</v>
      </c>
      <c r="I1485" t="s">
        <v>3010</v>
      </c>
      <c r="J1485" t="s">
        <v>45</v>
      </c>
      <c r="K1485" s="4">
        <f>VLOOKUP(J1485,Exchange_Rates!A:B,2,FALSE)</f>
        <v>1</v>
      </c>
      <c r="L1485" s="4">
        <f t="shared" si="92"/>
        <v>959.69</v>
      </c>
      <c r="M1485" s="4">
        <f t="shared" si="93"/>
        <v>0</v>
      </c>
      <c r="N1485" s="4">
        <f t="shared" si="94"/>
        <v>2024</v>
      </c>
      <c r="O1485" s="4">
        <f t="shared" si="95"/>
        <v>4</v>
      </c>
    </row>
    <row r="1486" spans="1:15" x14ac:dyDescent="0.25">
      <c r="A1486" t="s">
        <v>3011</v>
      </c>
      <c r="B1486" s="2">
        <v>45461</v>
      </c>
      <c r="C1486" t="s">
        <v>30</v>
      </c>
      <c r="D1486" t="s">
        <v>31</v>
      </c>
      <c r="E1486">
        <v>1883.44</v>
      </c>
      <c r="F1486">
        <v>0</v>
      </c>
      <c r="G1486" t="s">
        <v>8</v>
      </c>
      <c r="H1486" t="s">
        <v>62</v>
      </c>
      <c r="I1486" t="s">
        <v>3012</v>
      </c>
      <c r="J1486" t="s">
        <v>42</v>
      </c>
      <c r="K1486" s="4">
        <f>VLOOKUP(J1486,Exchange_Rates!A:B,2,FALSE)</f>
        <v>0.66</v>
      </c>
      <c r="L1486" s="4">
        <f t="shared" si="92"/>
        <v>1243.0704000000001</v>
      </c>
      <c r="M1486" s="4">
        <f t="shared" si="93"/>
        <v>0</v>
      </c>
      <c r="N1486" s="4">
        <f t="shared" si="94"/>
        <v>2024</v>
      </c>
      <c r="O1486" s="4">
        <f t="shared" si="95"/>
        <v>2</v>
      </c>
    </row>
    <row r="1487" spans="1:15" x14ac:dyDescent="0.25">
      <c r="A1487" t="s">
        <v>3013</v>
      </c>
      <c r="B1487" s="2">
        <v>45285</v>
      </c>
      <c r="C1487" t="s">
        <v>24</v>
      </c>
      <c r="D1487" t="s">
        <v>25</v>
      </c>
      <c r="E1487">
        <v>0</v>
      </c>
      <c r="F1487">
        <v>1071.33</v>
      </c>
      <c r="G1487" t="s">
        <v>8</v>
      </c>
      <c r="H1487" t="s">
        <v>62</v>
      </c>
      <c r="I1487" t="s">
        <v>3014</v>
      </c>
      <c r="J1487" t="s">
        <v>45</v>
      </c>
      <c r="K1487" s="4">
        <f>VLOOKUP(J1487,Exchange_Rates!A:B,2,FALSE)</f>
        <v>1</v>
      </c>
      <c r="L1487" s="4">
        <f t="shared" si="92"/>
        <v>0</v>
      </c>
      <c r="M1487" s="4">
        <f t="shared" si="93"/>
        <v>1071.33</v>
      </c>
      <c r="N1487" s="4">
        <f t="shared" si="94"/>
        <v>2023</v>
      </c>
      <c r="O1487" s="4">
        <f t="shared" si="95"/>
        <v>4</v>
      </c>
    </row>
    <row r="1488" spans="1:15" x14ac:dyDescent="0.25">
      <c r="A1488" t="s">
        <v>3015</v>
      </c>
      <c r="B1488" s="2">
        <v>45412</v>
      </c>
      <c r="C1488" t="s">
        <v>60</v>
      </c>
      <c r="D1488" t="s">
        <v>61</v>
      </c>
      <c r="E1488">
        <v>0</v>
      </c>
      <c r="F1488">
        <v>3543.57</v>
      </c>
      <c r="G1488" t="s">
        <v>13</v>
      </c>
      <c r="H1488" t="s">
        <v>62</v>
      </c>
      <c r="I1488" t="s">
        <v>3016</v>
      </c>
      <c r="J1488" t="s">
        <v>45</v>
      </c>
      <c r="K1488" s="4">
        <f>VLOOKUP(J1488,Exchange_Rates!A:B,2,FALSE)</f>
        <v>1</v>
      </c>
      <c r="L1488" s="4">
        <f t="shared" si="92"/>
        <v>0</v>
      </c>
      <c r="M1488" s="4">
        <f t="shared" si="93"/>
        <v>3543.57</v>
      </c>
      <c r="N1488" s="4">
        <f t="shared" si="94"/>
        <v>2024</v>
      </c>
      <c r="O1488" s="4">
        <f t="shared" si="95"/>
        <v>2</v>
      </c>
    </row>
    <row r="1489" spans="1:15" x14ac:dyDescent="0.25">
      <c r="A1489" t="s">
        <v>3017</v>
      </c>
      <c r="B1489" s="2">
        <v>45379</v>
      </c>
      <c r="C1489" t="s">
        <v>30</v>
      </c>
      <c r="D1489" t="s">
        <v>31</v>
      </c>
      <c r="E1489">
        <v>489.81</v>
      </c>
      <c r="F1489">
        <v>0</v>
      </c>
      <c r="G1489" t="s">
        <v>9</v>
      </c>
      <c r="H1489" t="s">
        <v>62</v>
      </c>
      <c r="I1489" t="s">
        <v>3018</v>
      </c>
      <c r="J1489" t="s">
        <v>42</v>
      </c>
      <c r="K1489" s="4">
        <f>VLOOKUP(J1489,Exchange_Rates!A:B,2,FALSE)</f>
        <v>0.66</v>
      </c>
      <c r="L1489" s="4">
        <f t="shared" si="92"/>
        <v>323.27460000000002</v>
      </c>
      <c r="M1489" s="4">
        <f t="shared" si="93"/>
        <v>0</v>
      </c>
      <c r="N1489" s="4">
        <f t="shared" si="94"/>
        <v>2024</v>
      </c>
      <c r="O1489" s="4">
        <f t="shared" si="95"/>
        <v>1</v>
      </c>
    </row>
    <row r="1490" spans="1:15" x14ac:dyDescent="0.25">
      <c r="A1490" t="s">
        <v>3019</v>
      </c>
      <c r="B1490" s="2">
        <v>45624</v>
      </c>
      <c r="C1490" t="s">
        <v>49</v>
      </c>
      <c r="D1490" t="s">
        <v>50</v>
      </c>
      <c r="E1490">
        <v>505.72</v>
      </c>
      <c r="F1490">
        <v>0</v>
      </c>
      <c r="G1490" t="s">
        <v>8</v>
      </c>
      <c r="H1490" t="s">
        <v>51</v>
      </c>
      <c r="I1490" t="s">
        <v>3020</v>
      </c>
      <c r="J1490" t="s">
        <v>64</v>
      </c>
      <c r="K1490" s="4">
        <f>VLOOKUP(J1490,Exchange_Rates!A:B,2,FALSE)</f>
        <v>0.73</v>
      </c>
      <c r="L1490" s="4">
        <f t="shared" si="92"/>
        <v>369.17560000000003</v>
      </c>
      <c r="M1490" s="4">
        <f t="shared" si="93"/>
        <v>0</v>
      </c>
      <c r="N1490" s="4">
        <f t="shared" si="94"/>
        <v>2024</v>
      </c>
      <c r="O1490" s="4">
        <f t="shared" si="95"/>
        <v>4</v>
      </c>
    </row>
    <row r="1491" spans="1:15" x14ac:dyDescent="0.25">
      <c r="A1491" t="s">
        <v>3021</v>
      </c>
      <c r="B1491" s="2">
        <v>45263</v>
      </c>
      <c r="C1491" t="s">
        <v>49</v>
      </c>
      <c r="D1491" t="s">
        <v>50</v>
      </c>
      <c r="E1491">
        <v>178.76</v>
      </c>
      <c r="F1491">
        <v>0</v>
      </c>
      <c r="G1491" t="s">
        <v>13</v>
      </c>
      <c r="H1491" t="s">
        <v>62</v>
      </c>
      <c r="I1491" t="s">
        <v>3022</v>
      </c>
      <c r="J1491" t="s">
        <v>36</v>
      </c>
      <c r="K1491" s="4">
        <f>VLOOKUP(J1491,Exchange_Rates!A:B,2,FALSE)</f>
        <v>1.08</v>
      </c>
      <c r="L1491" s="4">
        <f t="shared" si="92"/>
        <v>193.0608</v>
      </c>
      <c r="M1491" s="4">
        <f t="shared" si="93"/>
        <v>0</v>
      </c>
      <c r="N1491" s="4">
        <f t="shared" si="94"/>
        <v>2023</v>
      </c>
      <c r="O1491" s="4">
        <f t="shared" si="95"/>
        <v>4</v>
      </c>
    </row>
    <row r="1492" spans="1:15" x14ac:dyDescent="0.25">
      <c r="A1492" t="s">
        <v>3023</v>
      </c>
      <c r="B1492" s="2">
        <v>45681</v>
      </c>
      <c r="C1492" t="s">
        <v>38</v>
      </c>
      <c r="D1492" t="s">
        <v>39</v>
      </c>
      <c r="E1492">
        <v>495.06</v>
      </c>
      <c r="F1492">
        <v>0</v>
      </c>
      <c r="G1492" t="s">
        <v>8</v>
      </c>
      <c r="H1492" t="s">
        <v>26</v>
      </c>
      <c r="I1492" t="s">
        <v>3024</v>
      </c>
      <c r="J1492" t="s">
        <v>28</v>
      </c>
      <c r="K1492" s="4">
        <f>VLOOKUP(J1492,Exchange_Rates!A:B,2,FALSE)</f>
        <v>1.27</v>
      </c>
      <c r="L1492" s="4">
        <f t="shared" si="92"/>
        <v>628.72620000000006</v>
      </c>
      <c r="M1492" s="4">
        <f t="shared" si="93"/>
        <v>0</v>
      </c>
      <c r="N1492" s="4">
        <f t="shared" si="94"/>
        <v>2025</v>
      </c>
      <c r="O1492" s="4">
        <f t="shared" si="95"/>
        <v>1</v>
      </c>
    </row>
    <row r="1493" spans="1:15" x14ac:dyDescent="0.25">
      <c r="A1493" t="s">
        <v>3025</v>
      </c>
      <c r="B1493" s="2">
        <v>45732</v>
      </c>
      <c r="C1493" t="s">
        <v>60</v>
      </c>
      <c r="D1493" t="s">
        <v>61</v>
      </c>
      <c r="E1493">
        <v>0</v>
      </c>
      <c r="F1493">
        <v>309.72000000000003</v>
      </c>
      <c r="G1493" t="s">
        <v>11</v>
      </c>
      <c r="H1493" t="s">
        <v>62</v>
      </c>
      <c r="I1493" t="s">
        <v>3026</v>
      </c>
      <c r="J1493" t="s">
        <v>28</v>
      </c>
      <c r="K1493" s="4">
        <f>VLOOKUP(J1493,Exchange_Rates!A:B,2,FALSE)</f>
        <v>1.27</v>
      </c>
      <c r="L1493" s="4">
        <f t="shared" si="92"/>
        <v>0</v>
      </c>
      <c r="M1493" s="4">
        <f t="shared" si="93"/>
        <v>393.34440000000006</v>
      </c>
      <c r="N1493" s="4">
        <f t="shared" si="94"/>
        <v>2025</v>
      </c>
      <c r="O1493" s="4">
        <f t="shared" si="95"/>
        <v>1</v>
      </c>
    </row>
    <row r="1494" spans="1:15" x14ac:dyDescent="0.25">
      <c r="A1494" t="s">
        <v>3027</v>
      </c>
      <c r="B1494" s="2">
        <v>44941</v>
      </c>
      <c r="C1494" t="s">
        <v>49</v>
      </c>
      <c r="D1494" t="s">
        <v>50</v>
      </c>
      <c r="E1494">
        <v>1106.6600000000001</v>
      </c>
      <c r="F1494">
        <v>0</v>
      </c>
      <c r="G1494" t="s">
        <v>10</v>
      </c>
      <c r="H1494" t="s">
        <v>26</v>
      </c>
      <c r="I1494" t="s">
        <v>3028</v>
      </c>
      <c r="J1494" t="s">
        <v>42</v>
      </c>
      <c r="K1494" s="4">
        <f>VLOOKUP(J1494,Exchange_Rates!A:B,2,FALSE)</f>
        <v>0.66</v>
      </c>
      <c r="L1494" s="4">
        <f t="shared" si="92"/>
        <v>730.39560000000006</v>
      </c>
      <c r="M1494" s="4">
        <f t="shared" si="93"/>
        <v>0</v>
      </c>
      <c r="N1494" s="4">
        <f t="shared" si="94"/>
        <v>2023</v>
      </c>
      <c r="O1494" s="4">
        <f t="shared" si="95"/>
        <v>1</v>
      </c>
    </row>
    <row r="1495" spans="1:15" x14ac:dyDescent="0.25">
      <c r="A1495" t="s">
        <v>3029</v>
      </c>
      <c r="B1495" s="2">
        <v>45771</v>
      </c>
      <c r="C1495" t="s">
        <v>60</v>
      </c>
      <c r="D1495" t="s">
        <v>61</v>
      </c>
      <c r="E1495">
        <v>0</v>
      </c>
      <c r="F1495">
        <v>4204.9399999999996</v>
      </c>
      <c r="G1495" t="s">
        <v>13</v>
      </c>
      <c r="H1495" t="s">
        <v>40</v>
      </c>
      <c r="I1495" t="s">
        <v>3030</v>
      </c>
      <c r="J1495" t="s">
        <v>64</v>
      </c>
      <c r="K1495" s="4">
        <f>VLOOKUP(J1495,Exchange_Rates!A:B,2,FALSE)</f>
        <v>0.73</v>
      </c>
      <c r="L1495" s="4">
        <f t="shared" si="92"/>
        <v>0</v>
      </c>
      <c r="M1495" s="4">
        <f t="shared" si="93"/>
        <v>3069.6061999999997</v>
      </c>
      <c r="N1495" s="4">
        <f t="shared" si="94"/>
        <v>2025</v>
      </c>
      <c r="O1495" s="4">
        <f t="shared" si="95"/>
        <v>2</v>
      </c>
    </row>
    <row r="1496" spans="1:15" x14ac:dyDescent="0.25">
      <c r="A1496" t="s">
        <v>3031</v>
      </c>
      <c r="B1496" s="2">
        <v>45039</v>
      </c>
      <c r="C1496" t="s">
        <v>38</v>
      </c>
      <c r="D1496" t="s">
        <v>39</v>
      </c>
      <c r="E1496">
        <v>850.43</v>
      </c>
      <c r="F1496">
        <v>0</v>
      </c>
      <c r="G1496" t="s">
        <v>11</v>
      </c>
      <c r="H1496" t="s">
        <v>40</v>
      </c>
      <c r="I1496" t="s">
        <v>3032</v>
      </c>
      <c r="J1496" t="s">
        <v>64</v>
      </c>
      <c r="K1496" s="4">
        <f>VLOOKUP(J1496,Exchange_Rates!A:B,2,FALSE)</f>
        <v>0.73</v>
      </c>
      <c r="L1496" s="4">
        <f t="shared" si="92"/>
        <v>620.81389999999999</v>
      </c>
      <c r="M1496" s="4">
        <f t="shared" si="93"/>
        <v>0</v>
      </c>
      <c r="N1496" s="4">
        <f t="shared" si="94"/>
        <v>2023</v>
      </c>
      <c r="O1496" s="4">
        <f t="shared" si="95"/>
        <v>2</v>
      </c>
    </row>
    <row r="1497" spans="1:15" x14ac:dyDescent="0.25">
      <c r="A1497" t="s">
        <v>3033</v>
      </c>
      <c r="B1497" s="2">
        <v>45288</v>
      </c>
      <c r="C1497" t="s">
        <v>24</v>
      </c>
      <c r="D1497" t="s">
        <v>25</v>
      </c>
      <c r="E1497">
        <v>0</v>
      </c>
      <c r="F1497">
        <v>4145.32</v>
      </c>
      <c r="G1497" t="s">
        <v>13</v>
      </c>
      <c r="H1497" t="s">
        <v>62</v>
      </c>
      <c r="I1497" t="s">
        <v>3034</v>
      </c>
      <c r="J1497" t="s">
        <v>28</v>
      </c>
      <c r="K1497" s="4">
        <f>VLOOKUP(J1497,Exchange_Rates!A:B,2,FALSE)</f>
        <v>1.27</v>
      </c>
      <c r="L1497" s="4">
        <f t="shared" si="92"/>
        <v>0</v>
      </c>
      <c r="M1497" s="4">
        <f t="shared" si="93"/>
        <v>5264.5563999999995</v>
      </c>
      <c r="N1497" s="4">
        <f t="shared" si="94"/>
        <v>2023</v>
      </c>
      <c r="O1497" s="4">
        <f t="shared" si="95"/>
        <v>4</v>
      </c>
    </row>
    <row r="1498" spans="1:15" x14ac:dyDescent="0.25">
      <c r="A1498" t="s">
        <v>3035</v>
      </c>
      <c r="B1498" s="2">
        <v>45328</v>
      </c>
      <c r="C1498" t="s">
        <v>49</v>
      </c>
      <c r="D1498" t="s">
        <v>50</v>
      </c>
      <c r="E1498">
        <v>1312.14</v>
      </c>
      <c r="F1498">
        <v>0</v>
      </c>
      <c r="G1498" t="s">
        <v>12</v>
      </c>
      <c r="H1498" t="s">
        <v>40</v>
      </c>
      <c r="I1498" t="s">
        <v>3036</v>
      </c>
      <c r="J1498" t="s">
        <v>64</v>
      </c>
      <c r="K1498" s="4">
        <f>VLOOKUP(J1498,Exchange_Rates!A:B,2,FALSE)</f>
        <v>0.73</v>
      </c>
      <c r="L1498" s="4">
        <f t="shared" si="92"/>
        <v>957.86220000000003</v>
      </c>
      <c r="M1498" s="4">
        <f t="shared" si="93"/>
        <v>0</v>
      </c>
      <c r="N1498" s="4">
        <f t="shared" si="94"/>
        <v>2024</v>
      </c>
      <c r="O1498" s="4">
        <f t="shared" si="95"/>
        <v>1</v>
      </c>
    </row>
    <row r="1499" spans="1:15" x14ac:dyDescent="0.25">
      <c r="A1499" t="s">
        <v>3037</v>
      </c>
      <c r="B1499" s="2">
        <v>45152</v>
      </c>
      <c r="C1499" t="s">
        <v>49</v>
      </c>
      <c r="D1499" t="s">
        <v>50</v>
      </c>
      <c r="E1499">
        <v>1270.1400000000001</v>
      </c>
      <c r="F1499">
        <v>0</v>
      </c>
      <c r="G1499" t="s">
        <v>9</v>
      </c>
      <c r="H1499" t="s">
        <v>51</v>
      </c>
      <c r="I1499" t="s">
        <v>3038</v>
      </c>
      <c r="J1499" t="s">
        <v>28</v>
      </c>
      <c r="K1499" s="4">
        <f>VLOOKUP(J1499,Exchange_Rates!A:B,2,FALSE)</f>
        <v>1.27</v>
      </c>
      <c r="L1499" s="4">
        <f t="shared" si="92"/>
        <v>1613.0778000000003</v>
      </c>
      <c r="M1499" s="4">
        <f t="shared" si="93"/>
        <v>0</v>
      </c>
      <c r="N1499" s="4">
        <f t="shared" si="94"/>
        <v>2023</v>
      </c>
      <c r="O1499" s="4">
        <f t="shared" si="95"/>
        <v>3</v>
      </c>
    </row>
    <row r="1500" spans="1:15" x14ac:dyDescent="0.25">
      <c r="A1500" t="s">
        <v>3039</v>
      </c>
      <c r="B1500" s="2">
        <v>44948</v>
      </c>
      <c r="C1500" t="s">
        <v>30</v>
      </c>
      <c r="D1500" t="s">
        <v>31</v>
      </c>
      <c r="E1500">
        <v>1891.12</v>
      </c>
      <c r="F1500">
        <v>0</v>
      </c>
      <c r="G1500" t="s">
        <v>9</v>
      </c>
      <c r="H1500" t="s">
        <v>51</v>
      </c>
      <c r="I1500" t="s">
        <v>3040</v>
      </c>
      <c r="J1500" t="s">
        <v>28</v>
      </c>
      <c r="K1500" s="4">
        <f>VLOOKUP(J1500,Exchange_Rates!A:B,2,FALSE)</f>
        <v>1.27</v>
      </c>
      <c r="L1500" s="4">
        <f t="shared" si="92"/>
        <v>2401.7224000000001</v>
      </c>
      <c r="M1500" s="4">
        <f t="shared" si="93"/>
        <v>0</v>
      </c>
      <c r="N1500" s="4">
        <f t="shared" si="94"/>
        <v>2023</v>
      </c>
      <c r="O1500" s="4">
        <f t="shared" si="95"/>
        <v>1</v>
      </c>
    </row>
    <row r="1501" spans="1:15" x14ac:dyDescent="0.25">
      <c r="A1501" t="s">
        <v>3041</v>
      </c>
      <c r="B1501" s="2">
        <v>45005</v>
      </c>
      <c r="C1501" t="s">
        <v>24</v>
      </c>
      <c r="D1501" t="s">
        <v>25</v>
      </c>
      <c r="E1501">
        <v>0</v>
      </c>
      <c r="F1501">
        <v>4859.24</v>
      </c>
      <c r="G1501" t="s">
        <v>8</v>
      </c>
      <c r="H1501" t="s">
        <v>40</v>
      </c>
      <c r="I1501" t="s">
        <v>3042</v>
      </c>
      <c r="J1501" t="s">
        <v>28</v>
      </c>
      <c r="K1501" s="4">
        <f>VLOOKUP(J1501,Exchange_Rates!A:B,2,FALSE)</f>
        <v>1.27</v>
      </c>
      <c r="L1501" s="4">
        <f t="shared" si="92"/>
        <v>0</v>
      </c>
      <c r="M1501" s="4">
        <f t="shared" si="93"/>
        <v>6171.2348000000002</v>
      </c>
      <c r="N1501" s="4">
        <f t="shared" si="94"/>
        <v>2023</v>
      </c>
      <c r="O1501" s="4">
        <f t="shared" si="95"/>
        <v>1</v>
      </c>
    </row>
    <row r="1502" spans="1:15" x14ac:dyDescent="0.25">
      <c r="A1502" t="s">
        <v>3043</v>
      </c>
      <c r="B1502" s="2">
        <v>45221</v>
      </c>
      <c r="C1502" t="s">
        <v>24</v>
      </c>
      <c r="D1502" t="s">
        <v>25</v>
      </c>
      <c r="E1502">
        <v>0</v>
      </c>
      <c r="F1502">
        <v>2711.83</v>
      </c>
      <c r="G1502" t="s">
        <v>8</v>
      </c>
      <c r="H1502" t="s">
        <v>51</v>
      </c>
      <c r="I1502" t="s">
        <v>3044</v>
      </c>
      <c r="J1502" t="s">
        <v>28</v>
      </c>
      <c r="K1502" s="4">
        <f>VLOOKUP(J1502,Exchange_Rates!A:B,2,FALSE)</f>
        <v>1.27</v>
      </c>
      <c r="L1502" s="4">
        <f t="shared" si="92"/>
        <v>0</v>
      </c>
      <c r="M1502" s="4">
        <f t="shared" si="93"/>
        <v>3444.0241000000001</v>
      </c>
      <c r="N1502" s="4">
        <f t="shared" si="94"/>
        <v>2023</v>
      </c>
      <c r="O1502" s="4">
        <f t="shared" si="95"/>
        <v>4</v>
      </c>
    </row>
    <row r="1503" spans="1:15" x14ac:dyDescent="0.25">
      <c r="A1503" t="s">
        <v>3045</v>
      </c>
      <c r="B1503" s="2">
        <v>45751</v>
      </c>
      <c r="C1503" t="s">
        <v>38</v>
      </c>
      <c r="D1503" t="s">
        <v>39</v>
      </c>
      <c r="E1503">
        <v>648.23</v>
      </c>
      <c r="F1503">
        <v>0</v>
      </c>
      <c r="G1503" t="s">
        <v>9</v>
      </c>
      <c r="H1503" t="s">
        <v>34</v>
      </c>
      <c r="I1503" t="s">
        <v>3046</v>
      </c>
      <c r="J1503" t="s">
        <v>64</v>
      </c>
      <c r="K1503" s="4">
        <f>VLOOKUP(J1503,Exchange_Rates!A:B,2,FALSE)</f>
        <v>0.73</v>
      </c>
      <c r="L1503" s="4">
        <f t="shared" si="92"/>
        <v>473.2079</v>
      </c>
      <c r="M1503" s="4">
        <f t="shared" si="93"/>
        <v>0</v>
      </c>
      <c r="N1503" s="4">
        <f t="shared" si="94"/>
        <v>2025</v>
      </c>
      <c r="O1503" s="4">
        <f t="shared" si="95"/>
        <v>2</v>
      </c>
    </row>
    <row r="1504" spans="1:15" x14ac:dyDescent="0.25">
      <c r="A1504" t="s">
        <v>3047</v>
      </c>
      <c r="B1504" s="2">
        <v>45238</v>
      </c>
      <c r="C1504" t="s">
        <v>60</v>
      </c>
      <c r="D1504" t="s">
        <v>61</v>
      </c>
      <c r="E1504">
        <v>0</v>
      </c>
      <c r="F1504">
        <v>3468.1</v>
      </c>
      <c r="G1504" t="s">
        <v>12</v>
      </c>
      <c r="H1504" t="s">
        <v>34</v>
      </c>
      <c r="I1504" t="s">
        <v>3048</v>
      </c>
      <c r="J1504" t="s">
        <v>36</v>
      </c>
      <c r="K1504" s="4">
        <f>VLOOKUP(J1504,Exchange_Rates!A:B,2,FALSE)</f>
        <v>1.08</v>
      </c>
      <c r="L1504" s="4">
        <f t="shared" si="92"/>
        <v>0</v>
      </c>
      <c r="M1504" s="4">
        <f t="shared" si="93"/>
        <v>3745.5480000000002</v>
      </c>
      <c r="N1504" s="4">
        <f t="shared" si="94"/>
        <v>2023</v>
      </c>
      <c r="O1504" s="4">
        <f t="shared" si="95"/>
        <v>4</v>
      </c>
    </row>
    <row r="1505" spans="1:15" x14ac:dyDescent="0.25">
      <c r="A1505" t="s">
        <v>3049</v>
      </c>
      <c r="B1505" s="2">
        <v>45526</v>
      </c>
      <c r="C1505" t="s">
        <v>60</v>
      </c>
      <c r="D1505" t="s">
        <v>61</v>
      </c>
      <c r="E1505">
        <v>0</v>
      </c>
      <c r="F1505">
        <v>252.83</v>
      </c>
      <c r="G1505" t="s">
        <v>12</v>
      </c>
      <c r="H1505" t="s">
        <v>40</v>
      </c>
      <c r="I1505" t="s">
        <v>3050</v>
      </c>
      <c r="J1505" t="s">
        <v>64</v>
      </c>
      <c r="K1505" s="4">
        <f>VLOOKUP(J1505,Exchange_Rates!A:B,2,FALSE)</f>
        <v>0.73</v>
      </c>
      <c r="L1505" s="4">
        <f t="shared" si="92"/>
        <v>0</v>
      </c>
      <c r="M1505" s="4">
        <f t="shared" si="93"/>
        <v>184.5659</v>
      </c>
      <c r="N1505" s="4">
        <f t="shared" si="94"/>
        <v>2024</v>
      </c>
      <c r="O1505" s="4">
        <f t="shared" si="95"/>
        <v>3</v>
      </c>
    </row>
    <row r="1506" spans="1:15" x14ac:dyDescent="0.25">
      <c r="A1506" t="s">
        <v>3051</v>
      </c>
      <c r="B1506" s="2">
        <v>45437</v>
      </c>
      <c r="C1506" t="s">
        <v>49</v>
      </c>
      <c r="D1506" t="s">
        <v>50</v>
      </c>
      <c r="E1506">
        <v>1268.1099999999999</v>
      </c>
      <c r="F1506">
        <v>0</v>
      </c>
      <c r="G1506" t="s">
        <v>9</v>
      </c>
      <c r="H1506" t="s">
        <v>62</v>
      </c>
      <c r="I1506" t="s">
        <v>3052</v>
      </c>
      <c r="J1506" t="s">
        <v>64</v>
      </c>
      <c r="K1506" s="4">
        <f>VLOOKUP(J1506,Exchange_Rates!A:B,2,FALSE)</f>
        <v>0.73</v>
      </c>
      <c r="L1506" s="4">
        <f t="shared" si="92"/>
        <v>925.72029999999995</v>
      </c>
      <c r="M1506" s="4">
        <f t="shared" si="93"/>
        <v>0</v>
      </c>
      <c r="N1506" s="4">
        <f t="shared" si="94"/>
        <v>2024</v>
      </c>
      <c r="O1506" s="4">
        <f t="shared" si="95"/>
        <v>2</v>
      </c>
    </row>
    <row r="1507" spans="1:15" x14ac:dyDescent="0.25">
      <c r="A1507" t="s">
        <v>3053</v>
      </c>
      <c r="B1507" s="2">
        <v>45574</v>
      </c>
      <c r="C1507" t="s">
        <v>30</v>
      </c>
      <c r="D1507" t="s">
        <v>31</v>
      </c>
      <c r="E1507">
        <v>574.22</v>
      </c>
      <c r="F1507">
        <v>0</v>
      </c>
      <c r="G1507" t="s">
        <v>12</v>
      </c>
      <c r="H1507" t="s">
        <v>34</v>
      </c>
      <c r="I1507" t="s">
        <v>3054</v>
      </c>
      <c r="J1507" t="s">
        <v>42</v>
      </c>
      <c r="K1507" s="4">
        <f>VLOOKUP(J1507,Exchange_Rates!A:B,2,FALSE)</f>
        <v>0.66</v>
      </c>
      <c r="L1507" s="4">
        <f t="shared" si="92"/>
        <v>378.98520000000002</v>
      </c>
      <c r="M1507" s="4">
        <f t="shared" si="93"/>
        <v>0</v>
      </c>
      <c r="N1507" s="4">
        <f t="shared" si="94"/>
        <v>2024</v>
      </c>
      <c r="O1507" s="4">
        <f t="shared" si="95"/>
        <v>4</v>
      </c>
    </row>
    <row r="1508" spans="1:15" x14ac:dyDescent="0.25">
      <c r="A1508" t="s">
        <v>3055</v>
      </c>
      <c r="B1508" s="2">
        <v>45367</v>
      </c>
      <c r="C1508" t="s">
        <v>49</v>
      </c>
      <c r="D1508" t="s">
        <v>50</v>
      </c>
      <c r="E1508">
        <v>406.62</v>
      </c>
      <c r="F1508">
        <v>0</v>
      </c>
      <c r="G1508" t="s">
        <v>9</v>
      </c>
      <c r="H1508" t="s">
        <v>62</v>
      </c>
      <c r="I1508" t="s">
        <v>3056</v>
      </c>
      <c r="J1508" t="s">
        <v>36</v>
      </c>
      <c r="K1508" s="4">
        <f>VLOOKUP(J1508,Exchange_Rates!A:B,2,FALSE)</f>
        <v>1.08</v>
      </c>
      <c r="L1508" s="4">
        <f t="shared" si="92"/>
        <v>439.14960000000002</v>
      </c>
      <c r="M1508" s="4">
        <f t="shared" si="93"/>
        <v>0</v>
      </c>
      <c r="N1508" s="4">
        <f t="shared" si="94"/>
        <v>2024</v>
      </c>
      <c r="O1508" s="4">
        <f t="shared" si="95"/>
        <v>1</v>
      </c>
    </row>
    <row r="1509" spans="1:15" x14ac:dyDescent="0.25">
      <c r="A1509" t="s">
        <v>3057</v>
      </c>
      <c r="B1509" s="2">
        <v>45366</v>
      </c>
      <c r="C1509" t="s">
        <v>60</v>
      </c>
      <c r="D1509" t="s">
        <v>61</v>
      </c>
      <c r="E1509">
        <v>0</v>
      </c>
      <c r="F1509">
        <v>4055.84</v>
      </c>
      <c r="G1509" t="s">
        <v>13</v>
      </c>
      <c r="H1509" t="s">
        <v>62</v>
      </c>
      <c r="I1509" t="s">
        <v>3058</v>
      </c>
      <c r="J1509" t="s">
        <v>28</v>
      </c>
      <c r="K1509" s="4">
        <f>VLOOKUP(J1509,Exchange_Rates!A:B,2,FALSE)</f>
        <v>1.27</v>
      </c>
      <c r="L1509" s="4">
        <f t="shared" si="92"/>
        <v>0</v>
      </c>
      <c r="M1509" s="4">
        <f t="shared" si="93"/>
        <v>5150.9168</v>
      </c>
      <c r="N1509" s="4">
        <f t="shared" si="94"/>
        <v>2024</v>
      </c>
      <c r="O1509" s="4">
        <f t="shared" si="95"/>
        <v>1</v>
      </c>
    </row>
    <row r="1510" spans="1:15" x14ac:dyDescent="0.25">
      <c r="A1510" t="s">
        <v>3059</v>
      </c>
      <c r="B1510" s="2">
        <v>45394</v>
      </c>
      <c r="C1510" t="s">
        <v>24</v>
      </c>
      <c r="D1510" t="s">
        <v>25</v>
      </c>
      <c r="E1510">
        <v>0</v>
      </c>
      <c r="F1510">
        <v>3804.94</v>
      </c>
      <c r="G1510" t="s">
        <v>11</v>
      </c>
      <c r="H1510" t="s">
        <v>62</v>
      </c>
      <c r="I1510" t="s">
        <v>3060</v>
      </c>
      <c r="J1510" t="s">
        <v>28</v>
      </c>
      <c r="K1510" s="4">
        <f>VLOOKUP(J1510,Exchange_Rates!A:B,2,FALSE)</f>
        <v>1.27</v>
      </c>
      <c r="L1510" s="4">
        <f t="shared" si="92"/>
        <v>0</v>
      </c>
      <c r="M1510" s="4">
        <f t="shared" si="93"/>
        <v>4832.2737999999999</v>
      </c>
      <c r="N1510" s="4">
        <f t="shared" si="94"/>
        <v>2024</v>
      </c>
      <c r="O1510" s="4">
        <f t="shared" si="95"/>
        <v>2</v>
      </c>
    </row>
    <row r="1511" spans="1:15" x14ac:dyDescent="0.25">
      <c r="A1511" t="s">
        <v>3061</v>
      </c>
      <c r="B1511" s="2">
        <v>45277</v>
      </c>
      <c r="C1511" t="s">
        <v>24</v>
      </c>
      <c r="D1511" t="s">
        <v>25</v>
      </c>
      <c r="E1511">
        <v>0</v>
      </c>
      <c r="F1511">
        <v>2037.61</v>
      </c>
      <c r="G1511" t="s">
        <v>13</v>
      </c>
      <c r="H1511" t="s">
        <v>40</v>
      </c>
      <c r="I1511" t="s">
        <v>3062</v>
      </c>
      <c r="J1511" t="s">
        <v>42</v>
      </c>
      <c r="K1511" s="4">
        <f>VLOOKUP(J1511,Exchange_Rates!A:B,2,FALSE)</f>
        <v>0.66</v>
      </c>
      <c r="L1511" s="4">
        <f t="shared" si="92"/>
        <v>0</v>
      </c>
      <c r="M1511" s="4">
        <f t="shared" si="93"/>
        <v>1344.8226</v>
      </c>
      <c r="N1511" s="4">
        <f t="shared" si="94"/>
        <v>2023</v>
      </c>
      <c r="O1511" s="4">
        <f t="shared" si="95"/>
        <v>4</v>
      </c>
    </row>
    <row r="1512" spans="1:15" x14ac:dyDescent="0.25">
      <c r="A1512" t="s">
        <v>3063</v>
      </c>
      <c r="B1512" s="2">
        <v>45537</v>
      </c>
      <c r="C1512" t="s">
        <v>30</v>
      </c>
      <c r="D1512" t="s">
        <v>31</v>
      </c>
      <c r="E1512">
        <v>1702.53</v>
      </c>
      <c r="F1512">
        <v>0</v>
      </c>
      <c r="G1512" t="s">
        <v>10</v>
      </c>
      <c r="H1512" t="s">
        <v>62</v>
      </c>
      <c r="I1512" t="s">
        <v>3064</v>
      </c>
      <c r="J1512" t="s">
        <v>28</v>
      </c>
      <c r="K1512" s="4">
        <f>VLOOKUP(J1512,Exchange_Rates!A:B,2,FALSE)</f>
        <v>1.27</v>
      </c>
      <c r="L1512" s="4">
        <f t="shared" si="92"/>
        <v>2162.2130999999999</v>
      </c>
      <c r="M1512" s="4">
        <f t="shared" si="93"/>
        <v>0</v>
      </c>
      <c r="N1512" s="4">
        <f t="shared" si="94"/>
        <v>2024</v>
      </c>
      <c r="O1512" s="4">
        <f t="shared" si="95"/>
        <v>3</v>
      </c>
    </row>
    <row r="1513" spans="1:15" x14ac:dyDescent="0.25">
      <c r="A1513" t="s">
        <v>3065</v>
      </c>
      <c r="B1513" s="2">
        <v>45210</v>
      </c>
      <c r="C1513" t="s">
        <v>24</v>
      </c>
      <c r="D1513" t="s">
        <v>25</v>
      </c>
      <c r="E1513">
        <v>0</v>
      </c>
      <c r="F1513">
        <v>829.97</v>
      </c>
      <c r="G1513" t="s">
        <v>8</v>
      </c>
      <c r="H1513" t="s">
        <v>34</v>
      </c>
      <c r="I1513" t="s">
        <v>3066</v>
      </c>
      <c r="J1513" t="s">
        <v>45</v>
      </c>
      <c r="K1513" s="4">
        <f>VLOOKUP(J1513,Exchange_Rates!A:B,2,FALSE)</f>
        <v>1</v>
      </c>
      <c r="L1513" s="4">
        <f t="shared" si="92"/>
        <v>0</v>
      </c>
      <c r="M1513" s="4">
        <f t="shared" si="93"/>
        <v>829.97</v>
      </c>
      <c r="N1513" s="4">
        <f t="shared" si="94"/>
        <v>2023</v>
      </c>
      <c r="O1513" s="4">
        <f t="shared" si="95"/>
        <v>4</v>
      </c>
    </row>
    <row r="1514" spans="1:15" x14ac:dyDescent="0.25">
      <c r="A1514" t="s">
        <v>3067</v>
      </c>
      <c r="B1514" s="2">
        <v>45715</v>
      </c>
      <c r="C1514" t="s">
        <v>24</v>
      </c>
      <c r="D1514" t="s">
        <v>25</v>
      </c>
      <c r="E1514">
        <v>0</v>
      </c>
      <c r="F1514">
        <v>4946.1000000000004</v>
      </c>
      <c r="G1514" t="s">
        <v>9</v>
      </c>
      <c r="H1514" t="s">
        <v>26</v>
      </c>
      <c r="I1514" t="s">
        <v>3068</v>
      </c>
      <c r="J1514" t="s">
        <v>42</v>
      </c>
      <c r="K1514" s="4">
        <f>VLOOKUP(J1514,Exchange_Rates!A:B,2,FALSE)</f>
        <v>0.66</v>
      </c>
      <c r="L1514" s="4">
        <f t="shared" si="92"/>
        <v>0</v>
      </c>
      <c r="M1514" s="4">
        <f t="shared" si="93"/>
        <v>3264.4260000000004</v>
      </c>
      <c r="N1514" s="4">
        <f t="shared" si="94"/>
        <v>2025</v>
      </c>
      <c r="O1514" s="4">
        <f t="shared" si="95"/>
        <v>1</v>
      </c>
    </row>
    <row r="1515" spans="1:15" x14ac:dyDescent="0.25">
      <c r="A1515" t="s">
        <v>3069</v>
      </c>
      <c r="B1515" s="2">
        <v>44981</v>
      </c>
      <c r="C1515" t="s">
        <v>24</v>
      </c>
      <c r="D1515" t="s">
        <v>25</v>
      </c>
      <c r="E1515">
        <v>0</v>
      </c>
      <c r="F1515">
        <v>2736.74</v>
      </c>
      <c r="G1515" t="s">
        <v>9</v>
      </c>
      <c r="H1515" t="s">
        <v>40</v>
      </c>
      <c r="I1515" t="s">
        <v>3070</v>
      </c>
      <c r="J1515" t="s">
        <v>42</v>
      </c>
      <c r="K1515" s="4">
        <f>VLOOKUP(J1515,Exchange_Rates!A:B,2,FALSE)</f>
        <v>0.66</v>
      </c>
      <c r="L1515" s="4">
        <f t="shared" si="92"/>
        <v>0</v>
      </c>
      <c r="M1515" s="4">
        <f t="shared" si="93"/>
        <v>1806.2483999999999</v>
      </c>
      <c r="N1515" s="4">
        <f t="shared" si="94"/>
        <v>2023</v>
      </c>
      <c r="O1515" s="4">
        <f t="shared" si="95"/>
        <v>1</v>
      </c>
    </row>
    <row r="1516" spans="1:15" x14ac:dyDescent="0.25">
      <c r="A1516" t="s">
        <v>3071</v>
      </c>
      <c r="B1516" s="2">
        <v>45513</v>
      </c>
      <c r="C1516" t="s">
        <v>38</v>
      </c>
      <c r="D1516" t="s">
        <v>39</v>
      </c>
      <c r="E1516">
        <v>1372.85</v>
      </c>
      <c r="F1516">
        <v>0</v>
      </c>
      <c r="G1516" t="s">
        <v>10</v>
      </c>
      <c r="H1516" t="s">
        <v>26</v>
      </c>
      <c r="I1516" t="s">
        <v>3072</v>
      </c>
      <c r="J1516" t="s">
        <v>28</v>
      </c>
      <c r="K1516" s="4">
        <f>VLOOKUP(J1516,Exchange_Rates!A:B,2,FALSE)</f>
        <v>1.27</v>
      </c>
      <c r="L1516" s="4">
        <f t="shared" si="92"/>
        <v>1743.5194999999999</v>
      </c>
      <c r="M1516" s="4">
        <f t="shared" si="93"/>
        <v>0</v>
      </c>
      <c r="N1516" s="4">
        <f t="shared" si="94"/>
        <v>2024</v>
      </c>
      <c r="O1516" s="4">
        <f t="shared" si="95"/>
        <v>3</v>
      </c>
    </row>
    <row r="1517" spans="1:15" x14ac:dyDescent="0.25">
      <c r="A1517" t="s">
        <v>3073</v>
      </c>
      <c r="B1517" s="2">
        <v>45496</v>
      </c>
      <c r="C1517" t="s">
        <v>49</v>
      </c>
      <c r="D1517" t="s">
        <v>50</v>
      </c>
      <c r="E1517">
        <v>1842.13</v>
      </c>
      <c r="F1517">
        <v>0</v>
      </c>
      <c r="G1517" t="s">
        <v>10</v>
      </c>
      <c r="H1517" t="s">
        <v>51</v>
      </c>
      <c r="I1517" t="s">
        <v>3074</v>
      </c>
      <c r="J1517" t="s">
        <v>42</v>
      </c>
      <c r="K1517" s="4">
        <f>VLOOKUP(J1517,Exchange_Rates!A:B,2,FALSE)</f>
        <v>0.66</v>
      </c>
      <c r="L1517" s="4">
        <f t="shared" si="92"/>
        <v>1215.8058000000001</v>
      </c>
      <c r="M1517" s="4">
        <f t="shared" si="93"/>
        <v>0</v>
      </c>
      <c r="N1517" s="4">
        <f t="shared" si="94"/>
        <v>2024</v>
      </c>
      <c r="O1517" s="4">
        <f t="shared" si="95"/>
        <v>3</v>
      </c>
    </row>
    <row r="1518" spans="1:15" x14ac:dyDescent="0.25">
      <c r="A1518" t="s">
        <v>3075</v>
      </c>
      <c r="B1518" s="2">
        <v>45673</v>
      </c>
      <c r="C1518" t="s">
        <v>24</v>
      </c>
      <c r="D1518" t="s">
        <v>25</v>
      </c>
      <c r="E1518">
        <v>0</v>
      </c>
      <c r="F1518">
        <v>4447.99</v>
      </c>
      <c r="G1518" t="s">
        <v>11</v>
      </c>
      <c r="H1518" t="s">
        <v>34</v>
      </c>
      <c r="I1518" t="s">
        <v>3076</v>
      </c>
      <c r="J1518" t="s">
        <v>42</v>
      </c>
      <c r="K1518" s="4">
        <f>VLOOKUP(J1518,Exchange_Rates!A:B,2,FALSE)</f>
        <v>0.66</v>
      </c>
      <c r="L1518" s="4">
        <f t="shared" si="92"/>
        <v>0</v>
      </c>
      <c r="M1518" s="4">
        <f t="shared" si="93"/>
        <v>2935.6734000000001</v>
      </c>
      <c r="N1518" s="4">
        <f t="shared" si="94"/>
        <v>2025</v>
      </c>
      <c r="O1518" s="4">
        <f t="shared" si="95"/>
        <v>1</v>
      </c>
    </row>
    <row r="1519" spans="1:15" x14ac:dyDescent="0.25">
      <c r="A1519" t="s">
        <v>3077</v>
      </c>
      <c r="B1519" s="2">
        <v>45401</v>
      </c>
      <c r="C1519" t="s">
        <v>60</v>
      </c>
      <c r="D1519" t="s">
        <v>61</v>
      </c>
      <c r="E1519">
        <v>0</v>
      </c>
      <c r="F1519">
        <v>758.28</v>
      </c>
      <c r="G1519" t="s">
        <v>13</v>
      </c>
      <c r="H1519" t="s">
        <v>34</v>
      </c>
      <c r="I1519" t="s">
        <v>3078</v>
      </c>
      <c r="J1519" t="s">
        <v>28</v>
      </c>
      <c r="K1519" s="4">
        <f>VLOOKUP(J1519,Exchange_Rates!A:B,2,FALSE)</f>
        <v>1.27</v>
      </c>
      <c r="L1519" s="4">
        <f t="shared" si="92"/>
        <v>0</v>
      </c>
      <c r="M1519" s="4">
        <f t="shared" si="93"/>
        <v>963.01559999999995</v>
      </c>
      <c r="N1519" s="4">
        <f t="shared" si="94"/>
        <v>2024</v>
      </c>
      <c r="O1519" s="4">
        <f t="shared" si="95"/>
        <v>2</v>
      </c>
    </row>
    <row r="1520" spans="1:15" x14ac:dyDescent="0.25">
      <c r="A1520" t="s">
        <v>3079</v>
      </c>
      <c r="B1520" s="2">
        <v>45343</v>
      </c>
      <c r="C1520" t="s">
        <v>24</v>
      </c>
      <c r="D1520" t="s">
        <v>25</v>
      </c>
      <c r="E1520">
        <v>0</v>
      </c>
      <c r="F1520">
        <v>934.01</v>
      </c>
      <c r="G1520" t="s">
        <v>9</v>
      </c>
      <c r="H1520" t="s">
        <v>26</v>
      </c>
      <c r="I1520" t="s">
        <v>3080</v>
      </c>
      <c r="J1520" t="s">
        <v>36</v>
      </c>
      <c r="K1520" s="4">
        <f>VLOOKUP(J1520,Exchange_Rates!A:B,2,FALSE)</f>
        <v>1.08</v>
      </c>
      <c r="L1520" s="4">
        <f t="shared" si="92"/>
        <v>0</v>
      </c>
      <c r="M1520" s="4">
        <f t="shared" si="93"/>
        <v>1008.7308</v>
      </c>
      <c r="N1520" s="4">
        <f t="shared" si="94"/>
        <v>2024</v>
      </c>
      <c r="O1520" s="4">
        <f t="shared" si="95"/>
        <v>1</v>
      </c>
    </row>
    <row r="1521" spans="1:15" x14ac:dyDescent="0.25">
      <c r="A1521" t="s">
        <v>3081</v>
      </c>
      <c r="B1521" s="2">
        <v>45601</v>
      </c>
      <c r="C1521" t="s">
        <v>49</v>
      </c>
      <c r="D1521" t="s">
        <v>50</v>
      </c>
      <c r="E1521">
        <v>1161.7</v>
      </c>
      <c r="F1521">
        <v>0</v>
      </c>
      <c r="G1521" t="s">
        <v>10</v>
      </c>
      <c r="H1521" t="s">
        <v>62</v>
      </c>
      <c r="I1521" t="s">
        <v>3082</v>
      </c>
      <c r="J1521" t="s">
        <v>64</v>
      </c>
      <c r="K1521" s="4">
        <f>VLOOKUP(J1521,Exchange_Rates!A:B,2,FALSE)</f>
        <v>0.73</v>
      </c>
      <c r="L1521" s="4">
        <f t="shared" si="92"/>
        <v>848.04100000000005</v>
      </c>
      <c r="M1521" s="4">
        <f t="shared" si="93"/>
        <v>0</v>
      </c>
      <c r="N1521" s="4">
        <f t="shared" si="94"/>
        <v>2024</v>
      </c>
      <c r="O1521" s="4">
        <f t="shared" si="95"/>
        <v>4</v>
      </c>
    </row>
    <row r="1522" spans="1:15" x14ac:dyDescent="0.25">
      <c r="A1522" t="s">
        <v>3083</v>
      </c>
      <c r="B1522" s="2">
        <v>45047</v>
      </c>
      <c r="C1522" t="s">
        <v>49</v>
      </c>
      <c r="D1522" t="s">
        <v>50</v>
      </c>
      <c r="E1522">
        <v>1276.22</v>
      </c>
      <c r="F1522">
        <v>0</v>
      </c>
      <c r="G1522" t="s">
        <v>11</v>
      </c>
      <c r="H1522" t="s">
        <v>26</v>
      </c>
      <c r="I1522" t="s">
        <v>3084</v>
      </c>
      <c r="J1522" t="s">
        <v>45</v>
      </c>
      <c r="K1522" s="4">
        <f>VLOOKUP(J1522,Exchange_Rates!A:B,2,FALSE)</f>
        <v>1</v>
      </c>
      <c r="L1522" s="4">
        <f t="shared" si="92"/>
        <v>1276.22</v>
      </c>
      <c r="M1522" s="4">
        <f t="shared" si="93"/>
        <v>0</v>
      </c>
      <c r="N1522" s="4">
        <f t="shared" si="94"/>
        <v>2023</v>
      </c>
      <c r="O1522" s="4">
        <f t="shared" si="95"/>
        <v>2</v>
      </c>
    </row>
    <row r="1523" spans="1:15" x14ac:dyDescent="0.25">
      <c r="A1523" t="s">
        <v>3085</v>
      </c>
      <c r="B1523" s="2">
        <v>45305</v>
      </c>
      <c r="C1523" t="s">
        <v>30</v>
      </c>
      <c r="D1523" t="s">
        <v>31</v>
      </c>
      <c r="E1523">
        <v>383.71</v>
      </c>
      <c r="F1523">
        <v>0</v>
      </c>
      <c r="G1523" t="s">
        <v>12</v>
      </c>
      <c r="H1523" t="s">
        <v>62</v>
      </c>
      <c r="I1523" t="s">
        <v>3086</v>
      </c>
      <c r="J1523" t="s">
        <v>45</v>
      </c>
      <c r="K1523" s="4">
        <f>VLOOKUP(J1523,Exchange_Rates!A:B,2,FALSE)</f>
        <v>1</v>
      </c>
      <c r="L1523" s="4">
        <f t="shared" si="92"/>
        <v>383.71</v>
      </c>
      <c r="M1523" s="4">
        <f t="shared" si="93"/>
        <v>0</v>
      </c>
      <c r="N1523" s="4">
        <f t="shared" si="94"/>
        <v>2024</v>
      </c>
      <c r="O1523" s="4">
        <f t="shared" si="95"/>
        <v>1</v>
      </c>
    </row>
    <row r="1524" spans="1:15" x14ac:dyDescent="0.25">
      <c r="A1524" t="s">
        <v>3087</v>
      </c>
      <c r="B1524" s="2">
        <v>45738</v>
      </c>
      <c r="C1524" t="s">
        <v>24</v>
      </c>
      <c r="D1524" t="s">
        <v>25</v>
      </c>
      <c r="E1524">
        <v>0</v>
      </c>
      <c r="F1524">
        <v>3468.9</v>
      </c>
      <c r="G1524" t="s">
        <v>9</v>
      </c>
      <c r="H1524" t="s">
        <v>26</v>
      </c>
      <c r="I1524" t="s">
        <v>3088</v>
      </c>
      <c r="J1524" t="s">
        <v>36</v>
      </c>
      <c r="K1524" s="4">
        <f>VLOOKUP(J1524,Exchange_Rates!A:B,2,FALSE)</f>
        <v>1.08</v>
      </c>
      <c r="L1524" s="4">
        <f t="shared" si="92"/>
        <v>0</v>
      </c>
      <c r="M1524" s="4">
        <f t="shared" si="93"/>
        <v>3746.4120000000003</v>
      </c>
      <c r="N1524" s="4">
        <f t="shared" si="94"/>
        <v>2025</v>
      </c>
      <c r="O1524" s="4">
        <f t="shared" si="95"/>
        <v>1</v>
      </c>
    </row>
    <row r="1525" spans="1:15" x14ac:dyDescent="0.25">
      <c r="A1525" t="s">
        <v>3089</v>
      </c>
      <c r="B1525" s="2">
        <v>45177</v>
      </c>
      <c r="C1525" t="s">
        <v>30</v>
      </c>
      <c r="D1525" t="s">
        <v>31</v>
      </c>
      <c r="E1525">
        <v>1158.8</v>
      </c>
      <c r="F1525">
        <v>0</v>
      </c>
      <c r="G1525" t="s">
        <v>13</v>
      </c>
      <c r="H1525" t="s">
        <v>34</v>
      </c>
      <c r="I1525" t="s">
        <v>3090</v>
      </c>
      <c r="J1525" t="s">
        <v>45</v>
      </c>
      <c r="K1525" s="4">
        <f>VLOOKUP(J1525,Exchange_Rates!A:B,2,FALSE)</f>
        <v>1</v>
      </c>
      <c r="L1525" s="4">
        <f t="shared" si="92"/>
        <v>1158.8</v>
      </c>
      <c r="M1525" s="4">
        <f t="shared" si="93"/>
        <v>0</v>
      </c>
      <c r="N1525" s="4">
        <f t="shared" si="94"/>
        <v>2023</v>
      </c>
      <c r="O1525" s="4">
        <f t="shared" si="95"/>
        <v>3</v>
      </c>
    </row>
    <row r="1526" spans="1:15" x14ac:dyDescent="0.25">
      <c r="A1526" t="s">
        <v>3091</v>
      </c>
      <c r="B1526" s="2">
        <v>44935</v>
      </c>
      <c r="C1526" t="s">
        <v>24</v>
      </c>
      <c r="D1526" t="s">
        <v>25</v>
      </c>
      <c r="E1526">
        <v>0</v>
      </c>
      <c r="F1526">
        <v>2396.8000000000002</v>
      </c>
      <c r="G1526" t="s">
        <v>10</v>
      </c>
      <c r="H1526" t="s">
        <v>51</v>
      </c>
      <c r="I1526" t="s">
        <v>3092</v>
      </c>
      <c r="J1526" t="s">
        <v>64</v>
      </c>
      <c r="K1526" s="4">
        <f>VLOOKUP(J1526,Exchange_Rates!A:B,2,FALSE)</f>
        <v>0.73</v>
      </c>
      <c r="L1526" s="4">
        <f t="shared" si="92"/>
        <v>0</v>
      </c>
      <c r="M1526" s="4">
        <f t="shared" si="93"/>
        <v>1749.664</v>
      </c>
      <c r="N1526" s="4">
        <f t="shared" si="94"/>
        <v>2023</v>
      </c>
      <c r="O1526" s="4">
        <f t="shared" si="95"/>
        <v>1</v>
      </c>
    </row>
    <row r="1527" spans="1:15" x14ac:dyDescent="0.25">
      <c r="A1527" t="s">
        <v>3093</v>
      </c>
      <c r="B1527" s="2">
        <v>45538</v>
      </c>
      <c r="C1527" t="s">
        <v>60</v>
      </c>
      <c r="D1527" t="s">
        <v>61</v>
      </c>
      <c r="E1527">
        <v>0</v>
      </c>
      <c r="F1527">
        <v>2827.95</v>
      </c>
      <c r="G1527" t="s">
        <v>8</v>
      </c>
      <c r="H1527" t="s">
        <v>51</v>
      </c>
      <c r="I1527" t="s">
        <v>3094</v>
      </c>
      <c r="J1527" t="s">
        <v>45</v>
      </c>
      <c r="K1527" s="4">
        <f>VLOOKUP(J1527,Exchange_Rates!A:B,2,FALSE)</f>
        <v>1</v>
      </c>
      <c r="L1527" s="4">
        <f t="shared" si="92"/>
        <v>0</v>
      </c>
      <c r="M1527" s="4">
        <f t="shared" si="93"/>
        <v>2827.95</v>
      </c>
      <c r="N1527" s="4">
        <f t="shared" si="94"/>
        <v>2024</v>
      </c>
      <c r="O1527" s="4">
        <f t="shared" si="95"/>
        <v>3</v>
      </c>
    </row>
    <row r="1528" spans="1:15" x14ac:dyDescent="0.25">
      <c r="A1528" t="s">
        <v>3095</v>
      </c>
      <c r="B1528" s="2">
        <v>45418</v>
      </c>
      <c r="C1528" t="s">
        <v>38</v>
      </c>
      <c r="D1528" t="s">
        <v>39</v>
      </c>
      <c r="E1528">
        <v>1359.89</v>
      </c>
      <c r="F1528">
        <v>0</v>
      </c>
      <c r="G1528" t="s">
        <v>11</v>
      </c>
      <c r="H1528" t="s">
        <v>62</v>
      </c>
      <c r="I1528" t="s">
        <v>3096</v>
      </c>
      <c r="J1528" t="s">
        <v>28</v>
      </c>
      <c r="K1528" s="4">
        <f>VLOOKUP(J1528,Exchange_Rates!A:B,2,FALSE)</f>
        <v>1.27</v>
      </c>
      <c r="L1528" s="4">
        <f t="shared" si="92"/>
        <v>1727.0603000000001</v>
      </c>
      <c r="M1528" s="4">
        <f t="shared" si="93"/>
        <v>0</v>
      </c>
      <c r="N1528" s="4">
        <f t="shared" si="94"/>
        <v>2024</v>
      </c>
      <c r="O1528" s="4">
        <f t="shared" si="95"/>
        <v>2</v>
      </c>
    </row>
    <row r="1529" spans="1:15" x14ac:dyDescent="0.25">
      <c r="A1529" t="s">
        <v>3097</v>
      </c>
      <c r="B1529" s="2">
        <v>45747</v>
      </c>
      <c r="C1529" t="s">
        <v>24</v>
      </c>
      <c r="D1529" t="s">
        <v>25</v>
      </c>
      <c r="E1529">
        <v>0</v>
      </c>
      <c r="F1529">
        <v>663.19</v>
      </c>
      <c r="G1529" t="s">
        <v>13</v>
      </c>
      <c r="H1529" t="s">
        <v>62</v>
      </c>
      <c r="I1529" t="s">
        <v>3098</v>
      </c>
      <c r="J1529" t="s">
        <v>45</v>
      </c>
      <c r="K1529" s="4">
        <f>VLOOKUP(J1529,Exchange_Rates!A:B,2,FALSE)</f>
        <v>1</v>
      </c>
      <c r="L1529" s="4">
        <f t="shared" si="92"/>
        <v>0</v>
      </c>
      <c r="M1529" s="4">
        <f t="shared" si="93"/>
        <v>663.19</v>
      </c>
      <c r="N1529" s="4">
        <f t="shared" si="94"/>
        <v>2025</v>
      </c>
      <c r="O1529" s="4">
        <f t="shared" si="95"/>
        <v>1</v>
      </c>
    </row>
    <row r="1530" spans="1:15" x14ac:dyDescent="0.25">
      <c r="A1530" t="s">
        <v>3099</v>
      </c>
      <c r="B1530" s="2">
        <v>45553</v>
      </c>
      <c r="C1530" t="s">
        <v>49</v>
      </c>
      <c r="D1530" t="s">
        <v>50</v>
      </c>
      <c r="E1530">
        <v>1878.74</v>
      </c>
      <c r="F1530">
        <v>0</v>
      </c>
      <c r="G1530" t="s">
        <v>9</v>
      </c>
      <c r="H1530" t="s">
        <v>34</v>
      </c>
      <c r="I1530" t="s">
        <v>3100</v>
      </c>
      <c r="J1530" t="s">
        <v>28</v>
      </c>
      <c r="K1530" s="4">
        <f>VLOOKUP(J1530,Exchange_Rates!A:B,2,FALSE)</f>
        <v>1.27</v>
      </c>
      <c r="L1530" s="4">
        <f t="shared" si="92"/>
        <v>2385.9998000000001</v>
      </c>
      <c r="M1530" s="4">
        <f t="shared" si="93"/>
        <v>0</v>
      </c>
      <c r="N1530" s="4">
        <f t="shared" si="94"/>
        <v>2024</v>
      </c>
      <c r="O1530" s="4">
        <f t="shared" si="95"/>
        <v>3</v>
      </c>
    </row>
    <row r="1531" spans="1:15" x14ac:dyDescent="0.25">
      <c r="A1531" t="s">
        <v>3101</v>
      </c>
      <c r="B1531" s="2">
        <v>45534</v>
      </c>
      <c r="C1531" t="s">
        <v>30</v>
      </c>
      <c r="D1531" t="s">
        <v>31</v>
      </c>
      <c r="E1531">
        <v>741.28</v>
      </c>
      <c r="F1531">
        <v>0</v>
      </c>
      <c r="G1531" t="s">
        <v>9</v>
      </c>
      <c r="H1531" t="s">
        <v>51</v>
      </c>
      <c r="I1531" t="s">
        <v>3102</v>
      </c>
      <c r="J1531" t="s">
        <v>28</v>
      </c>
      <c r="K1531" s="4">
        <f>VLOOKUP(J1531,Exchange_Rates!A:B,2,FALSE)</f>
        <v>1.27</v>
      </c>
      <c r="L1531" s="4">
        <f t="shared" si="92"/>
        <v>941.42560000000003</v>
      </c>
      <c r="M1531" s="4">
        <f t="shared" si="93"/>
        <v>0</v>
      </c>
      <c r="N1531" s="4">
        <f t="shared" si="94"/>
        <v>2024</v>
      </c>
      <c r="O1531" s="4">
        <f t="shared" si="95"/>
        <v>3</v>
      </c>
    </row>
    <row r="1532" spans="1:15" x14ac:dyDescent="0.25">
      <c r="A1532" t="s">
        <v>3103</v>
      </c>
      <c r="B1532" s="2">
        <v>45798</v>
      </c>
      <c r="C1532" t="s">
        <v>24</v>
      </c>
      <c r="D1532" t="s">
        <v>25</v>
      </c>
      <c r="E1532">
        <v>0</v>
      </c>
      <c r="F1532">
        <v>1824.31</v>
      </c>
      <c r="G1532" t="s">
        <v>9</v>
      </c>
      <c r="H1532" t="s">
        <v>51</v>
      </c>
      <c r="I1532" t="s">
        <v>3104</v>
      </c>
      <c r="J1532" t="s">
        <v>36</v>
      </c>
      <c r="K1532" s="4">
        <f>VLOOKUP(J1532,Exchange_Rates!A:B,2,FALSE)</f>
        <v>1.08</v>
      </c>
      <c r="L1532" s="4">
        <f t="shared" si="92"/>
        <v>0</v>
      </c>
      <c r="M1532" s="4">
        <f t="shared" si="93"/>
        <v>1970.2548000000002</v>
      </c>
      <c r="N1532" s="4">
        <f t="shared" si="94"/>
        <v>2025</v>
      </c>
      <c r="O1532" s="4">
        <f t="shared" si="95"/>
        <v>2</v>
      </c>
    </row>
    <row r="1533" spans="1:15" x14ac:dyDescent="0.25">
      <c r="A1533" t="s">
        <v>3105</v>
      </c>
      <c r="B1533" s="2">
        <v>45257</v>
      </c>
      <c r="C1533" t="s">
        <v>60</v>
      </c>
      <c r="D1533" t="s">
        <v>61</v>
      </c>
      <c r="E1533">
        <v>0</v>
      </c>
      <c r="F1533">
        <v>4296.04</v>
      </c>
      <c r="G1533" t="s">
        <v>9</v>
      </c>
      <c r="H1533" t="s">
        <v>34</v>
      </c>
      <c r="I1533" t="s">
        <v>3106</v>
      </c>
      <c r="J1533" t="s">
        <v>42</v>
      </c>
      <c r="K1533" s="4">
        <f>VLOOKUP(J1533,Exchange_Rates!A:B,2,FALSE)</f>
        <v>0.66</v>
      </c>
      <c r="L1533" s="4">
        <f t="shared" si="92"/>
        <v>0</v>
      </c>
      <c r="M1533" s="4">
        <f t="shared" si="93"/>
        <v>2835.3864000000003</v>
      </c>
      <c r="N1533" s="4">
        <f t="shared" si="94"/>
        <v>2023</v>
      </c>
      <c r="O1533" s="4">
        <f t="shared" si="95"/>
        <v>4</v>
      </c>
    </row>
    <row r="1534" spans="1:15" x14ac:dyDescent="0.25">
      <c r="A1534" t="s">
        <v>3107</v>
      </c>
      <c r="B1534" s="2">
        <v>45388</v>
      </c>
      <c r="C1534" t="s">
        <v>49</v>
      </c>
      <c r="D1534" t="s">
        <v>50</v>
      </c>
      <c r="E1534">
        <v>1969.36</v>
      </c>
      <c r="F1534">
        <v>0</v>
      </c>
      <c r="G1534" t="s">
        <v>10</v>
      </c>
      <c r="H1534" t="s">
        <v>26</v>
      </c>
      <c r="I1534" t="s">
        <v>3108</v>
      </c>
      <c r="J1534" t="s">
        <v>64</v>
      </c>
      <c r="K1534" s="4">
        <f>VLOOKUP(J1534,Exchange_Rates!A:B,2,FALSE)</f>
        <v>0.73</v>
      </c>
      <c r="L1534" s="4">
        <f t="shared" si="92"/>
        <v>1437.6327999999999</v>
      </c>
      <c r="M1534" s="4">
        <f t="shared" si="93"/>
        <v>0</v>
      </c>
      <c r="N1534" s="4">
        <f t="shared" si="94"/>
        <v>2024</v>
      </c>
      <c r="O1534" s="4">
        <f t="shared" si="95"/>
        <v>2</v>
      </c>
    </row>
    <row r="1535" spans="1:15" x14ac:dyDescent="0.25">
      <c r="A1535" t="s">
        <v>3109</v>
      </c>
      <c r="B1535" s="2">
        <v>45759</v>
      </c>
      <c r="C1535" t="s">
        <v>49</v>
      </c>
      <c r="D1535" t="s">
        <v>50</v>
      </c>
      <c r="E1535">
        <v>980.89</v>
      </c>
      <c r="F1535">
        <v>0</v>
      </c>
      <c r="G1535" t="s">
        <v>13</v>
      </c>
      <c r="H1535" t="s">
        <v>26</v>
      </c>
      <c r="I1535" t="s">
        <v>3110</v>
      </c>
      <c r="J1535" t="s">
        <v>36</v>
      </c>
      <c r="K1535" s="4">
        <f>VLOOKUP(J1535,Exchange_Rates!A:B,2,FALSE)</f>
        <v>1.08</v>
      </c>
      <c r="L1535" s="4">
        <f t="shared" si="92"/>
        <v>1059.3612000000001</v>
      </c>
      <c r="M1535" s="4">
        <f t="shared" si="93"/>
        <v>0</v>
      </c>
      <c r="N1535" s="4">
        <f t="shared" si="94"/>
        <v>2025</v>
      </c>
      <c r="O1535" s="4">
        <f t="shared" si="95"/>
        <v>2</v>
      </c>
    </row>
    <row r="1536" spans="1:15" x14ac:dyDescent="0.25">
      <c r="A1536" t="s">
        <v>3111</v>
      </c>
      <c r="B1536" s="2">
        <v>45548</v>
      </c>
      <c r="C1536" t="s">
        <v>38</v>
      </c>
      <c r="D1536" t="s">
        <v>39</v>
      </c>
      <c r="E1536">
        <v>618.26</v>
      </c>
      <c r="F1536">
        <v>0</v>
      </c>
      <c r="G1536" t="s">
        <v>10</v>
      </c>
      <c r="H1536" t="s">
        <v>62</v>
      </c>
      <c r="I1536" t="s">
        <v>3112</v>
      </c>
      <c r="J1536" t="s">
        <v>45</v>
      </c>
      <c r="K1536" s="4">
        <f>VLOOKUP(J1536,Exchange_Rates!A:B,2,FALSE)</f>
        <v>1</v>
      </c>
      <c r="L1536" s="4">
        <f t="shared" si="92"/>
        <v>618.26</v>
      </c>
      <c r="M1536" s="4">
        <f t="shared" si="93"/>
        <v>0</v>
      </c>
      <c r="N1536" s="4">
        <f t="shared" si="94"/>
        <v>2024</v>
      </c>
      <c r="O1536" s="4">
        <f t="shared" si="95"/>
        <v>3</v>
      </c>
    </row>
    <row r="1537" spans="1:15" x14ac:dyDescent="0.25">
      <c r="A1537" t="s">
        <v>3113</v>
      </c>
      <c r="B1537" s="2">
        <v>45459</v>
      </c>
      <c r="C1537" t="s">
        <v>49</v>
      </c>
      <c r="D1537" t="s">
        <v>50</v>
      </c>
      <c r="E1537">
        <v>665.47</v>
      </c>
      <c r="F1537">
        <v>0</v>
      </c>
      <c r="G1537" t="s">
        <v>10</v>
      </c>
      <c r="H1537" t="s">
        <v>26</v>
      </c>
      <c r="I1537" t="s">
        <v>3114</v>
      </c>
      <c r="J1537" t="s">
        <v>36</v>
      </c>
      <c r="K1537" s="4">
        <f>VLOOKUP(J1537,Exchange_Rates!A:B,2,FALSE)</f>
        <v>1.08</v>
      </c>
      <c r="L1537" s="4">
        <f t="shared" si="92"/>
        <v>718.70760000000007</v>
      </c>
      <c r="M1537" s="4">
        <f t="shared" si="93"/>
        <v>0</v>
      </c>
      <c r="N1537" s="4">
        <f t="shared" si="94"/>
        <v>2024</v>
      </c>
      <c r="O1537" s="4">
        <f t="shared" si="95"/>
        <v>2</v>
      </c>
    </row>
    <row r="1538" spans="1:15" x14ac:dyDescent="0.25">
      <c r="A1538" t="s">
        <v>3115</v>
      </c>
      <c r="B1538" s="2">
        <v>45465</v>
      </c>
      <c r="C1538" t="s">
        <v>30</v>
      </c>
      <c r="D1538" t="s">
        <v>31</v>
      </c>
      <c r="E1538">
        <v>982.03</v>
      </c>
      <c r="F1538">
        <v>0</v>
      </c>
      <c r="G1538" t="s">
        <v>8</v>
      </c>
      <c r="H1538" t="s">
        <v>62</v>
      </c>
      <c r="I1538" t="s">
        <v>3116</v>
      </c>
      <c r="J1538" t="s">
        <v>28</v>
      </c>
      <c r="K1538" s="4">
        <f>VLOOKUP(J1538,Exchange_Rates!A:B,2,FALSE)</f>
        <v>1.27</v>
      </c>
      <c r="L1538" s="4">
        <f t="shared" si="92"/>
        <v>1247.1781000000001</v>
      </c>
      <c r="M1538" s="4">
        <f t="shared" si="93"/>
        <v>0</v>
      </c>
      <c r="N1538" s="4">
        <f t="shared" si="94"/>
        <v>2024</v>
      </c>
      <c r="O1538" s="4">
        <f t="shared" si="95"/>
        <v>2</v>
      </c>
    </row>
    <row r="1539" spans="1:15" x14ac:dyDescent="0.25">
      <c r="A1539" t="s">
        <v>3117</v>
      </c>
      <c r="B1539" s="2">
        <v>45375</v>
      </c>
      <c r="C1539" t="s">
        <v>30</v>
      </c>
      <c r="D1539" t="s">
        <v>31</v>
      </c>
      <c r="E1539">
        <v>339.89</v>
      </c>
      <c r="F1539">
        <v>0</v>
      </c>
      <c r="G1539" t="s">
        <v>8</v>
      </c>
      <c r="H1539" t="s">
        <v>62</v>
      </c>
      <c r="I1539" t="s">
        <v>3118</v>
      </c>
      <c r="J1539" t="s">
        <v>42</v>
      </c>
      <c r="K1539" s="4">
        <f>VLOOKUP(J1539,Exchange_Rates!A:B,2,FALSE)</f>
        <v>0.66</v>
      </c>
      <c r="L1539" s="4">
        <f t="shared" ref="L1539:L1602" si="96">E1539*K1539</f>
        <v>224.32740000000001</v>
      </c>
      <c r="M1539" s="4">
        <f t="shared" ref="M1539:M1602" si="97">F1539*K1539</f>
        <v>0</v>
      </c>
      <c r="N1539" s="4">
        <f t="shared" ref="N1539:N1602" si="98">YEAR(B1539)</f>
        <v>2024</v>
      </c>
      <c r="O1539" s="4">
        <f t="shared" ref="O1539:O1602" si="99">ROUNDUP(MONTH(B1539)/3,0)</f>
        <v>1</v>
      </c>
    </row>
    <row r="1540" spans="1:15" x14ac:dyDescent="0.25">
      <c r="A1540" t="s">
        <v>3119</v>
      </c>
      <c r="B1540" s="2">
        <v>45537</v>
      </c>
      <c r="C1540" t="s">
        <v>49</v>
      </c>
      <c r="D1540" t="s">
        <v>50</v>
      </c>
      <c r="E1540">
        <v>535.34</v>
      </c>
      <c r="F1540">
        <v>0</v>
      </c>
      <c r="G1540" t="s">
        <v>9</v>
      </c>
      <c r="H1540" t="s">
        <v>51</v>
      </c>
      <c r="I1540" t="s">
        <v>3120</v>
      </c>
      <c r="J1540" t="s">
        <v>42</v>
      </c>
      <c r="K1540" s="4">
        <f>VLOOKUP(J1540,Exchange_Rates!A:B,2,FALSE)</f>
        <v>0.66</v>
      </c>
      <c r="L1540" s="4">
        <f t="shared" si="96"/>
        <v>353.32440000000003</v>
      </c>
      <c r="M1540" s="4">
        <f t="shared" si="97"/>
        <v>0</v>
      </c>
      <c r="N1540" s="4">
        <f t="shared" si="98"/>
        <v>2024</v>
      </c>
      <c r="O1540" s="4">
        <f t="shared" si="99"/>
        <v>3</v>
      </c>
    </row>
    <row r="1541" spans="1:15" x14ac:dyDescent="0.25">
      <c r="A1541" t="s">
        <v>3121</v>
      </c>
      <c r="B1541" s="2">
        <v>45785</v>
      </c>
      <c r="C1541" t="s">
        <v>49</v>
      </c>
      <c r="D1541" t="s">
        <v>50</v>
      </c>
      <c r="E1541">
        <v>1582.13</v>
      </c>
      <c r="F1541">
        <v>0</v>
      </c>
      <c r="G1541" t="s">
        <v>10</v>
      </c>
      <c r="H1541" t="s">
        <v>51</v>
      </c>
      <c r="I1541" t="s">
        <v>3122</v>
      </c>
      <c r="J1541" t="s">
        <v>64</v>
      </c>
      <c r="K1541" s="4">
        <f>VLOOKUP(J1541,Exchange_Rates!A:B,2,FALSE)</f>
        <v>0.73</v>
      </c>
      <c r="L1541" s="4">
        <f t="shared" si="96"/>
        <v>1154.9549</v>
      </c>
      <c r="M1541" s="4">
        <f t="shared" si="97"/>
        <v>0</v>
      </c>
      <c r="N1541" s="4">
        <f t="shared" si="98"/>
        <v>2025</v>
      </c>
      <c r="O1541" s="4">
        <f t="shared" si="99"/>
        <v>2</v>
      </c>
    </row>
    <row r="1542" spans="1:15" x14ac:dyDescent="0.25">
      <c r="A1542" t="s">
        <v>3123</v>
      </c>
      <c r="B1542" s="2">
        <v>45626</v>
      </c>
      <c r="C1542" t="s">
        <v>30</v>
      </c>
      <c r="D1542" t="s">
        <v>31</v>
      </c>
      <c r="E1542">
        <v>350.21</v>
      </c>
      <c r="F1542">
        <v>0</v>
      </c>
      <c r="G1542" t="s">
        <v>8</v>
      </c>
      <c r="H1542" t="s">
        <v>40</v>
      </c>
      <c r="I1542" t="s">
        <v>3124</v>
      </c>
      <c r="J1542" t="s">
        <v>28</v>
      </c>
      <c r="K1542" s="4">
        <f>VLOOKUP(J1542,Exchange_Rates!A:B,2,FALSE)</f>
        <v>1.27</v>
      </c>
      <c r="L1542" s="4">
        <f t="shared" si="96"/>
        <v>444.76669999999996</v>
      </c>
      <c r="M1542" s="4">
        <f t="shared" si="97"/>
        <v>0</v>
      </c>
      <c r="N1542" s="4">
        <f t="shared" si="98"/>
        <v>2024</v>
      </c>
      <c r="O1542" s="4">
        <f t="shared" si="99"/>
        <v>4</v>
      </c>
    </row>
    <row r="1543" spans="1:15" x14ac:dyDescent="0.25">
      <c r="A1543" t="s">
        <v>3125</v>
      </c>
      <c r="B1543" s="2">
        <v>45429</v>
      </c>
      <c r="C1543" t="s">
        <v>30</v>
      </c>
      <c r="D1543" t="s">
        <v>31</v>
      </c>
      <c r="E1543">
        <v>889.68</v>
      </c>
      <c r="F1543">
        <v>0</v>
      </c>
      <c r="G1543" t="s">
        <v>12</v>
      </c>
      <c r="H1543" t="s">
        <v>34</v>
      </c>
      <c r="I1543" t="s">
        <v>3126</v>
      </c>
      <c r="J1543" t="s">
        <v>42</v>
      </c>
      <c r="K1543" s="4">
        <f>VLOOKUP(J1543,Exchange_Rates!A:B,2,FALSE)</f>
        <v>0.66</v>
      </c>
      <c r="L1543" s="4">
        <f t="shared" si="96"/>
        <v>587.18880000000001</v>
      </c>
      <c r="M1543" s="4">
        <f t="shared" si="97"/>
        <v>0</v>
      </c>
      <c r="N1543" s="4">
        <f t="shared" si="98"/>
        <v>2024</v>
      </c>
      <c r="O1543" s="4">
        <f t="shared" si="99"/>
        <v>2</v>
      </c>
    </row>
    <row r="1544" spans="1:15" x14ac:dyDescent="0.25">
      <c r="A1544" t="s">
        <v>3127</v>
      </c>
      <c r="B1544" s="2">
        <v>45336</v>
      </c>
      <c r="C1544" t="s">
        <v>30</v>
      </c>
      <c r="D1544" t="s">
        <v>31</v>
      </c>
      <c r="E1544">
        <v>1155.53</v>
      </c>
      <c r="F1544">
        <v>0</v>
      </c>
      <c r="G1544" t="s">
        <v>9</v>
      </c>
      <c r="H1544" t="s">
        <v>40</v>
      </c>
      <c r="I1544" t="s">
        <v>3128</v>
      </c>
      <c r="J1544" t="s">
        <v>42</v>
      </c>
      <c r="K1544" s="4">
        <f>VLOOKUP(J1544,Exchange_Rates!A:B,2,FALSE)</f>
        <v>0.66</v>
      </c>
      <c r="L1544" s="4">
        <f t="shared" si="96"/>
        <v>762.64980000000003</v>
      </c>
      <c r="M1544" s="4">
        <f t="shared" si="97"/>
        <v>0</v>
      </c>
      <c r="N1544" s="4">
        <f t="shared" si="98"/>
        <v>2024</v>
      </c>
      <c r="O1544" s="4">
        <f t="shared" si="99"/>
        <v>1</v>
      </c>
    </row>
    <row r="1545" spans="1:15" x14ac:dyDescent="0.25">
      <c r="A1545" t="s">
        <v>3129</v>
      </c>
      <c r="B1545" s="2">
        <v>45525</v>
      </c>
      <c r="C1545" t="s">
        <v>60</v>
      </c>
      <c r="D1545" t="s">
        <v>61</v>
      </c>
      <c r="E1545">
        <v>0</v>
      </c>
      <c r="F1545">
        <v>827.97</v>
      </c>
      <c r="G1545" t="s">
        <v>11</v>
      </c>
      <c r="H1545" t="s">
        <v>51</v>
      </c>
      <c r="I1545" t="s">
        <v>3130</v>
      </c>
      <c r="J1545" t="s">
        <v>45</v>
      </c>
      <c r="K1545" s="4">
        <f>VLOOKUP(J1545,Exchange_Rates!A:B,2,FALSE)</f>
        <v>1</v>
      </c>
      <c r="L1545" s="4">
        <f t="shared" si="96"/>
        <v>0</v>
      </c>
      <c r="M1545" s="4">
        <f t="shared" si="97"/>
        <v>827.97</v>
      </c>
      <c r="N1545" s="4">
        <f t="shared" si="98"/>
        <v>2024</v>
      </c>
      <c r="O1545" s="4">
        <f t="shared" si="99"/>
        <v>3</v>
      </c>
    </row>
    <row r="1546" spans="1:15" x14ac:dyDescent="0.25">
      <c r="A1546" t="s">
        <v>3131</v>
      </c>
      <c r="B1546" s="2">
        <v>45235</v>
      </c>
      <c r="C1546" t="s">
        <v>60</v>
      </c>
      <c r="D1546" t="s">
        <v>61</v>
      </c>
      <c r="E1546">
        <v>0</v>
      </c>
      <c r="F1546">
        <v>2525.69</v>
      </c>
      <c r="G1546" t="s">
        <v>12</v>
      </c>
      <c r="H1546" t="s">
        <v>62</v>
      </c>
      <c r="I1546" t="s">
        <v>3132</v>
      </c>
      <c r="J1546" t="s">
        <v>36</v>
      </c>
      <c r="K1546" s="4">
        <f>VLOOKUP(J1546,Exchange_Rates!A:B,2,FALSE)</f>
        <v>1.08</v>
      </c>
      <c r="L1546" s="4">
        <f t="shared" si="96"/>
        <v>0</v>
      </c>
      <c r="M1546" s="4">
        <f t="shared" si="97"/>
        <v>2727.7452000000003</v>
      </c>
      <c r="N1546" s="4">
        <f t="shared" si="98"/>
        <v>2023</v>
      </c>
      <c r="O1546" s="4">
        <f t="shared" si="99"/>
        <v>4</v>
      </c>
    </row>
    <row r="1547" spans="1:15" x14ac:dyDescent="0.25">
      <c r="A1547" t="s">
        <v>3133</v>
      </c>
      <c r="B1547" s="2">
        <v>45495</v>
      </c>
      <c r="C1547" t="s">
        <v>30</v>
      </c>
      <c r="D1547" t="s">
        <v>31</v>
      </c>
      <c r="E1547">
        <v>1395.73</v>
      </c>
      <c r="F1547">
        <v>0</v>
      </c>
      <c r="G1547" t="s">
        <v>8</v>
      </c>
      <c r="H1547" t="s">
        <v>26</v>
      </c>
      <c r="I1547" t="s">
        <v>3134</v>
      </c>
      <c r="J1547" t="s">
        <v>28</v>
      </c>
      <c r="K1547" s="4">
        <f>VLOOKUP(J1547,Exchange_Rates!A:B,2,FALSE)</f>
        <v>1.27</v>
      </c>
      <c r="L1547" s="4">
        <f t="shared" si="96"/>
        <v>1772.5771</v>
      </c>
      <c r="M1547" s="4">
        <f t="shared" si="97"/>
        <v>0</v>
      </c>
      <c r="N1547" s="4">
        <f t="shared" si="98"/>
        <v>2024</v>
      </c>
      <c r="O1547" s="4">
        <f t="shared" si="99"/>
        <v>3</v>
      </c>
    </row>
    <row r="1548" spans="1:15" x14ac:dyDescent="0.25">
      <c r="A1548" t="s">
        <v>3135</v>
      </c>
      <c r="B1548" s="2">
        <v>45776</v>
      </c>
      <c r="C1548" t="s">
        <v>60</v>
      </c>
      <c r="D1548" t="s">
        <v>61</v>
      </c>
      <c r="E1548">
        <v>0</v>
      </c>
      <c r="F1548">
        <v>1888.44</v>
      </c>
      <c r="G1548" t="s">
        <v>8</v>
      </c>
      <c r="H1548" t="s">
        <v>26</v>
      </c>
      <c r="I1548" t="s">
        <v>3136</v>
      </c>
      <c r="J1548" t="s">
        <v>28</v>
      </c>
      <c r="K1548" s="4">
        <f>VLOOKUP(J1548,Exchange_Rates!A:B,2,FALSE)</f>
        <v>1.27</v>
      </c>
      <c r="L1548" s="4">
        <f t="shared" si="96"/>
        <v>0</v>
      </c>
      <c r="M1548" s="4">
        <f t="shared" si="97"/>
        <v>2398.3188</v>
      </c>
      <c r="N1548" s="4">
        <f t="shared" si="98"/>
        <v>2025</v>
      </c>
      <c r="O1548" s="4">
        <f t="shared" si="99"/>
        <v>2</v>
      </c>
    </row>
    <row r="1549" spans="1:15" x14ac:dyDescent="0.25">
      <c r="A1549" t="s">
        <v>3137</v>
      </c>
      <c r="B1549" s="2">
        <v>45609</v>
      </c>
      <c r="C1549" t="s">
        <v>60</v>
      </c>
      <c r="D1549" t="s">
        <v>61</v>
      </c>
      <c r="E1549">
        <v>0</v>
      </c>
      <c r="F1549">
        <v>718.52</v>
      </c>
      <c r="G1549" t="s">
        <v>10</v>
      </c>
      <c r="H1549" t="s">
        <v>40</v>
      </c>
      <c r="I1549" t="s">
        <v>3138</v>
      </c>
      <c r="J1549" t="s">
        <v>64</v>
      </c>
      <c r="K1549" s="4">
        <f>VLOOKUP(J1549,Exchange_Rates!A:B,2,FALSE)</f>
        <v>0.73</v>
      </c>
      <c r="L1549" s="4">
        <f t="shared" si="96"/>
        <v>0</v>
      </c>
      <c r="M1549" s="4">
        <f t="shared" si="97"/>
        <v>524.51959999999997</v>
      </c>
      <c r="N1549" s="4">
        <f t="shared" si="98"/>
        <v>2024</v>
      </c>
      <c r="O1549" s="4">
        <f t="shared" si="99"/>
        <v>4</v>
      </c>
    </row>
    <row r="1550" spans="1:15" x14ac:dyDescent="0.25">
      <c r="A1550" t="s">
        <v>3139</v>
      </c>
      <c r="B1550" s="2">
        <v>45566</v>
      </c>
      <c r="C1550" t="s">
        <v>38</v>
      </c>
      <c r="D1550" t="s">
        <v>39</v>
      </c>
      <c r="E1550">
        <v>378.77</v>
      </c>
      <c r="F1550">
        <v>0</v>
      </c>
      <c r="G1550" t="s">
        <v>8</v>
      </c>
      <c r="H1550" t="s">
        <v>26</v>
      </c>
      <c r="I1550" t="s">
        <v>3140</v>
      </c>
      <c r="J1550" t="s">
        <v>28</v>
      </c>
      <c r="K1550" s="4">
        <f>VLOOKUP(J1550,Exchange_Rates!A:B,2,FALSE)</f>
        <v>1.27</v>
      </c>
      <c r="L1550" s="4">
        <f t="shared" si="96"/>
        <v>481.03789999999998</v>
      </c>
      <c r="M1550" s="4">
        <f t="shared" si="97"/>
        <v>0</v>
      </c>
      <c r="N1550" s="4">
        <f t="shared" si="98"/>
        <v>2024</v>
      </c>
      <c r="O1550" s="4">
        <f t="shared" si="99"/>
        <v>4</v>
      </c>
    </row>
    <row r="1551" spans="1:15" x14ac:dyDescent="0.25">
      <c r="A1551" t="s">
        <v>3141</v>
      </c>
      <c r="B1551" s="2">
        <v>45104</v>
      </c>
      <c r="C1551" t="s">
        <v>38</v>
      </c>
      <c r="D1551" t="s">
        <v>39</v>
      </c>
      <c r="E1551">
        <v>1317.88</v>
      </c>
      <c r="F1551">
        <v>0</v>
      </c>
      <c r="G1551" t="s">
        <v>13</v>
      </c>
      <c r="H1551" t="s">
        <v>34</v>
      </c>
      <c r="I1551" t="s">
        <v>3142</v>
      </c>
      <c r="J1551" t="s">
        <v>64</v>
      </c>
      <c r="K1551" s="4">
        <f>VLOOKUP(J1551,Exchange_Rates!A:B,2,FALSE)</f>
        <v>0.73</v>
      </c>
      <c r="L1551" s="4">
        <f t="shared" si="96"/>
        <v>962.05240000000003</v>
      </c>
      <c r="M1551" s="4">
        <f t="shared" si="97"/>
        <v>0</v>
      </c>
      <c r="N1551" s="4">
        <f t="shared" si="98"/>
        <v>2023</v>
      </c>
      <c r="O1551" s="4">
        <f t="shared" si="99"/>
        <v>2</v>
      </c>
    </row>
    <row r="1552" spans="1:15" x14ac:dyDescent="0.25">
      <c r="A1552" t="s">
        <v>3143</v>
      </c>
      <c r="B1552" s="2">
        <v>44950</v>
      </c>
      <c r="C1552" t="s">
        <v>30</v>
      </c>
      <c r="D1552" t="s">
        <v>31</v>
      </c>
      <c r="E1552">
        <v>636.6</v>
      </c>
      <c r="F1552">
        <v>0</v>
      </c>
      <c r="G1552" t="s">
        <v>8</v>
      </c>
      <c r="H1552" t="s">
        <v>40</v>
      </c>
      <c r="I1552" t="s">
        <v>3144</v>
      </c>
      <c r="J1552" t="s">
        <v>36</v>
      </c>
      <c r="K1552" s="4">
        <f>VLOOKUP(J1552,Exchange_Rates!A:B,2,FALSE)</f>
        <v>1.08</v>
      </c>
      <c r="L1552" s="4">
        <f t="shared" si="96"/>
        <v>687.52800000000002</v>
      </c>
      <c r="M1552" s="4">
        <f t="shared" si="97"/>
        <v>0</v>
      </c>
      <c r="N1552" s="4">
        <f t="shared" si="98"/>
        <v>2023</v>
      </c>
      <c r="O1552" s="4">
        <f t="shared" si="99"/>
        <v>1</v>
      </c>
    </row>
    <row r="1553" spans="1:15" x14ac:dyDescent="0.25">
      <c r="A1553" t="s">
        <v>3145</v>
      </c>
      <c r="B1553" s="2">
        <v>45453</v>
      </c>
      <c r="C1553" t="s">
        <v>24</v>
      </c>
      <c r="D1553" t="s">
        <v>25</v>
      </c>
      <c r="E1553">
        <v>0</v>
      </c>
      <c r="F1553">
        <v>4170.5</v>
      </c>
      <c r="G1553" t="s">
        <v>10</v>
      </c>
      <c r="H1553" t="s">
        <v>62</v>
      </c>
      <c r="I1553" t="s">
        <v>3146</v>
      </c>
      <c r="J1553" t="s">
        <v>36</v>
      </c>
      <c r="K1553" s="4">
        <f>VLOOKUP(J1553,Exchange_Rates!A:B,2,FALSE)</f>
        <v>1.08</v>
      </c>
      <c r="L1553" s="4">
        <f t="shared" si="96"/>
        <v>0</v>
      </c>
      <c r="M1553" s="4">
        <f t="shared" si="97"/>
        <v>4504.1400000000003</v>
      </c>
      <c r="N1553" s="4">
        <f t="shared" si="98"/>
        <v>2024</v>
      </c>
      <c r="O1553" s="4">
        <f t="shared" si="99"/>
        <v>2</v>
      </c>
    </row>
    <row r="1554" spans="1:15" x14ac:dyDescent="0.25">
      <c r="A1554" t="s">
        <v>3147</v>
      </c>
      <c r="B1554" s="2">
        <v>45251</v>
      </c>
      <c r="C1554" t="s">
        <v>24</v>
      </c>
      <c r="D1554" t="s">
        <v>25</v>
      </c>
      <c r="E1554">
        <v>0</v>
      </c>
      <c r="F1554">
        <v>1923.84</v>
      </c>
      <c r="G1554" t="s">
        <v>13</v>
      </c>
      <c r="H1554" t="s">
        <v>62</v>
      </c>
      <c r="I1554" t="s">
        <v>3148</v>
      </c>
      <c r="J1554" t="s">
        <v>64</v>
      </c>
      <c r="K1554" s="4">
        <f>VLOOKUP(J1554,Exchange_Rates!A:B,2,FALSE)</f>
        <v>0.73</v>
      </c>
      <c r="L1554" s="4">
        <f t="shared" si="96"/>
        <v>0</v>
      </c>
      <c r="M1554" s="4">
        <f t="shared" si="97"/>
        <v>1404.4032</v>
      </c>
      <c r="N1554" s="4">
        <f t="shared" si="98"/>
        <v>2023</v>
      </c>
      <c r="O1554" s="4">
        <f t="shared" si="99"/>
        <v>4</v>
      </c>
    </row>
    <row r="1555" spans="1:15" x14ac:dyDescent="0.25">
      <c r="A1555" t="s">
        <v>3149</v>
      </c>
      <c r="B1555" s="2">
        <v>45526</v>
      </c>
      <c r="C1555" t="s">
        <v>38</v>
      </c>
      <c r="D1555" t="s">
        <v>39</v>
      </c>
      <c r="E1555">
        <v>736.29</v>
      </c>
      <c r="F1555">
        <v>0</v>
      </c>
      <c r="G1555" t="s">
        <v>11</v>
      </c>
      <c r="H1555" t="s">
        <v>40</v>
      </c>
      <c r="I1555" t="s">
        <v>3150</v>
      </c>
      <c r="J1555" t="s">
        <v>64</v>
      </c>
      <c r="K1555" s="4">
        <f>VLOOKUP(J1555,Exchange_Rates!A:B,2,FALSE)</f>
        <v>0.73</v>
      </c>
      <c r="L1555" s="4">
        <f t="shared" si="96"/>
        <v>537.49169999999992</v>
      </c>
      <c r="M1555" s="4">
        <f t="shared" si="97"/>
        <v>0</v>
      </c>
      <c r="N1555" s="4">
        <f t="shared" si="98"/>
        <v>2024</v>
      </c>
      <c r="O1555" s="4">
        <f t="shared" si="99"/>
        <v>3</v>
      </c>
    </row>
    <row r="1556" spans="1:15" x14ac:dyDescent="0.25">
      <c r="A1556" t="s">
        <v>3151</v>
      </c>
      <c r="B1556" s="2">
        <v>45682</v>
      </c>
      <c r="C1556" t="s">
        <v>60</v>
      </c>
      <c r="D1556" t="s">
        <v>61</v>
      </c>
      <c r="E1556">
        <v>0</v>
      </c>
      <c r="F1556">
        <v>4712.88</v>
      </c>
      <c r="G1556" t="s">
        <v>13</v>
      </c>
      <c r="H1556" t="s">
        <v>51</v>
      </c>
      <c r="I1556" t="s">
        <v>3152</v>
      </c>
      <c r="J1556" t="s">
        <v>42</v>
      </c>
      <c r="K1556" s="4">
        <f>VLOOKUP(J1556,Exchange_Rates!A:B,2,FALSE)</f>
        <v>0.66</v>
      </c>
      <c r="L1556" s="4">
        <f t="shared" si="96"/>
        <v>0</v>
      </c>
      <c r="M1556" s="4">
        <f t="shared" si="97"/>
        <v>3110.5008000000003</v>
      </c>
      <c r="N1556" s="4">
        <f t="shared" si="98"/>
        <v>2025</v>
      </c>
      <c r="O1556" s="4">
        <f t="shared" si="99"/>
        <v>1</v>
      </c>
    </row>
    <row r="1557" spans="1:15" x14ac:dyDescent="0.25">
      <c r="A1557" t="s">
        <v>3153</v>
      </c>
      <c r="B1557" s="2">
        <v>45438</v>
      </c>
      <c r="C1557" t="s">
        <v>60</v>
      </c>
      <c r="D1557" t="s">
        <v>61</v>
      </c>
      <c r="E1557">
        <v>0</v>
      </c>
      <c r="F1557">
        <v>2946.82</v>
      </c>
      <c r="G1557" t="s">
        <v>8</v>
      </c>
      <c r="H1557" t="s">
        <v>40</v>
      </c>
      <c r="I1557" t="s">
        <v>3154</v>
      </c>
      <c r="J1557" t="s">
        <v>42</v>
      </c>
      <c r="K1557" s="4">
        <f>VLOOKUP(J1557,Exchange_Rates!A:B,2,FALSE)</f>
        <v>0.66</v>
      </c>
      <c r="L1557" s="4">
        <f t="shared" si="96"/>
        <v>0</v>
      </c>
      <c r="M1557" s="4">
        <f t="shared" si="97"/>
        <v>1944.9012000000002</v>
      </c>
      <c r="N1557" s="4">
        <f t="shared" si="98"/>
        <v>2024</v>
      </c>
      <c r="O1557" s="4">
        <f t="shared" si="99"/>
        <v>2</v>
      </c>
    </row>
    <row r="1558" spans="1:15" x14ac:dyDescent="0.25">
      <c r="A1558" t="s">
        <v>3155</v>
      </c>
      <c r="B1558" s="2">
        <v>45765</v>
      </c>
      <c r="C1558" t="s">
        <v>38</v>
      </c>
      <c r="D1558" t="s">
        <v>39</v>
      </c>
      <c r="E1558">
        <v>1985.74</v>
      </c>
      <c r="F1558">
        <v>0</v>
      </c>
      <c r="G1558" t="s">
        <v>11</v>
      </c>
      <c r="H1558" t="s">
        <v>34</v>
      </c>
      <c r="I1558" t="s">
        <v>3156</v>
      </c>
      <c r="J1558" t="s">
        <v>42</v>
      </c>
      <c r="K1558" s="4">
        <f>VLOOKUP(J1558,Exchange_Rates!A:B,2,FALSE)</f>
        <v>0.66</v>
      </c>
      <c r="L1558" s="4">
        <f t="shared" si="96"/>
        <v>1310.5884000000001</v>
      </c>
      <c r="M1558" s="4">
        <f t="shared" si="97"/>
        <v>0</v>
      </c>
      <c r="N1558" s="4">
        <f t="shared" si="98"/>
        <v>2025</v>
      </c>
      <c r="O1558" s="4">
        <f t="shared" si="99"/>
        <v>2</v>
      </c>
    </row>
    <row r="1559" spans="1:15" x14ac:dyDescent="0.25">
      <c r="A1559" t="s">
        <v>3157</v>
      </c>
      <c r="B1559" s="2">
        <v>45341</v>
      </c>
      <c r="C1559" t="s">
        <v>30</v>
      </c>
      <c r="D1559" t="s">
        <v>31</v>
      </c>
      <c r="E1559">
        <v>1835.61</v>
      </c>
      <c r="F1559">
        <v>0</v>
      </c>
      <c r="G1559" t="s">
        <v>11</v>
      </c>
      <c r="H1559" t="s">
        <v>51</v>
      </c>
      <c r="I1559" t="s">
        <v>3158</v>
      </c>
      <c r="J1559" t="s">
        <v>45</v>
      </c>
      <c r="K1559" s="4">
        <f>VLOOKUP(J1559,Exchange_Rates!A:B,2,FALSE)</f>
        <v>1</v>
      </c>
      <c r="L1559" s="4">
        <f t="shared" si="96"/>
        <v>1835.61</v>
      </c>
      <c r="M1559" s="4">
        <f t="shared" si="97"/>
        <v>0</v>
      </c>
      <c r="N1559" s="4">
        <f t="shared" si="98"/>
        <v>2024</v>
      </c>
      <c r="O1559" s="4">
        <f t="shared" si="99"/>
        <v>1</v>
      </c>
    </row>
    <row r="1560" spans="1:15" x14ac:dyDescent="0.25">
      <c r="A1560" t="s">
        <v>3159</v>
      </c>
      <c r="B1560" s="2">
        <v>45100</v>
      </c>
      <c r="C1560" t="s">
        <v>30</v>
      </c>
      <c r="D1560" t="s">
        <v>31</v>
      </c>
      <c r="E1560">
        <v>509.51</v>
      </c>
      <c r="F1560">
        <v>0</v>
      </c>
      <c r="G1560" t="s">
        <v>8</v>
      </c>
      <c r="H1560" t="s">
        <v>62</v>
      </c>
      <c r="I1560" t="s">
        <v>3160</v>
      </c>
      <c r="J1560" t="s">
        <v>64</v>
      </c>
      <c r="K1560" s="4">
        <f>VLOOKUP(J1560,Exchange_Rates!A:B,2,FALSE)</f>
        <v>0.73</v>
      </c>
      <c r="L1560" s="4">
        <f t="shared" si="96"/>
        <v>371.94229999999999</v>
      </c>
      <c r="M1560" s="4">
        <f t="shared" si="97"/>
        <v>0</v>
      </c>
      <c r="N1560" s="4">
        <f t="shared" si="98"/>
        <v>2023</v>
      </c>
      <c r="O1560" s="4">
        <f t="shared" si="99"/>
        <v>2</v>
      </c>
    </row>
    <row r="1561" spans="1:15" x14ac:dyDescent="0.25">
      <c r="A1561" t="s">
        <v>3161</v>
      </c>
      <c r="B1561" s="2">
        <v>45284</v>
      </c>
      <c r="C1561" t="s">
        <v>60</v>
      </c>
      <c r="D1561" t="s">
        <v>61</v>
      </c>
      <c r="E1561">
        <v>0</v>
      </c>
      <c r="F1561">
        <v>573.51</v>
      </c>
      <c r="G1561" t="s">
        <v>8</v>
      </c>
      <c r="H1561" t="s">
        <v>26</v>
      </c>
      <c r="I1561" t="s">
        <v>3162</v>
      </c>
      <c r="J1561" t="s">
        <v>45</v>
      </c>
      <c r="K1561" s="4">
        <f>VLOOKUP(J1561,Exchange_Rates!A:B,2,FALSE)</f>
        <v>1</v>
      </c>
      <c r="L1561" s="4">
        <f t="shared" si="96"/>
        <v>0</v>
      </c>
      <c r="M1561" s="4">
        <f t="shared" si="97"/>
        <v>573.51</v>
      </c>
      <c r="N1561" s="4">
        <f t="shared" si="98"/>
        <v>2023</v>
      </c>
      <c r="O1561" s="4">
        <f t="shared" si="99"/>
        <v>4</v>
      </c>
    </row>
    <row r="1562" spans="1:15" x14ac:dyDescent="0.25">
      <c r="A1562" t="s">
        <v>3163</v>
      </c>
      <c r="B1562" s="2">
        <v>45462</v>
      </c>
      <c r="C1562" t="s">
        <v>24</v>
      </c>
      <c r="D1562" t="s">
        <v>25</v>
      </c>
      <c r="E1562">
        <v>0</v>
      </c>
      <c r="F1562">
        <v>3740.72</v>
      </c>
      <c r="G1562" t="s">
        <v>12</v>
      </c>
      <c r="H1562" t="s">
        <v>34</v>
      </c>
      <c r="I1562" t="s">
        <v>3164</v>
      </c>
      <c r="J1562" t="s">
        <v>45</v>
      </c>
      <c r="K1562" s="4">
        <f>VLOOKUP(J1562,Exchange_Rates!A:B,2,FALSE)</f>
        <v>1</v>
      </c>
      <c r="L1562" s="4">
        <f t="shared" si="96"/>
        <v>0</v>
      </c>
      <c r="M1562" s="4">
        <f t="shared" si="97"/>
        <v>3740.72</v>
      </c>
      <c r="N1562" s="4">
        <f t="shared" si="98"/>
        <v>2024</v>
      </c>
      <c r="O1562" s="4">
        <f t="shared" si="99"/>
        <v>2</v>
      </c>
    </row>
    <row r="1563" spans="1:15" x14ac:dyDescent="0.25">
      <c r="A1563" t="s">
        <v>3165</v>
      </c>
      <c r="B1563" s="2">
        <v>45049</v>
      </c>
      <c r="C1563" t="s">
        <v>30</v>
      </c>
      <c r="D1563" t="s">
        <v>31</v>
      </c>
      <c r="E1563">
        <v>1930.33</v>
      </c>
      <c r="F1563">
        <v>0</v>
      </c>
      <c r="G1563" t="s">
        <v>10</v>
      </c>
      <c r="H1563" t="s">
        <v>62</v>
      </c>
      <c r="I1563" t="s">
        <v>3166</v>
      </c>
      <c r="J1563" t="s">
        <v>64</v>
      </c>
      <c r="K1563" s="4">
        <f>VLOOKUP(J1563,Exchange_Rates!A:B,2,FALSE)</f>
        <v>0.73</v>
      </c>
      <c r="L1563" s="4">
        <f t="shared" si="96"/>
        <v>1409.1408999999999</v>
      </c>
      <c r="M1563" s="4">
        <f t="shared" si="97"/>
        <v>0</v>
      </c>
      <c r="N1563" s="4">
        <f t="shared" si="98"/>
        <v>2023</v>
      </c>
      <c r="O1563" s="4">
        <f t="shared" si="99"/>
        <v>2</v>
      </c>
    </row>
    <row r="1564" spans="1:15" x14ac:dyDescent="0.25">
      <c r="A1564" t="s">
        <v>3167</v>
      </c>
      <c r="B1564" s="2">
        <v>45276</v>
      </c>
      <c r="C1564" t="s">
        <v>49</v>
      </c>
      <c r="D1564" t="s">
        <v>50</v>
      </c>
      <c r="E1564">
        <v>1936.61</v>
      </c>
      <c r="F1564">
        <v>0</v>
      </c>
      <c r="G1564" t="s">
        <v>8</v>
      </c>
      <c r="H1564" t="s">
        <v>34</v>
      </c>
      <c r="I1564" t="s">
        <v>3168</v>
      </c>
      <c r="J1564" t="s">
        <v>36</v>
      </c>
      <c r="K1564" s="4">
        <f>VLOOKUP(J1564,Exchange_Rates!A:B,2,FALSE)</f>
        <v>1.08</v>
      </c>
      <c r="L1564" s="4">
        <f t="shared" si="96"/>
        <v>2091.5387999999998</v>
      </c>
      <c r="M1564" s="4">
        <f t="shared" si="97"/>
        <v>0</v>
      </c>
      <c r="N1564" s="4">
        <f t="shared" si="98"/>
        <v>2023</v>
      </c>
      <c r="O1564" s="4">
        <f t="shared" si="99"/>
        <v>4</v>
      </c>
    </row>
    <row r="1565" spans="1:15" x14ac:dyDescent="0.25">
      <c r="A1565" t="s">
        <v>3169</v>
      </c>
      <c r="B1565" s="2">
        <v>45592</v>
      </c>
      <c r="C1565" t="s">
        <v>24</v>
      </c>
      <c r="D1565" t="s">
        <v>25</v>
      </c>
      <c r="E1565">
        <v>0</v>
      </c>
      <c r="F1565">
        <v>3625.02</v>
      </c>
      <c r="G1565" t="s">
        <v>8</v>
      </c>
      <c r="H1565" t="s">
        <v>62</v>
      </c>
      <c r="I1565" t="s">
        <v>3170</v>
      </c>
      <c r="J1565" t="s">
        <v>64</v>
      </c>
      <c r="K1565" s="4">
        <f>VLOOKUP(J1565,Exchange_Rates!A:B,2,FALSE)</f>
        <v>0.73</v>
      </c>
      <c r="L1565" s="4">
        <f t="shared" si="96"/>
        <v>0</v>
      </c>
      <c r="M1565" s="4">
        <f t="shared" si="97"/>
        <v>2646.2646</v>
      </c>
      <c r="N1565" s="4">
        <f t="shared" si="98"/>
        <v>2024</v>
      </c>
      <c r="O1565" s="4">
        <f t="shared" si="99"/>
        <v>4</v>
      </c>
    </row>
    <row r="1566" spans="1:15" x14ac:dyDescent="0.25">
      <c r="A1566" t="s">
        <v>3171</v>
      </c>
      <c r="B1566" s="2">
        <v>45332</v>
      </c>
      <c r="C1566" t="s">
        <v>24</v>
      </c>
      <c r="D1566" t="s">
        <v>25</v>
      </c>
      <c r="E1566">
        <v>0</v>
      </c>
      <c r="F1566">
        <v>3348.1</v>
      </c>
      <c r="G1566" t="s">
        <v>12</v>
      </c>
      <c r="H1566" t="s">
        <v>26</v>
      </c>
      <c r="I1566" t="s">
        <v>3172</v>
      </c>
      <c r="J1566" t="s">
        <v>36</v>
      </c>
      <c r="K1566" s="4">
        <f>VLOOKUP(J1566,Exchange_Rates!A:B,2,FALSE)</f>
        <v>1.08</v>
      </c>
      <c r="L1566" s="4">
        <f t="shared" si="96"/>
        <v>0</v>
      </c>
      <c r="M1566" s="4">
        <f t="shared" si="97"/>
        <v>3615.9480000000003</v>
      </c>
      <c r="N1566" s="4">
        <f t="shared" si="98"/>
        <v>2024</v>
      </c>
      <c r="O1566" s="4">
        <f t="shared" si="99"/>
        <v>1</v>
      </c>
    </row>
    <row r="1567" spans="1:15" x14ac:dyDescent="0.25">
      <c r="A1567" t="s">
        <v>3173</v>
      </c>
      <c r="B1567" s="2">
        <v>44939</v>
      </c>
      <c r="C1567" t="s">
        <v>49</v>
      </c>
      <c r="D1567" t="s">
        <v>50</v>
      </c>
      <c r="E1567">
        <v>760.59</v>
      </c>
      <c r="F1567">
        <v>0</v>
      </c>
      <c r="G1567" t="s">
        <v>9</v>
      </c>
      <c r="H1567" t="s">
        <v>40</v>
      </c>
      <c r="I1567" t="s">
        <v>3174</v>
      </c>
      <c r="J1567" t="s">
        <v>64</v>
      </c>
      <c r="K1567" s="4">
        <f>VLOOKUP(J1567,Exchange_Rates!A:B,2,FALSE)</f>
        <v>0.73</v>
      </c>
      <c r="L1567" s="4">
        <f t="shared" si="96"/>
        <v>555.23069999999996</v>
      </c>
      <c r="M1567" s="4">
        <f t="shared" si="97"/>
        <v>0</v>
      </c>
      <c r="N1567" s="4">
        <f t="shared" si="98"/>
        <v>2023</v>
      </c>
      <c r="O1567" s="4">
        <f t="shared" si="99"/>
        <v>1</v>
      </c>
    </row>
    <row r="1568" spans="1:15" x14ac:dyDescent="0.25">
      <c r="A1568" t="s">
        <v>3175</v>
      </c>
      <c r="B1568" s="2">
        <v>45377</v>
      </c>
      <c r="C1568" t="s">
        <v>60</v>
      </c>
      <c r="D1568" t="s">
        <v>61</v>
      </c>
      <c r="E1568">
        <v>0</v>
      </c>
      <c r="F1568">
        <v>3208.4</v>
      </c>
      <c r="G1568" t="s">
        <v>12</v>
      </c>
      <c r="H1568" t="s">
        <v>26</v>
      </c>
      <c r="I1568" t="s">
        <v>3176</v>
      </c>
      <c r="J1568" t="s">
        <v>36</v>
      </c>
      <c r="K1568" s="4">
        <f>VLOOKUP(J1568,Exchange_Rates!A:B,2,FALSE)</f>
        <v>1.08</v>
      </c>
      <c r="L1568" s="4">
        <f t="shared" si="96"/>
        <v>0</v>
      </c>
      <c r="M1568" s="4">
        <f t="shared" si="97"/>
        <v>3465.0720000000001</v>
      </c>
      <c r="N1568" s="4">
        <f t="shared" si="98"/>
        <v>2024</v>
      </c>
      <c r="O1568" s="4">
        <f t="shared" si="99"/>
        <v>1</v>
      </c>
    </row>
    <row r="1569" spans="1:15" x14ac:dyDescent="0.25">
      <c r="A1569" t="s">
        <v>3177</v>
      </c>
      <c r="B1569" s="2">
        <v>45653</v>
      </c>
      <c r="C1569" t="s">
        <v>38</v>
      </c>
      <c r="D1569" t="s">
        <v>39</v>
      </c>
      <c r="E1569">
        <v>420.76</v>
      </c>
      <c r="F1569">
        <v>0</v>
      </c>
      <c r="G1569" t="s">
        <v>12</v>
      </c>
      <c r="H1569" t="s">
        <v>34</v>
      </c>
      <c r="I1569" t="s">
        <v>3178</v>
      </c>
      <c r="J1569" t="s">
        <v>28</v>
      </c>
      <c r="K1569" s="4">
        <f>VLOOKUP(J1569,Exchange_Rates!A:B,2,FALSE)</f>
        <v>1.27</v>
      </c>
      <c r="L1569" s="4">
        <f t="shared" si="96"/>
        <v>534.36519999999996</v>
      </c>
      <c r="M1569" s="4">
        <f t="shared" si="97"/>
        <v>0</v>
      </c>
      <c r="N1569" s="4">
        <f t="shared" si="98"/>
        <v>2024</v>
      </c>
      <c r="O1569" s="4">
        <f t="shared" si="99"/>
        <v>4</v>
      </c>
    </row>
    <row r="1570" spans="1:15" x14ac:dyDescent="0.25">
      <c r="A1570" t="s">
        <v>3179</v>
      </c>
      <c r="B1570" s="2">
        <v>45021</v>
      </c>
      <c r="C1570" t="s">
        <v>49</v>
      </c>
      <c r="D1570" t="s">
        <v>50</v>
      </c>
      <c r="E1570">
        <v>1497.64</v>
      </c>
      <c r="F1570">
        <v>0</v>
      </c>
      <c r="G1570" t="s">
        <v>9</v>
      </c>
      <c r="H1570" t="s">
        <v>40</v>
      </c>
      <c r="I1570" t="s">
        <v>3180</v>
      </c>
      <c r="J1570" t="s">
        <v>45</v>
      </c>
      <c r="K1570" s="4">
        <f>VLOOKUP(J1570,Exchange_Rates!A:B,2,FALSE)</f>
        <v>1</v>
      </c>
      <c r="L1570" s="4">
        <f t="shared" si="96"/>
        <v>1497.64</v>
      </c>
      <c r="M1570" s="4">
        <f t="shared" si="97"/>
        <v>0</v>
      </c>
      <c r="N1570" s="4">
        <f t="shared" si="98"/>
        <v>2023</v>
      </c>
      <c r="O1570" s="4">
        <f t="shared" si="99"/>
        <v>2</v>
      </c>
    </row>
    <row r="1571" spans="1:15" x14ac:dyDescent="0.25">
      <c r="A1571" t="s">
        <v>3181</v>
      </c>
      <c r="B1571" s="2">
        <v>45623</v>
      </c>
      <c r="C1571" t="s">
        <v>60</v>
      </c>
      <c r="D1571" t="s">
        <v>61</v>
      </c>
      <c r="E1571">
        <v>0</v>
      </c>
      <c r="F1571">
        <v>3033.61</v>
      </c>
      <c r="G1571" t="s">
        <v>9</v>
      </c>
      <c r="H1571" t="s">
        <v>62</v>
      </c>
      <c r="I1571" t="s">
        <v>3182</v>
      </c>
      <c r="J1571" t="s">
        <v>28</v>
      </c>
      <c r="K1571" s="4">
        <f>VLOOKUP(J1571,Exchange_Rates!A:B,2,FALSE)</f>
        <v>1.27</v>
      </c>
      <c r="L1571" s="4">
        <f t="shared" si="96"/>
        <v>0</v>
      </c>
      <c r="M1571" s="4">
        <f t="shared" si="97"/>
        <v>3852.6847000000002</v>
      </c>
      <c r="N1571" s="4">
        <f t="shared" si="98"/>
        <v>2024</v>
      </c>
      <c r="O1571" s="4">
        <f t="shared" si="99"/>
        <v>4</v>
      </c>
    </row>
    <row r="1572" spans="1:15" x14ac:dyDescent="0.25">
      <c r="A1572" t="s">
        <v>3183</v>
      </c>
      <c r="B1572" s="2">
        <v>45057</v>
      </c>
      <c r="C1572" t="s">
        <v>24</v>
      </c>
      <c r="D1572" t="s">
        <v>25</v>
      </c>
      <c r="E1572">
        <v>0</v>
      </c>
      <c r="F1572">
        <v>1502.06</v>
      </c>
      <c r="G1572" t="s">
        <v>10</v>
      </c>
      <c r="H1572" t="s">
        <v>34</v>
      </c>
      <c r="I1572" t="s">
        <v>3184</v>
      </c>
      <c r="J1572" t="s">
        <v>42</v>
      </c>
      <c r="K1572" s="4">
        <f>VLOOKUP(J1572,Exchange_Rates!A:B,2,FALSE)</f>
        <v>0.66</v>
      </c>
      <c r="L1572" s="4">
        <f t="shared" si="96"/>
        <v>0</v>
      </c>
      <c r="M1572" s="4">
        <f t="shared" si="97"/>
        <v>991.3596</v>
      </c>
      <c r="N1572" s="4">
        <f t="shared" si="98"/>
        <v>2023</v>
      </c>
      <c r="O1572" s="4">
        <f t="shared" si="99"/>
        <v>2</v>
      </c>
    </row>
    <row r="1573" spans="1:15" x14ac:dyDescent="0.25">
      <c r="A1573" t="s">
        <v>3185</v>
      </c>
      <c r="B1573" s="2">
        <v>45486</v>
      </c>
      <c r="C1573" t="s">
        <v>30</v>
      </c>
      <c r="D1573" t="s">
        <v>31</v>
      </c>
      <c r="E1573">
        <v>532.65</v>
      </c>
      <c r="F1573">
        <v>0</v>
      </c>
      <c r="G1573" t="s">
        <v>10</v>
      </c>
      <c r="H1573" t="s">
        <v>40</v>
      </c>
      <c r="I1573" t="s">
        <v>3186</v>
      </c>
      <c r="J1573" t="s">
        <v>28</v>
      </c>
      <c r="K1573" s="4">
        <f>VLOOKUP(J1573,Exchange_Rates!A:B,2,FALSE)</f>
        <v>1.27</v>
      </c>
      <c r="L1573" s="4">
        <f t="shared" si="96"/>
        <v>676.46550000000002</v>
      </c>
      <c r="M1573" s="4">
        <f t="shared" si="97"/>
        <v>0</v>
      </c>
      <c r="N1573" s="4">
        <f t="shared" si="98"/>
        <v>2024</v>
      </c>
      <c r="O1573" s="4">
        <f t="shared" si="99"/>
        <v>3</v>
      </c>
    </row>
    <row r="1574" spans="1:15" x14ac:dyDescent="0.25">
      <c r="A1574" t="s">
        <v>3187</v>
      </c>
      <c r="B1574" s="2">
        <v>45705</v>
      </c>
      <c r="C1574" t="s">
        <v>60</v>
      </c>
      <c r="D1574" t="s">
        <v>61</v>
      </c>
      <c r="E1574">
        <v>0</v>
      </c>
      <c r="F1574">
        <v>4109.07</v>
      </c>
      <c r="G1574" t="s">
        <v>11</v>
      </c>
      <c r="H1574" t="s">
        <v>62</v>
      </c>
      <c r="I1574" t="s">
        <v>3188</v>
      </c>
      <c r="J1574" t="s">
        <v>42</v>
      </c>
      <c r="K1574" s="4">
        <f>VLOOKUP(J1574,Exchange_Rates!A:B,2,FALSE)</f>
        <v>0.66</v>
      </c>
      <c r="L1574" s="4">
        <f t="shared" si="96"/>
        <v>0</v>
      </c>
      <c r="M1574" s="4">
        <f t="shared" si="97"/>
        <v>2711.9861999999998</v>
      </c>
      <c r="N1574" s="4">
        <f t="shared" si="98"/>
        <v>2025</v>
      </c>
      <c r="O1574" s="4">
        <f t="shared" si="99"/>
        <v>1</v>
      </c>
    </row>
    <row r="1575" spans="1:15" x14ac:dyDescent="0.25">
      <c r="A1575" t="s">
        <v>3189</v>
      </c>
      <c r="B1575" s="2">
        <v>45018</v>
      </c>
      <c r="C1575" t="s">
        <v>24</v>
      </c>
      <c r="D1575" t="s">
        <v>25</v>
      </c>
      <c r="E1575">
        <v>0</v>
      </c>
      <c r="F1575">
        <v>3235.61</v>
      </c>
      <c r="G1575" t="s">
        <v>10</v>
      </c>
      <c r="H1575" t="s">
        <v>26</v>
      </c>
      <c r="I1575" t="s">
        <v>3190</v>
      </c>
      <c r="J1575" t="s">
        <v>42</v>
      </c>
      <c r="K1575" s="4">
        <f>VLOOKUP(J1575,Exchange_Rates!A:B,2,FALSE)</f>
        <v>0.66</v>
      </c>
      <c r="L1575" s="4">
        <f t="shared" si="96"/>
        <v>0</v>
      </c>
      <c r="M1575" s="4">
        <f t="shared" si="97"/>
        <v>2135.5026000000003</v>
      </c>
      <c r="N1575" s="4">
        <f t="shared" si="98"/>
        <v>2023</v>
      </c>
      <c r="O1575" s="4">
        <f t="shared" si="99"/>
        <v>2</v>
      </c>
    </row>
    <row r="1576" spans="1:15" x14ac:dyDescent="0.25">
      <c r="A1576" t="s">
        <v>3191</v>
      </c>
      <c r="B1576" s="2">
        <v>45770</v>
      </c>
      <c r="C1576" t="s">
        <v>30</v>
      </c>
      <c r="D1576" t="s">
        <v>31</v>
      </c>
      <c r="E1576">
        <v>1836.46</v>
      </c>
      <c r="F1576">
        <v>0</v>
      </c>
      <c r="G1576" t="s">
        <v>12</v>
      </c>
      <c r="H1576" t="s">
        <v>26</v>
      </c>
      <c r="I1576" t="s">
        <v>3192</v>
      </c>
      <c r="J1576" t="s">
        <v>45</v>
      </c>
      <c r="K1576" s="4">
        <f>VLOOKUP(J1576,Exchange_Rates!A:B,2,FALSE)</f>
        <v>1</v>
      </c>
      <c r="L1576" s="4">
        <f t="shared" si="96"/>
        <v>1836.46</v>
      </c>
      <c r="M1576" s="4">
        <f t="shared" si="97"/>
        <v>0</v>
      </c>
      <c r="N1576" s="4">
        <f t="shared" si="98"/>
        <v>2025</v>
      </c>
      <c r="O1576" s="4">
        <f t="shared" si="99"/>
        <v>2</v>
      </c>
    </row>
    <row r="1577" spans="1:15" x14ac:dyDescent="0.25">
      <c r="A1577" t="s">
        <v>3193</v>
      </c>
      <c r="B1577" s="2">
        <v>45038</v>
      </c>
      <c r="C1577" t="s">
        <v>38</v>
      </c>
      <c r="D1577" t="s">
        <v>39</v>
      </c>
      <c r="E1577">
        <v>1120.92</v>
      </c>
      <c r="F1577">
        <v>0</v>
      </c>
      <c r="G1577" t="s">
        <v>8</v>
      </c>
      <c r="H1577" t="s">
        <v>34</v>
      </c>
      <c r="I1577" t="s">
        <v>3194</v>
      </c>
      <c r="J1577" t="s">
        <v>64</v>
      </c>
      <c r="K1577" s="4">
        <f>VLOOKUP(J1577,Exchange_Rates!A:B,2,FALSE)</f>
        <v>0.73</v>
      </c>
      <c r="L1577" s="4">
        <f t="shared" si="96"/>
        <v>818.27160000000003</v>
      </c>
      <c r="M1577" s="4">
        <f t="shared" si="97"/>
        <v>0</v>
      </c>
      <c r="N1577" s="4">
        <f t="shared" si="98"/>
        <v>2023</v>
      </c>
      <c r="O1577" s="4">
        <f t="shared" si="99"/>
        <v>2</v>
      </c>
    </row>
    <row r="1578" spans="1:15" x14ac:dyDescent="0.25">
      <c r="A1578" t="s">
        <v>3195</v>
      </c>
      <c r="B1578" s="2">
        <v>45738</v>
      </c>
      <c r="C1578" t="s">
        <v>60</v>
      </c>
      <c r="D1578" t="s">
        <v>61</v>
      </c>
      <c r="E1578">
        <v>0</v>
      </c>
      <c r="F1578">
        <v>4622.21</v>
      </c>
      <c r="G1578" t="s">
        <v>10</v>
      </c>
      <c r="H1578" t="s">
        <v>40</v>
      </c>
      <c r="I1578" t="s">
        <v>3196</v>
      </c>
      <c r="J1578" t="s">
        <v>45</v>
      </c>
      <c r="K1578" s="4">
        <f>VLOOKUP(J1578,Exchange_Rates!A:B,2,FALSE)</f>
        <v>1</v>
      </c>
      <c r="L1578" s="4">
        <f t="shared" si="96"/>
        <v>0</v>
      </c>
      <c r="M1578" s="4">
        <f t="shared" si="97"/>
        <v>4622.21</v>
      </c>
      <c r="N1578" s="4">
        <f t="shared" si="98"/>
        <v>2025</v>
      </c>
      <c r="O1578" s="4">
        <f t="shared" si="99"/>
        <v>1</v>
      </c>
    </row>
    <row r="1579" spans="1:15" x14ac:dyDescent="0.25">
      <c r="A1579" t="s">
        <v>3197</v>
      </c>
      <c r="B1579" s="2">
        <v>45267</v>
      </c>
      <c r="C1579" t="s">
        <v>49</v>
      </c>
      <c r="D1579" t="s">
        <v>50</v>
      </c>
      <c r="E1579">
        <v>1067.19</v>
      </c>
      <c r="F1579">
        <v>0</v>
      </c>
      <c r="G1579" t="s">
        <v>9</v>
      </c>
      <c r="H1579" t="s">
        <v>40</v>
      </c>
      <c r="I1579" t="s">
        <v>3198</v>
      </c>
      <c r="J1579" t="s">
        <v>45</v>
      </c>
      <c r="K1579" s="4">
        <f>VLOOKUP(J1579,Exchange_Rates!A:B,2,FALSE)</f>
        <v>1</v>
      </c>
      <c r="L1579" s="4">
        <f t="shared" si="96"/>
        <v>1067.19</v>
      </c>
      <c r="M1579" s="4">
        <f t="shared" si="97"/>
        <v>0</v>
      </c>
      <c r="N1579" s="4">
        <f t="shared" si="98"/>
        <v>2023</v>
      </c>
      <c r="O1579" s="4">
        <f t="shared" si="99"/>
        <v>4</v>
      </c>
    </row>
    <row r="1580" spans="1:15" x14ac:dyDescent="0.25">
      <c r="A1580" t="s">
        <v>3199</v>
      </c>
      <c r="B1580" s="2">
        <v>45368</v>
      </c>
      <c r="C1580" t="s">
        <v>49</v>
      </c>
      <c r="D1580" t="s">
        <v>50</v>
      </c>
      <c r="E1580">
        <v>1712.89</v>
      </c>
      <c r="F1580">
        <v>0</v>
      </c>
      <c r="G1580" t="s">
        <v>13</v>
      </c>
      <c r="H1580" t="s">
        <v>62</v>
      </c>
      <c r="I1580" t="s">
        <v>3200</v>
      </c>
      <c r="J1580" t="s">
        <v>64</v>
      </c>
      <c r="K1580" s="4">
        <f>VLOOKUP(J1580,Exchange_Rates!A:B,2,FALSE)</f>
        <v>0.73</v>
      </c>
      <c r="L1580" s="4">
        <f t="shared" si="96"/>
        <v>1250.4096999999999</v>
      </c>
      <c r="M1580" s="4">
        <f t="shared" si="97"/>
        <v>0</v>
      </c>
      <c r="N1580" s="4">
        <f t="shared" si="98"/>
        <v>2024</v>
      </c>
      <c r="O1580" s="4">
        <f t="shared" si="99"/>
        <v>1</v>
      </c>
    </row>
    <row r="1581" spans="1:15" x14ac:dyDescent="0.25">
      <c r="A1581" t="s">
        <v>3201</v>
      </c>
      <c r="B1581" s="2">
        <v>45356</v>
      </c>
      <c r="C1581" t="s">
        <v>49</v>
      </c>
      <c r="D1581" t="s">
        <v>50</v>
      </c>
      <c r="E1581">
        <v>857.16</v>
      </c>
      <c r="F1581">
        <v>0</v>
      </c>
      <c r="G1581" t="s">
        <v>9</v>
      </c>
      <c r="H1581" t="s">
        <v>62</v>
      </c>
      <c r="I1581" t="s">
        <v>3202</v>
      </c>
      <c r="J1581" t="s">
        <v>42</v>
      </c>
      <c r="K1581" s="4">
        <f>VLOOKUP(J1581,Exchange_Rates!A:B,2,FALSE)</f>
        <v>0.66</v>
      </c>
      <c r="L1581" s="4">
        <f t="shared" si="96"/>
        <v>565.72559999999999</v>
      </c>
      <c r="M1581" s="4">
        <f t="shared" si="97"/>
        <v>0</v>
      </c>
      <c r="N1581" s="4">
        <f t="shared" si="98"/>
        <v>2024</v>
      </c>
      <c r="O1581" s="4">
        <f t="shared" si="99"/>
        <v>1</v>
      </c>
    </row>
    <row r="1582" spans="1:15" x14ac:dyDescent="0.25">
      <c r="A1582" t="s">
        <v>3203</v>
      </c>
      <c r="B1582" s="2">
        <v>45817</v>
      </c>
      <c r="C1582" t="s">
        <v>60</v>
      </c>
      <c r="D1582" t="s">
        <v>61</v>
      </c>
      <c r="E1582">
        <v>0</v>
      </c>
      <c r="F1582">
        <v>1913.45</v>
      </c>
      <c r="G1582" t="s">
        <v>13</v>
      </c>
      <c r="H1582" t="s">
        <v>34</v>
      </c>
      <c r="I1582" t="s">
        <v>3204</v>
      </c>
      <c r="J1582" t="s">
        <v>28</v>
      </c>
      <c r="K1582" s="4">
        <f>VLOOKUP(J1582,Exchange_Rates!A:B,2,FALSE)</f>
        <v>1.27</v>
      </c>
      <c r="L1582" s="4">
        <f t="shared" si="96"/>
        <v>0</v>
      </c>
      <c r="M1582" s="4">
        <f t="shared" si="97"/>
        <v>2430.0815000000002</v>
      </c>
      <c r="N1582" s="4">
        <f t="shared" si="98"/>
        <v>2025</v>
      </c>
      <c r="O1582" s="4">
        <f t="shared" si="99"/>
        <v>2</v>
      </c>
    </row>
    <row r="1583" spans="1:15" x14ac:dyDescent="0.25">
      <c r="A1583" t="s">
        <v>3205</v>
      </c>
      <c r="B1583" s="2">
        <v>45156</v>
      </c>
      <c r="C1583" t="s">
        <v>30</v>
      </c>
      <c r="D1583" t="s">
        <v>31</v>
      </c>
      <c r="E1583">
        <v>1307.6099999999999</v>
      </c>
      <c r="F1583">
        <v>0</v>
      </c>
      <c r="G1583" t="s">
        <v>9</v>
      </c>
      <c r="H1583" t="s">
        <v>51</v>
      </c>
      <c r="I1583" t="s">
        <v>3206</v>
      </c>
      <c r="J1583" t="s">
        <v>28</v>
      </c>
      <c r="K1583" s="4">
        <f>VLOOKUP(J1583,Exchange_Rates!A:B,2,FALSE)</f>
        <v>1.27</v>
      </c>
      <c r="L1583" s="4">
        <f t="shared" si="96"/>
        <v>1660.6646999999998</v>
      </c>
      <c r="M1583" s="4">
        <f t="shared" si="97"/>
        <v>0</v>
      </c>
      <c r="N1583" s="4">
        <f t="shared" si="98"/>
        <v>2023</v>
      </c>
      <c r="O1583" s="4">
        <f t="shared" si="99"/>
        <v>3</v>
      </c>
    </row>
    <row r="1584" spans="1:15" x14ac:dyDescent="0.25">
      <c r="A1584" t="s">
        <v>3207</v>
      </c>
      <c r="B1584" s="2">
        <v>45438</v>
      </c>
      <c r="C1584" t="s">
        <v>24</v>
      </c>
      <c r="D1584" t="s">
        <v>25</v>
      </c>
      <c r="E1584">
        <v>0</v>
      </c>
      <c r="F1584">
        <v>1128.51</v>
      </c>
      <c r="G1584" t="s">
        <v>13</v>
      </c>
      <c r="H1584" t="s">
        <v>62</v>
      </c>
      <c r="I1584" t="s">
        <v>3208</v>
      </c>
      <c r="J1584" t="s">
        <v>42</v>
      </c>
      <c r="K1584" s="4">
        <f>VLOOKUP(J1584,Exchange_Rates!A:B,2,FALSE)</f>
        <v>0.66</v>
      </c>
      <c r="L1584" s="4">
        <f t="shared" si="96"/>
        <v>0</v>
      </c>
      <c r="M1584" s="4">
        <f t="shared" si="97"/>
        <v>744.81659999999999</v>
      </c>
      <c r="N1584" s="4">
        <f t="shared" si="98"/>
        <v>2024</v>
      </c>
      <c r="O1584" s="4">
        <f t="shared" si="99"/>
        <v>2</v>
      </c>
    </row>
    <row r="1585" spans="1:15" x14ac:dyDescent="0.25">
      <c r="A1585" t="s">
        <v>3209</v>
      </c>
      <c r="B1585" s="2">
        <v>45252</v>
      </c>
      <c r="C1585" t="s">
        <v>24</v>
      </c>
      <c r="D1585" t="s">
        <v>25</v>
      </c>
      <c r="E1585">
        <v>0</v>
      </c>
      <c r="F1585">
        <v>1933.41</v>
      </c>
      <c r="G1585" t="s">
        <v>13</v>
      </c>
      <c r="H1585" t="s">
        <v>34</v>
      </c>
      <c r="I1585" t="s">
        <v>3210</v>
      </c>
      <c r="J1585" t="s">
        <v>64</v>
      </c>
      <c r="K1585" s="4">
        <f>VLOOKUP(J1585,Exchange_Rates!A:B,2,FALSE)</f>
        <v>0.73</v>
      </c>
      <c r="L1585" s="4">
        <f t="shared" si="96"/>
        <v>0</v>
      </c>
      <c r="M1585" s="4">
        <f t="shared" si="97"/>
        <v>1411.3893</v>
      </c>
      <c r="N1585" s="4">
        <f t="shared" si="98"/>
        <v>2023</v>
      </c>
      <c r="O1585" s="4">
        <f t="shared" si="99"/>
        <v>4</v>
      </c>
    </row>
    <row r="1586" spans="1:15" x14ac:dyDescent="0.25">
      <c r="A1586" t="s">
        <v>3211</v>
      </c>
      <c r="B1586" s="2">
        <v>45755</v>
      </c>
      <c r="C1586" t="s">
        <v>49</v>
      </c>
      <c r="D1586" t="s">
        <v>50</v>
      </c>
      <c r="E1586">
        <v>203.77</v>
      </c>
      <c r="F1586">
        <v>0</v>
      </c>
      <c r="G1586" t="s">
        <v>13</v>
      </c>
      <c r="H1586" t="s">
        <v>40</v>
      </c>
      <c r="I1586" t="s">
        <v>3212</v>
      </c>
      <c r="J1586" t="s">
        <v>64</v>
      </c>
      <c r="K1586" s="4">
        <f>VLOOKUP(J1586,Exchange_Rates!A:B,2,FALSE)</f>
        <v>0.73</v>
      </c>
      <c r="L1586" s="4">
        <f t="shared" si="96"/>
        <v>148.75210000000001</v>
      </c>
      <c r="M1586" s="4">
        <f t="shared" si="97"/>
        <v>0</v>
      </c>
      <c r="N1586" s="4">
        <f t="shared" si="98"/>
        <v>2025</v>
      </c>
      <c r="O1586" s="4">
        <f t="shared" si="99"/>
        <v>2</v>
      </c>
    </row>
    <row r="1587" spans="1:15" x14ac:dyDescent="0.25">
      <c r="A1587" t="s">
        <v>3213</v>
      </c>
      <c r="B1587" s="2">
        <v>45465</v>
      </c>
      <c r="C1587" t="s">
        <v>60</v>
      </c>
      <c r="D1587" t="s">
        <v>61</v>
      </c>
      <c r="E1587">
        <v>0</v>
      </c>
      <c r="F1587">
        <v>3874.96</v>
      </c>
      <c r="G1587" t="s">
        <v>8</v>
      </c>
      <c r="H1587" t="s">
        <v>34</v>
      </c>
      <c r="I1587" t="s">
        <v>3214</v>
      </c>
      <c r="J1587" t="s">
        <v>45</v>
      </c>
      <c r="K1587" s="4">
        <f>VLOOKUP(J1587,Exchange_Rates!A:B,2,FALSE)</f>
        <v>1</v>
      </c>
      <c r="L1587" s="4">
        <f t="shared" si="96"/>
        <v>0</v>
      </c>
      <c r="M1587" s="4">
        <f t="shared" si="97"/>
        <v>3874.96</v>
      </c>
      <c r="N1587" s="4">
        <f t="shared" si="98"/>
        <v>2024</v>
      </c>
      <c r="O1587" s="4">
        <f t="shared" si="99"/>
        <v>2</v>
      </c>
    </row>
    <row r="1588" spans="1:15" x14ac:dyDescent="0.25">
      <c r="A1588" t="s">
        <v>3215</v>
      </c>
      <c r="B1588" s="2">
        <v>45071</v>
      </c>
      <c r="C1588" t="s">
        <v>49</v>
      </c>
      <c r="D1588" t="s">
        <v>50</v>
      </c>
      <c r="E1588">
        <v>369.39</v>
      </c>
      <c r="F1588">
        <v>0</v>
      </c>
      <c r="G1588" t="s">
        <v>10</v>
      </c>
      <c r="H1588" t="s">
        <v>62</v>
      </c>
      <c r="I1588" t="s">
        <v>3216</v>
      </c>
      <c r="J1588" t="s">
        <v>45</v>
      </c>
      <c r="K1588" s="4">
        <f>VLOOKUP(J1588,Exchange_Rates!A:B,2,FALSE)</f>
        <v>1</v>
      </c>
      <c r="L1588" s="4">
        <f t="shared" si="96"/>
        <v>369.39</v>
      </c>
      <c r="M1588" s="4">
        <f t="shared" si="97"/>
        <v>0</v>
      </c>
      <c r="N1588" s="4">
        <f t="shared" si="98"/>
        <v>2023</v>
      </c>
      <c r="O1588" s="4">
        <f t="shared" si="99"/>
        <v>2</v>
      </c>
    </row>
    <row r="1589" spans="1:15" x14ac:dyDescent="0.25">
      <c r="A1589" t="s">
        <v>3217</v>
      </c>
      <c r="B1589" s="2">
        <v>45602</v>
      </c>
      <c r="C1589" t="s">
        <v>24</v>
      </c>
      <c r="D1589" t="s">
        <v>25</v>
      </c>
      <c r="E1589">
        <v>0</v>
      </c>
      <c r="F1589">
        <v>4685.3599999999997</v>
      </c>
      <c r="G1589" t="s">
        <v>13</v>
      </c>
      <c r="H1589" t="s">
        <v>51</v>
      </c>
      <c r="I1589" t="s">
        <v>3218</v>
      </c>
      <c r="J1589" t="s">
        <v>64</v>
      </c>
      <c r="K1589" s="4">
        <f>VLOOKUP(J1589,Exchange_Rates!A:B,2,FALSE)</f>
        <v>0.73</v>
      </c>
      <c r="L1589" s="4">
        <f t="shared" si="96"/>
        <v>0</v>
      </c>
      <c r="M1589" s="4">
        <f t="shared" si="97"/>
        <v>3420.3127999999997</v>
      </c>
      <c r="N1589" s="4">
        <f t="shared" si="98"/>
        <v>2024</v>
      </c>
      <c r="O1589" s="4">
        <f t="shared" si="99"/>
        <v>4</v>
      </c>
    </row>
    <row r="1590" spans="1:15" x14ac:dyDescent="0.25">
      <c r="A1590" t="s">
        <v>3219</v>
      </c>
      <c r="B1590" s="2">
        <v>45360</v>
      </c>
      <c r="C1590" t="s">
        <v>38</v>
      </c>
      <c r="D1590" t="s">
        <v>39</v>
      </c>
      <c r="E1590">
        <v>1614.34</v>
      </c>
      <c r="F1590">
        <v>0</v>
      </c>
      <c r="G1590" t="s">
        <v>11</v>
      </c>
      <c r="H1590" t="s">
        <v>40</v>
      </c>
      <c r="I1590" t="s">
        <v>3220</v>
      </c>
      <c r="J1590" t="s">
        <v>45</v>
      </c>
      <c r="K1590" s="4">
        <f>VLOOKUP(J1590,Exchange_Rates!A:B,2,FALSE)</f>
        <v>1</v>
      </c>
      <c r="L1590" s="4">
        <f t="shared" si="96"/>
        <v>1614.34</v>
      </c>
      <c r="M1590" s="4">
        <f t="shared" si="97"/>
        <v>0</v>
      </c>
      <c r="N1590" s="4">
        <f t="shared" si="98"/>
        <v>2024</v>
      </c>
      <c r="O1590" s="4">
        <f t="shared" si="99"/>
        <v>1</v>
      </c>
    </row>
    <row r="1591" spans="1:15" x14ac:dyDescent="0.25">
      <c r="A1591" t="s">
        <v>3221</v>
      </c>
      <c r="B1591" s="2">
        <v>45743</v>
      </c>
      <c r="C1591" t="s">
        <v>38</v>
      </c>
      <c r="D1591" t="s">
        <v>39</v>
      </c>
      <c r="E1591">
        <v>1072.1199999999999</v>
      </c>
      <c r="F1591">
        <v>0</v>
      </c>
      <c r="G1591" t="s">
        <v>12</v>
      </c>
      <c r="H1591" t="s">
        <v>62</v>
      </c>
      <c r="I1591" t="s">
        <v>3222</v>
      </c>
      <c r="J1591" t="s">
        <v>45</v>
      </c>
      <c r="K1591" s="4">
        <f>VLOOKUP(J1591,Exchange_Rates!A:B,2,FALSE)</f>
        <v>1</v>
      </c>
      <c r="L1591" s="4">
        <f t="shared" si="96"/>
        <v>1072.1199999999999</v>
      </c>
      <c r="M1591" s="4">
        <f t="shared" si="97"/>
        <v>0</v>
      </c>
      <c r="N1591" s="4">
        <f t="shared" si="98"/>
        <v>2025</v>
      </c>
      <c r="O1591" s="4">
        <f t="shared" si="99"/>
        <v>1</v>
      </c>
    </row>
    <row r="1592" spans="1:15" x14ac:dyDescent="0.25">
      <c r="A1592" t="s">
        <v>3223</v>
      </c>
      <c r="B1592" s="2">
        <v>45049</v>
      </c>
      <c r="C1592" t="s">
        <v>30</v>
      </c>
      <c r="D1592" t="s">
        <v>31</v>
      </c>
      <c r="E1592">
        <v>889.83</v>
      </c>
      <c r="F1592">
        <v>0</v>
      </c>
      <c r="G1592" t="s">
        <v>9</v>
      </c>
      <c r="H1592" t="s">
        <v>34</v>
      </c>
      <c r="I1592" t="s">
        <v>3224</v>
      </c>
      <c r="J1592" t="s">
        <v>36</v>
      </c>
      <c r="K1592" s="4">
        <f>VLOOKUP(J1592,Exchange_Rates!A:B,2,FALSE)</f>
        <v>1.08</v>
      </c>
      <c r="L1592" s="4">
        <f t="shared" si="96"/>
        <v>961.01640000000009</v>
      </c>
      <c r="M1592" s="4">
        <f t="shared" si="97"/>
        <v>0</v>
      </c>
      <c r="N1592" s="4">
        <f t="shared" si="98"/>
        <v>2023</v>
      </c>
      <c r="O1592" s="4">
        <f t="shared" si="99"/>
        <v>2</v>
      </c>
    </row>
    <row r="1593" spans="1:15" x14ac:dyDescent="0.25">
      <c r="A1593" t="s">
        <v>3225</v>
      </c>
      <c r="B1593" s="2">
        <v>45073</v>
      </c>
      <c r="C1593" t="s">
        <v>24</v>
      </c>
      <c r="D1593" t="s">
        <v>25</v>
      </c>
      <c r="E1593">
        <v>0</v>
      </c>
      <c r="F1593">
        <v>174.81</v>
      </c>
      <c r="G1593" t="s">
        <v>11</v>
      </c>
      <c r="H1593" t="s">
        <v>62</v>
      </c>
      <c r="I1593" t="s">
        <v>3226</v>
      </c>
      <c r="J1593" t="s">
        <v>64</v>
      </c>
      <c r="K1593" s="4">
        <f>VLOOKUP(J1593,Exchange_Rates!A:B,2,FALSE)</f>
        <v>0.73</v>
      </c>
      <c r="L1593" s="4">
        <f t="shared" si="96"/>
        <v>0</v>
      </c>
      <c r="M1593" s="4">
        <f t="shared" si="97"/>
        <v>127.6113</v>
      </c>
      <c r="N1593" s="4">
        <f t="shared" si="98"/>
        <v>2023</v>
      </c>
      <c r="O1593" s="4">
        <f t="shared" si="99"/>
        <v>2</v>
      </c>
    </row>
    <row r="1594" spans="1:15" x14ac:dyDescent="0.25">
      <c r="A1594" t="s">
        <v>3227</v>
      </c>
      <c r="B1594" s="2">
        <v>45257</v>
      </c>
      <c r="C1594" t="s">
        <v>60</v>
      </c>
      <c r="D1594" t="s">
        <v>61</v>
      </c>
      <c r="E1594">
        <v>0</v>
      </c>
      <c r="F1594">
        <v>3155.54</v>
      </c>
      <c r="G1594" t="s">
        <v>8</v>
      </c>
      <c r="H1594" t="s">
        <v>34</v>
      </c>
      <c r="I1594" t="s">
        <v>3228</v>
      </c>
      <c r="J1594" t="s">
        <v>42</v>
      </c>
      <c r="K1594" s="4">
        <f>VLOOKUP(J1594,Exchange_Rates!A:B,2,FALSE)</f>
        <v>0.66</v>
      </c>
      <c r="L1594" s="4">
        <f t="shared" si="96"/>
        <v>0</v>
      </c>
      <c r="M1594" s="4">
        <f t="shared" si="97"/>
        <v>2082.6563999999998</v>
      </c>
      <c r="N1594" s="4">
        <f t="shared" si="98"/>
        <v>2023</v>
      </c>
      <c r="O1594" s="4">
        <f t="shared" si="99"/>
        <v>4</v>
      </c>
    </row>
    <row r="1595" spans="1:15" x14ac:dyDescent="0.25">
      <c r="A1595" t="s">
        <v>3229</v>
      </c>
      <c r="B1595" s="2">
        <v>45172</v>
      </c>
      <c r="C1595" t="s">
        <v>60</v>
      </c>
      <c r="D1595" t="s">
        <v>61</v>
      </c>
      <c r="E1595">
        <v>0</v>
      </c>
      <c r="F1595">
        <v>1925.54</v>
      </c>
      <c r="G1595" t="s">
        <v>9</v>
      </c>
      <c r="H1595" t="s">
        <v>34</v>
      </c>
      <c r="I1595" t="s">
        <v>3230</v>
      </c>
      <c r="J1595" t="s">
        <v>42</v>
      </c>
      <c r="K1595" s="4">
        <f>VLOOKUP(J1595,Exchange_Rates!A:B,2,FALSE)</f>
        <v>0.66</v>
      </c>
      <c r="L1595" s="4">
        <f t="shared" si="96"/>
        <v>0</v>
      </c>
      <c r="M1595" s="4">
        <f t="shared" si="97"/>
        <v>1270.8564000000001</v>
      </c>
      <c r="N1595" s="4">
        <f t="shared" si="98"/>
        <v>2023</v>
      </c>
      <c r="O1595" s="4">
        <f t="shared" si="99"/>
        <v>3</v>
      </c>
    </row>
    <row r="1596" spans="1:15" x14ac:dyDescent="0.25">
      <c r="A1596" t="s">
        <v>3231</v>
      </c>
      <c r="B1596" s="2">
        <v>45595</v>
      </c>
      <c r="C1596" t="s">
        <v>38</v>
      </c>
      <c r="D1596" t="s">
        <v>39</v>
      </c>
      <c r="E1596">
        <v>1203.3399999999999</v>
      </c>
      <c r="F1596">
        <v>0</v>
      </c>
      <c r="G1596" t="s">
        <v>12</v>
      </c>
      <c r="H1596" t="s">
        <v>40</v>
      </c>
      <c r="I1596" t="s">
        <v>3232</v>
      </c>
      <c r="J1596" t="s">
        <v>45</v>
      </c>
      <c r="K1596" s="4">
        <f>VLOOKUP(J1596,Exchange_Rates!A:B,2,FALSE)</f>
        <v>1</v>
      </c>
      <c r="L1596" s="4">
        <f t="shared" si="96"/>
        <v>1203.3399999999999</v>
      </c>
      <c r="M1596" s="4">
        <f t="shared" si="97"/>
        <v>0</v>
      </c>
      <c r="N1596" s="4">
        <f t="shared" si="98"/>
        <v>2024</v>
      </c>
      <c r="O1596" s="4">
        <f t="shared" si="99"/>
        <v>4</v>
      </c>
    </row>
    <row r="1597" spans="1:15" x14ac:dyDescent="0.25">
      <c r="A1597" t="s">
        <v>3233</v>
      </c>
      <c r="B1597" s="2">
        <v>45614</v>
      </c>
      <c r="C1597" t="s">
        <v>38</v>
      </c>
      <c r="D1597" t="s">
        <v>39</v>
      </c>
      <c r="E1597">
        <v>1776.59</v>
      </c>
      <c r="F1597">
        <v>0</v>
      </c>
      <c r="G1597" t="s">
        <v>12</v>
      </c>
      <c r="H1597" t="s">
        <v>40</v>
      </c>
      <c r="I1597" t="s">
        <v>3234</v>
      </c>
      <c r="J1597" t="s">
        <v>36</v>
      </c>
      <c r="K1597" s="4">
        <f>VLOOKUP(J1597,Exchange_Rates!A:B,2,FALSE)</f>
        <v>1.08</v>
      </c>
      <c r="L1597" s="4">
        <f t="shared" si="96"/>
        <v>1918.7172</v>
      </c>
      <c r="M1597" s="4">
        <f t="shared" si="97"/>
        <v>0</v>
      </c>
      <c r="N1597" s="4">
        <f t="shared" si="98"/>
        <v>2024</v>
      </c>
      <c r="O1597" s="4">
        <f t="shared" si="99"/>
        <v>4</v>
      </c>
    </row>
    <row r="1598" spans="1:15" x14ac:dyDescent="0.25">
      <c r="A1598" t="s">
        <v>3235</v>
      </c>
      <c r="B1598" s="2">
        <v>45009</v>
      </c>
      <c r="C1598" t="s">
        <v>30</v>
      </c>
      <c r="D1598" t="s">
        <v>31</v>
      </c>
      <c r="E1598">
        <v>1588.81</v>
      </c>
      <c r="F1598">
        <v>0</v>
      </c>
      <c r="G1598" t="s">
        <v>10</v>
      </c>
      <c r="H1598" t="s">
        <v>26</v>
      </c>
      <c r="I1598" t="s">
        <v>3236</v>
      </c>
      <c r="J1598" t="s">
        <v>45</v>
      </c>
      <c r="K1598" s="4">
        <f>VLOOKUP(J1598,Exchange_Rates!A:B,2,FALSE)</f>
        <v>1</v>
      </c>
      <c r="L1598" s="4">
        <f t="shared" si="96"/>
        <v>1588.81</v>
      </c>
      <c r="M1598" s="4">
        <f t="shared" si="97"/>
        <v>0</v>
      </c>
      <c r="N1598" s="4">
        <f t="shared" si="98"/>
        <v>2023</v>
      </c>
      <c r="O1598" s="4">
        <f t="shared" si="99"/>
        <v>1</v>
      </c>
    </row>
    <row r="1599" spans="1:15" x14ac:dyDescent="0.25">
      <c r="A1599" t="s">
        <v>3237</v>
      </c>
      <c r="B1599" s="2">
        <v>45781</v>
      </c>
      <c r="C1599" t="s">
        <v>30</v>
      </c>
      <c r="D1599" t="s">
        <v>31</v>
      </c>
      <c r="E1599">
        <v>1229.26</v>
      </c>
      <c r="F1599">
        <v>0</v>
      </c>
      <c r="G1599" t="s">
        <v>12</v>
      </c>
      <c r="H1599" t="s">
        <v>34</v>
      </c>
      <c r="I1599" t="s">
        <v>3238</v>
      </c>
      <c r="J1599" t="s">
        <v>36</v>
      </c>
      <c r="K1599" s="4">
        <f>VLOOKUP(J1599,Exchange_Rates!A:B,2,FALSE)</f>
        <v>1.08</v>
      </c>
      <c r="L1599" s="4">
        <f t="shared" si="96"/>
        <v>1327.6008000000002</v>
      </c>
      <c r="M1599" s="4">
        <f t="shared" si="97"/>
        <v>0</v>
      </c>
      <c r="N1599" s="4">
        <f t="shared" si="98"/>
        <v>2025</v>
      </c>
      <c r="O1599" s="4">
        <f t="shared" si="99"/>
        <v>2</v>
      </c>
    </row>
    <row r="1600" spans="1:15" x14ac:dyDescent="0.25">
      <c r="A1600" t="s">
        <v>3239</v>
      </c>
      <c r="B1600" s="2">
        <v>45832</v>
      </c>
      <c r="C1600" t="s">
        <v>24</v>
      </c>
      <c r="D1600" t="s">
        <v>25</v>
      </c>
      <c r="E1600">
        <v>0</v>
      </c>
      <c r="F1600">
        <v>3867.59</v>
      </c>
      <c r="G1600" t="s">
        <v>10</v>
      </c>
      <c r="H1600" t="s">
        <v>51</v>
      </c>
      <c r="I1600" t="s">
        <v>3240</v>
      </c>
      <c r="J1600" t="s">
        <v>36</v>
      </c>
      <c r="K1600" s="4">
        <f>VLOOKUP(J1600,Exchange_Rates!A:B,2,FALSE)</f>
        <v>1.08</v>
      </c>
      <c r="L1600" s="4">
        <f t="shared" si="96"/>
        <v>0</v>
      </c>
      <c r="M1600" s="4">
        <f t="shared" si="97"/>
        <v>4176.9972000000007</v>
      </c>
      <c r="N1600" s="4">
        <f t="shared" si="98"/>
        <v>2025</v>
      </c>
      <c r="O1600" s="4">
        <f t="shared" si="99"/>
        <v>2</v>
      </c>
    </row>
    <row r="1601" spans="1:15" x14ac:dyDescent="0.25">
      <c r="A1601" t="s">
        <v>3241</v>
      </c>
      <c r="B1601" s="2">
        <v>45408</v>
      </c>
      <c r="C1601" t="s">
        <v>38</v>
      </c>
      <c r="D1601" t="s">
        <v>39</v>
      </c>
      <c r="E1601">
        <v>615.80999999999995</v>
      </c>
      <c r="F1601">
        <v>0</v>
      </c>
      <c r="G1601" t="s">
        <v>9</v>
      </c>
      <c r="H1601" t="s">
        <v>62</v>
      </c>
      <c r="I1601" t="s">
        <v>3242</v>
      </c>
      <c r="J1601" t="s">
        <v>36</v>
      </c>
      <c r="K1601" s="4">
        <f>VLOOKUP(J1601,Exchange_Rates!A:B,2,FALSE)</f>
        <v>1.08</v>
      </c>
      <c r="L1601" s="4">
        <f t="shared" si="96"/>
        <v>665.07479999999998</v>
      </c>
      <c r="M1601" s="4">
        <f t="shared" si="97"/>
        <v>0</v>
      </c>
      <c r="N1601" s="4">
        <f t="shared" si="98"/>
        <v>2024</v>
      </c>
      <c r="O1601" s="4">
        <f t="shared" si="99"/>
        <v>2</v>
      </c>
    </row>
    <row r="1602" spans="1:15" x14ac:dyDescent="0.25">
      <c r="A1602" t="s">
        <v>3243</v>
      </c>
      <c r="B1602" s="2">
        <v>45224</v>
      </c>
      <c r="C1602" t="s">
        <v>49</v>
      </c>
      <c r="D1602" t="s">
        <v>50</v>
      </c>
      <c r="E1602">
        <v>1182.17</v>
      </c>
      <c r="F1602">
        <v>0</v>
      </c>
      <c r="G1602" t="s">
        <v>8</v>
      </c>
      <c r="H1602" t="s">
        <v>40</v>
      </c>
      <c r="I1602" t="s">
        <v>3244</v>
      </c>
      <c r="J1602" t="s">
        <v>45</v>
      </c>
      <c r="K1602" s="4">
        <f>VLOOKUP(J1602,Exchange_Rates!A:B,2,FALSE)</f>
        <v>1</v>
      </c>
      <c r="L1602" s="4">
        <f t="shared" si="96"/>
        <v>1182.17</v>
      </c>
      <c r="M1602" s="4">
        <f t="shared" si="97"/>
        <v>0</v>
      </c>
      <c r="N1602" s="4">
        <f t="shared" si="98"/>
        <v>2023</v>
      </c>
      <c r="O1602" s="4">
        <f t="shared" si="99"/>
        <v>4</v>
      </c>
    </row>
    <row r="1603" spans="1:15" x14ac:dyDescent="0.25">
      <c r="A1603" t="s">
        <v>3245</v>
      </c>
      <c r="B1603" s="2">
        <v>45081</v>
      </c>
      <c r="C1603" t="s">
        <v>24</v>
      </c>
      <c r="D1603" t="s">
        <v>25</v>
      </c>
      <c r="E1603">
        <v>0</v>
      </c>
      <c r="F1603">
        <v>4084.9</v>
      </c>
      <c r="G1603" t="s">
        <v>8</v>
      </c>
      <c r="H1603" t="s">
        <v>40</v>
      </c>
      <c r="I1603" t="s">
        <v>3246</v>
      </c>
      <c r="J1603" t="s">
        <v>42</v>
      </c>
      <c r="K1603" s="4">
        <f>VLOOKUP(J1603,Exchange_Rates!A:B,2,FALSE)</f>
        <v>0.66</v>
      </c>
      <c r="L1603" s="4">
        <f t="shared" ref="L1603:L1666" si="100">E1603*K1603</f>
        <v>0</v>
      </c>
      <c r="M1603" s="4">
        <f t="shared" ref="M1603:M1666" si="101">F1603*K1603</f>
        <v>2696.0340000000001</v>
      </c>
      <c r="N1603" s="4">
        <f t="shared" ref="N1603:N1666" si="102">YEAR(B1603)</f>
        <v>2023</v>
      </c>
      <c r="O1603" s="4">
        <f t="shared" ref="O1603:O1666" si="103">ROUNDUP(MONTH(B1603)/3,0)</f>
        <v>2</v>
      </c>
    </row>
    <row r="1604" spans="1:15" x14ac:dyDescent="0.25">
      <c r="A1604" t="s">
        <v>3247</v>
      </c>
      <c r="B1604" s="2">
        <v>45276</v>
      </c>
      <c r="C1604" t="s">
        <v>24</v>
      </c>
      <c r="D1604" t="s">
        <v>25</v>
      </c>
      <c r="E1604">
        <v>0</v>
      </c>
      <c r="F1604">
        <v>2694.28</v>
      </c>
      <c r="G1604" t="s">
        <v>10</v>
      </c>
      <c r="H1604" t="s">
        <v>34</v>
      </c>
      <c r="I1604" t="s">
        <v>3248</v>
      </c>
      <c r="J1604" t="s">
        <v>64</v>
      </c>
      <c r="K1604" s="4">
        <f>VLOOKUP(J1604,Exchange_Rates!A:B,2,FALSE)</f>
        <v>0.73</v>
      </c>
      <c r="L1604" s="4">
        <f t="shared" si="100"/>
        <v>0</v>
      </c>
      <c r="M1604" s="4">
        <f t="shared" si="101"/>
        <v>1966.8244000000002</v>
      </c>
      <c r="N1604" s="4">
        <f t="shared" si="102"/>
        <v>2023</v>
      </c>
      <c r="O1604" s="4">
        <f t="shared" si="103"/>
        <v>4</v>
      </c>
    </row>
    <row r="1605" spans="1:15" x14ac:dyDescent="0.25">
      <c r="A1605" t="s">
        <v>3249</v>
      </c>
      <c r="B1605" s="2">
        <v>45782</v>
      </c>
      <c r="C1605" t="s">
        <v>24</v>
      </c>
      <c r="D1605" t="s">
        <v>25</v>
      </c>
      <c r="E1605">
        <v>0</v>
      </c>
      <c r="F1605">
        <v>3550.01</v>
      </c>
      <c r="G1605" t="s">
        <v>8</v>
      </c>
      <c r="H1605" t="s">
        <v>51</v>
      </c>
      <c r="I1605" t="s">
        <v>3250</v>
      </c>
      <c r="J1605" t="s">
        <v>28</v>
      </c>
      <c r="K1605" s="4">
        <f>VLOOKUP(J1605,Exchange_Rates!A:B,2,FALSE)</f>
        <v>1.27</v>
      </c>
      <c r="L1605" s="4">
        <f t="shared" si="100"/>
        <v>0</v>
      </c>
      <c r="M1605" s="4">
        <f t="shared" si="101"/>
        <v>4508.5127000000002</v>
      </c>
      <c r="N1605" s="4">
        <f t="shared" si="102"/>
        <v>2025</v>
      </c>
      <c r="O1605" s="4">
        <f t="shared" si="103"/>
        <v>2</v>
      </c>
    </row>
    <row r="1606" spans="1:15" x14ac:dyDescent="0.25">
      <c r="A1606" t="s">
        <v>3251</v>
      </c>
      <c r="B1606" s="2">
        <v>45495</v>
      </c>
      <c r="C1606" t="s">
        <v>24</v>
      </c>
      <c r="D1606" t="s">
        <v>25</v>
      </c>
      <c r="E1606">
        <v>0</v>
      </c>
      <c r="F1606">
        <v>2395.19</v>
      </c>
      <c r="G1606" t="s">
        <v>13</v>
      </c>
      <c r="H1606" t="s">
        <v>62</v>
      </c>
      <c r="I1606" t="s">
        <v>3252</v>
      </c>
      <c r="J1606" t="s">
        <v>64</v>
      </c>
      <c r="K1606" s="4">
        <f>VLOOKUP(J1606,Exchange_Rates!A:B,2,FALSE)</f>
        <v>0.73</v>
      </c>
      <c r="L1606" s="4">
        <f t="shared" si="100"/>
        <v>0</v>
      </c>
      <c r="M1606" s="4">
        <f t="shared" si="101"/>
        <v>1748.4887000000001</v>
      </c>
      <c r="N1606" s="4">
        <f t="shared" si="102"/>
        <v>2024</v>
      </c>
      <c r="O1606" s="4">
        <f t="shared" si="103"/>
        <v>3</v>
      </c>
    </row>
    <row r="1607" spans="1:15" x14ac:dyDescent="0.25">
      <c r="A1607" t="s">
        <v>3253</v>
      </c>
      <c r="B1607" s="2">
        <v>45438</v>
      </c>
      <c r="C1607" t="s">
        <v>30</v>
      </c>
      <c r="D1607" t="s">
        <v>31</v>
      </c>
      <c r="E1607">
        <v>1009.87</v>
      </c>
      <c r="F1607">
        <v>0</v>
      </c>
      <c r="G1607" t="s">
        <v>8</v>
      </c>
      <c r="H1607" t="s">
        <v>34</v>
      </c>
      <c r="I1607" t="s">
        <v>3254</v>
      </c>
      <c r="J1607" t="s">
        <v>45</v>
      </c>
      <c r="K1607" s="4">
        <f>VLOOKUP(J1607,Exchange_Rates!A:B,2,FALSE)</f>
        <v>1</v>
      </c>
      <c r="L1607" s="4">
        <f t="shared" si="100"/>
        <v>1009.87</v>
      </c>
      <c r="M1607" s="4">
        <f t="shared" si="101"/>
        <v>0</v>
      </c>
      <c r="N1607" s="4">
        <f t="shared" si="102"/>
        <v>2024</v>
      </c>
      <c r="O1607" s="4">
        <f t="shared" si="103"/>
        <v>2</v>
      </c>
    </row>
    <row r="1608" spans="1:15" x14ac:dyDescent="0.25">
      <c r="A1608" t="s">
        <v>3255</v>
      </c>
      <c r="B1608" s="2">
        <v>45464</v>
      </c>
      <c r="C1608" t="s">
        <v>49</v>
      </c>
      <c r="D1608" t="s">
        <v>50</v>
      </c>
      <c r="E1608">
        <v>1792.26</v>
      </c>
      <c r="F1608">
        <v>0</v>
      </c>
      <c r="G1608" t="s">
        <v>11</v>
      </c>
      <c r="H1608" t="s">
        <v>26</v>
      </c>
      <c r="I1608" t="s">
        <v>3256</v>
      </c>
      <c r="J1608" t="s">
        <v>28</v>
      </c>
      <c r="K1608" s="4">
        <f>VLOOKUP(J1608,Exchange_Rates!A:B,2,FALSE)</f>
        <v>1.27</v>
      </c>
      <c r="L1608" s="4">
        <f t="shared" si="100"/>
        <v>2276.1702</v>
      </c>
      <c r="M1608" s="4">
        <f t="shared" si="101"/>
        <v>0</v>
      </c>
      <c r="N1608" s="4">
        <f t="shared" si="102"/>
        <v>2024</v>
      </c>
      <c r="O1608" s="4">
        <f t="shared" si="103"/>
        <v>2</v>
      </c>
    </row>
    <row r="1609" spans="1:15" x14ac:dyDescent="0.25">
      <c r="A1609" t="s">
        <v>3257</v>
      </c>
      <c r="B1609" s="2">
        <v>45306</v>
      </c>
      <c r="C1609" t="s">
        <v>30</v>
      </c>
      <c r="D1609" t="s">
        <v>31</v>
      </c>
      <c r="E1609">
        <v>1834.84</v>
      </c>
      <c r="F1609">
        <v>0</v>
      </c>
      <c r="G1609" t="s">
        <v>10</v>
      </c>
      <c r="H1609" t="s">
        <v>26</v>
      </c>
      <c r="I1609" t="s">
        <v>3258</v>
      </c>
      <c r="J1609" t="s">
        <v>42</v>
      </c>
      <c r="K1609" s="4">
        <f>VLOOKUP(J1609,Exchange_Rates!A:B,2,FALSE)</f>
        <v>0.66</v>
      </c>
      <c r="L1609" s="4">
        <f t="shared" si="100"/>
        <v>1210.9944</v>
      </c>
      <c r="M1609" s="4">
        <f t="shared" si="101"/>
        <v>0</v>
      </c>
      <c r="N1609" s="4">
        <f t="shared" si="102"/>
        <v>2024</v>
      </c>
      <c r="O1609" s="4">
        <f t="shared" si="103"/>
        <v>1</v>
      </c>
    </row>
    <row r="1610" spans="1:15" x14ac:dyDescent="0.25">
      <c r="A1610" t="s">
        <v>3259</v>
      </c>
      <c r="B1610" s="2">
        <v>45808</v>
      </c>
      <c r="C1610" t="s">
        <v>60</v>
      </c>
      <c r="D1610" t="s">
        <v>61</v>
      </c>
      <c r="E1610">
        <v>0</v>
      </c>
      <c r="F1610">
        <v>4316.42</v>
      </c>
      <c r="G1610" t="s">
        <v>9</v>
      </c>
      <c r="H1610" t="s">
        <v>62</v>
      </c>
      <c r="I1610" t="s">
        <v>3260</v>
      </c>
      <c r="J1610" t="s">
        <v>42</v>
      </c>
      <c r="K1610" s="4">
        <f>VLOOKUP(J1610,Exchange_Rates!A:B,2,FALSE)</f>
        <v>0.66</v>
      </c>
      <c r="L1610" s="4">
        <f t="shared" si="100"/>
        <v>0</v>
      </c>
      <c r="M1610" s="4">
        <f t="shared" si="101"/>
        <v>2848.8372000000004</v>
      </c>
      <c r="N1610" s="4">
        <f t="shared" si="102"/>
        <v>2025</v>
      </c>
      <c r="O1610" s="4">
        <f t="shared" si="103"/>
        <v>2</v>
      </c>
    </row>
    <row r="1611" spans="1:15" x14ac:dyDescent="0.25">
      <c r="A1611" t="s">
        <v>3261</v>
      </c>
      <c r="B1611" s="2">
        <v>45701</v>
      </c>
      <c r="C1611" t="s">
        <v>49</v>
      </c>
      <c r="D1611" t="s">
        <v>50</v>
      </c>
      <c r="E1611">
        <v>427.92</v>
      </c>
      <c r="F1611">
        <v>0</v>
      </c>
      <c r="G1611" t="s">
        <v>8</v>
      </c>
      <c r="H1611" t="s">
        <v>40</v>
      </c>
      <c r="I1611" t="s">
        <v>3262</v>
      </c>
      <c r="J1611" t="s">
        <v>45</v>
      </c>
      <c r="K1611" s="4">
        <f>VLOOKUP(J1611,Exchange_Rates!A:B,2,FALSE)</f>
        <v>1</v>
      </c>
      <c r="L1611" s="4">
        <f t="shared" si="100"/>
        <v>427.92</v>
      </c>
      <c r="M1611" s="4">
        <f t="shared" si="101"/>
        <v>0</v>
      </c>
      <c r="N1611" s="4">
        <f t="shared" si="102"/>
        <v>2025</v>
      </c>
      <c r="O1611" s="4">
        <f t="shared" si="103"/>
        <v>1</v>
      </c>
    </row>
    <row r="1612" spans="1:15" x14ac:dyDescent="0.25">
      <c r="A1612" t="s">
        <v>3263</v>
      </c>
      <c r="B1612" s="2">
        <v>45555</v>
      </c>
      <c r="C1612" t="s">
        <v>60</v>
      </c>
      <c r="D1612" t="s">
        <v>61</v>
      </c>
      <c r="E1612">
        <v>0</v>
      </c>
      <c r="F1612">
        <v>881.32</v>
      </c>
      <c r="G1612" t="s">
        <v>13</v>
      </c>
      <c r="H1612" t="s">
        <v>62</v>
      </c>
      <c r="I1612" t="s">
        <v>3264</v>
      </c>
      <c r="J1612" t="s">
        <v>42</v>
      </c>
      <c r="K1612" s="4">
        <f>VLOOKUP(J1612,Exchange_Rates!A:B,2,FALSE)</f>
        <v>0.66</v>
      </c>
      <c r="L1612" s="4">
        <f t="shared" si="100"/>
        <v>0</v>
      </c>
      <c r="M1612" s="4">
        <f t="shared" si="101"/>
        <v>581.67120000000011</v>
      </c>
      <c r="N1612" s="4">
        <f t="shared" si="102"/>
        <v>2024</v>
      </c>
      <c r="O1612" s="4">
        <f t="shared" si="103"/>
        <v>3</v>
      </c>
    </row>
    <row r="1613" spans="1:15" x14ac:dyDescent="0.25">
      <c r="A1613" t="s">
        <v>3265</v>
      </c>
      <c r="B1613" s="2">
        <v>45028</v>
      </c>
      <c r="C1613" t="s">
        <v>38</v>
      </c>
      <c r="D1613" t="s">
        <v>39</v>
      </c>
      <c r="E1613">
        <v>896.81</v>
      </c>
      <c r="F1613">
        <v>0</v>
      </c>
      <c r="G1613" t="s">
        <v>13</v>
      </c>
      <c r="H1613" t="s">
        <v>40</v>
      </c>
      <c r="I1613" t="s">
        <v>3266</v>
      </c>
      <c r="J1613" t="s">
        <v>42</v>
      </c>
      <c r="K1613" s="4">
        <f>VLOOKUP(J1613,Exchange_Rates!A:B,2,FALSE)</f>
        <v>0.66</v>
      </c>
      <c r="L1613" s="4">
        <f t="shared" si="100"/>
        <v>591.89459999999997</v>
      </c>
      <c r="M1613" s="4">
        <f t="shared" si="101"/>
        <v>0</v>
      </c>
      <c r="N1613" s="4">
        <f t="shared" si="102"/>
        <v>2023</v>
      </c>
      <c r="O1613" s="4">
        <f t="shared" si="103"/>
        <v>2</v>
      </c>
    </row>
    <row r="1614" spans="1:15" x14ac:dyDescent="0.25">
      <c r="A1614" t="s">
        <v>3267</v>
      </c>
      <c r="B1614" s="2">
        <v>45612</v>
      </c>
      <c r="C1614" t="s">
        <v>38</v>
      </c>
      <c r="D1614" t="s">
        <v>39</v>
      </c>
      <c r="E1614">
        <v>1292.1400000000001</v>
      </c>
      <c r="F1614">
        <v>0</v>
      </c>
      <c r="G1614" t="s">
        <v>9</v>
      </c>
      <c r="H1614" t="s">
        <v>26</v>
      </c>
      <c r="I1614" t="s">
        <v>3268</v>
      </c>
      <c r="J1614" t="s">
        <v>45</v>
      </c>
      <c r="K1614" s="4">
        <f>VLOOKUP(J1614,Exchange_Rates!A:B,2,FALSE)</f>
        <v>1</v>
      </c>
      <c r="L1614" s="4">
        <f t="shared" si="100"/>
        <v>1292.1400000000001</v>
      </c>
      <c r="M1614" s="4">
        <f t="shared" si="101"/>
        <v>0</v>
      </c>
      <c r="N1614" s="4">
        <f t="shared" si="102"/>
        <v>2024</v>
      </c>
      <c r="O1614" s="4">
        <f t="shared" si="103"/>
        <v>4</v>
      </c>
    </row>
    <row r="1615" spans="1:15" x14ac:dyDescent="0.25">
      <c r="A1615" t="s">
        <v>3269</v>
      </c>
      <c r="B1615" s="2">
        <v>45410</v>
      </c>
      <c r="C1615" t="s">
        <v>30</v>
      </c>
      <c r="D1615" t="s">
        <v>31</v>
      </c>
      <c r="E1615">
        <v>1720</v>
      </c>
      <c r="F1615">
        <v>0</v>
      </c>
      <c r="G1615" t="s">
        <v>10</v>
      </c>
      <c r="H1615" t="s">
        <v>62</v>
      </c>
      <c r="I1615" t="s">
        <v>3270</v>
      </c>
      <c r="J1615" t="s">
        <v>64</v>
      </c>
      <c r="K1615" s="4">
        <f>VLOOKUP(J1615,Exchange_Rates!A:B,2,FALSE)</f>
        <v>0.73</v>
      </c>
      <c r="L1615" s="4">
        <f t="shared" si="100"/>
        <v>1255.5999999999999</v>
      </c>
      <c r="M1615" s="4">
        <f t="shared" si="101"/>
        <v>0</v>
      </c>
      <c r="N1615" s="4">
        <f t="shared" si="102"/>
        <v>2024</v>
      </c>
      <c r="O1615" s="4">
        <f t="shared" si="103"/>
        <v>2</v>
      </c>
    </row>
    <row r="1616" spans="1:15" x14ac:dyDescent="0.25">
      <c r="A1616" t="s">
        <v>3271</v>
      </c>
      <c r="B1616" s="2">
        <v>45312</v>
      </c>
      <c r="C1616" t="s">
        <v>38</v>
      </c>
      <c r="D1616" t="s">
        <v>39</v>
      </c>
      <c r="E1616">
        <v>210.81</v>
      </c>
      <c r="F1616">
        <v>0</v>
      </c>
      <c r="G1616" t="s">
        <v>8</v>
      </c>
      <c r="H1616" t="s">
        <v>51</v>
      </c>
      <c r="I1616" t="s">
        <v>3272</v>
      </c>
      <c r="J1616" t="s">
        <v>36</v>
      </c>
      <c r="K1616" s="4">
        <f>VLOOKUP(J1616,Exchange_Rates!A:B,2,FALSE)</f>
        <v>1.08</v>
      </c>
      <c r="L1616" s="4">
        <f t="shared" si="100"/>
        <v>227.6748</v>
      </c>
      <c r="M1616" s="4">
        <f t="shared" si="101"/>
        <v>0</v>
      </c>
      <c r="N1616" s="4">
        <f t="shared" si="102"/>
        <v>2024</v>
      </c>
      <c r="O1616" s="4">
        <f t="shared" si="103"/>
        <v>1</v>
      </c>
    </row>
    <row r="1617" spans="1:15" x14ac:dyDescent="0.25">
      <c r="A1617" t="s">
        <v>3273</v>
      </c>
      <c r="B1617" s="2">
        <v>45077</v>
      </c>
      <c r="C1617" t="s">
        <v>24</v>
      </c>
      <c r="D1617" t="s">
        <v>25</v>
      </c>
      <c r="E1617">
        <v>0</v>
      </c>
      <c r="F1617">
        <v>3145.99</v>
      </c>
      <c r="G1617" t="s">
        <v>10</v>
      </c>
      <c r="H1617" t="s">
        <v>40</v>
      </c>
      <c r="I1617" t="s">
        <v>3274</v>
      </c>
      <c r="J1617" t="s">
        <v>28</v>
      </c>
      <c r="K1617" s="4">
        <f>VLOOKUP(J1617,Exchange_Rates!A:B,2,FALSE)</f>
        <v>1.27</v>
      </c>
      <c r="L1617" s="4">
        <f t="shared" si="100"/>
        <v>0</v>
      </c>
      <c r="M1617" s="4">
        <f t="shared" si="101"/>
        <v>3995.4072999999999</v>
      </c>
      <c r="N1617" s="4">
        <f t="shared" si="102"/>
        <v>2023</v>
      </c>
      <c r="O1617" s="4">
        <f t="shared" si="103"/>
        <v>2</v>
      </c>
    </row>
    <row r="1618" spans="1:15" x14ac:dyDescent="0.25">
      <c r="A1618" t="s">
        <v>3275</v>
      </c>
      <c r="B1618" s="2">
        <v>45601</v>
      </c>
      <c r="C1618" t="s">
        <v>24</v>
      </c>
      <c r="D1618" t="s">
        <v>25</v>
      </c>
      <c r="E1618">
        <v>0</v>
      </c>
      <c r="F1618">
        <v>4897.22</v>
      </c>
      <c r="G1618" t="s">
        <v>12</v>
      </c>
      <c r="H1618" t="s">
        <v>62</v>
      </c>
      <c r="I1618" t="s">
        <v>3276</v>
      </c>
      <c r="J1618" t="s">
        <v>36</v>
      </c>
      <c r="K1618" s="4">
        <f>VLOOKUP(J1618,Exchange_Rates!A:B,2,FALSE)</f>
        <v>1.08</v>
      </c>
      <c r="L1618" s="4">
        <f t="shared" si="100"/>
        <v>0</v>
      </c>
      <c r="M1618" s="4">
        <f t="shared" si="101"/>
        <v>5288.9976000000006</v>
      </c>
      <c r="N1618" s="4">
        <f t="shared" si="102"/>
        <v>2024</v>
      </c>
      <c r="O1618" s="4">
        <f t="shared" si="103"/>
        <v>4</v>
      </c>
    </row>
    <row r="1619" spans="1:15" x14ac:dyDescent="0.25">
      <c r="A1619" t="s">
        <v>3277</v>
      </c>
      <c r="B1619" s="2">
        <v>45011</v>
      </c>
      <c r="C1619" t="s">
        <v>49</v>
      </c>
      <c r="D1619" t="s">
        <v>50</v>
      </c>
      <c r="E1619">
        <v>1035.58</v>
      </c>
      <c r="F1619">
        <v>0</v>
      </c>
      <c r="G1619" t="s">
        <v>13</v>
      </c>
      <c r="H1619" t="s">
        <v>40</v>
      </c>
      <c r="I1619" t="s">
        <v>3278</v>
      </c>
      <c r="J1619" t="s">
        <v>42</v>
      </c>
      <c r="K1619" s="4">
        <f>VLOOKUP(J1619,Exchange_Rates!A:B,2,FALSE)</f>
        <v>0.66</v>
      </c>
      <c r="L1619" s="4">
        <f t="shared" si="100"/>
        <v>683.4828</v>
      </c>
      <c r="M1619" s="4">
        <f t="shared" si="101"/>
        <v>0</v>
      </c>
      <c r="N1619" s="4">
        <f t="shared" si="102"/>
        <v>2023</v>
      </c>
      <c r="O1619" s="4">
        <f t="shared" si="103"/>
        <v>1</v>
      </c>
    </row>
    <row r="1620" spans="1:15" x14ac:dyDescent="0.25">
      <c r="A1620" t="s">
        <v>3279</v>
      </c>
      <c r="B1620" s="2">
        <v>45614</v>
      </c>
      <c r="C1620" t="s">
        <v>49</v>
      </c>
      <c r="D1620" t="s">
        <v>50</v>
      </c>
      <c r="E1620">
        <v>883.62</v>
      </c>
      <c r="F1620">
        <v>0</v>
      </c>
      <c r="G1620" t="s">
        <v>10</v>
      </c>
      <c r="H1620" t="s">
        <v>51</v>
      </c>
      <c r="I1620" t="s">
        <v>3280</v>
      </c>
      <c r="J1620" t="s">
        <v>42</v>
      </c>
      <c r="K1620" s="4">
        <f>VLOOKUP(J1620,Exchange_Rates!A:B,2,FALSE)</f>
        <v>0.66</v>
      </c>
      <c r="L1620" s="4">
        <f t="shared" si="100"/>
        <v>583.18920000000003</v>
      </c>
      <c r="M1620" s="4">
        <f t="shared" si="101"/>
        <v>0</v>
      </c>
      <c r="N1620" s="4">
        <f t="shared" si="102"/>
        <v>2024</v>
      </c>
      <c r="O1620" s="4">
        <f t="shared" si="103"/>
        <v>4</v>
      </c>
    </row>
    <row r="1621" spans="1:15" x14ac:dyDescent="0.25">
      <c r="A1621" t="s">
        <v>3281</v>
      </c>
      <c r="B1621" s="2">
        <v>45566</v>
      </c>
      <c r="C1621" t="s">
        <v>60</v>
      </c>
      <c r="D1621" t="s">
        <v>61</v>
      </c>
      <c r="E1621">
        <v>0</v>
      </c>
      <c r="F1621">
        <v>1908.36</v>
      </c>
      <c r="G1621" t="s">
        <v>13</v>
      </c>
      <c r="H1621" t="s">
        <v>26</v>
      </c>
      <c r="I1621" t="s">
        <v>3282</v>
      </c>
      <c r="J1621" t="s">
        <v>28</v>
      </c>
      <c r="K1621" s="4">
        <f>VLOOKUP(J1621,Exchange_Rates!A:B,2,FALSE)</f>
        <v>1.27</v>
      </c>
      <c r="L1621" s="4">
        <f t="shared" si="100"/>
        <v>0</v>
      </c>
      <c r="M1621" s="4">
        <f t="shared" si="101"/>
        <v>2423.6171999999997</v>
      </c>
      <c r="N1621" s="4">
        <f t="shared" si="102"/>
        <v>2024</v>
      </c>
      <c r="O1621" s="4">
        <f t="shared" si="103"/>
        <v>4</v>
      </c>
    </row>
    <row r="1622" spans="1:15" x14ac:dyDescent="0.25">
      <c r="A1622" t="s">
        <v>3283</v>
      </c>
      <c r="B1622" s="2">
        <v>45068</v>
      </c>
      <c r="C1622" t="s">
        <v>60</v>
      </c>
      <c r="D1622" t="s">
        <v>61</v>
      </c>
      <c r="E1622">
        <v>0</v>
      </c>
      <c r="F1622">
        <v>145.24</v>
      </c>
      <c r="G1622" t="s">
        <v>13</v>
      </c>
      <c r="H1622" t="s">
        <v>40</v>
      </c>
      <c r="I1622" t="s">
        <v>3284</v>
      </c>
      <c r="J1622" t="s">
        <v>28</v>
      </c>
      <c r="K1622" s="4">
        <f>VLOOKUP(J1622,Exchange_Rates!A:B,2,FALSE)</f>
        <v>1.27</v>
      </c>
      <c r="L1622" s="4">
        <f t="shared" si="100"/>
        <v>0</v>
      </c>
      <c r="M1622" s="4">
        <f t="shared" si="101"/>
        <v>184.45480000000001</v>
      </c>
      <c r="N1622" s="4">
        <f t="shared" si="102"/>
        <v>2023</v>
      </c>
      <c r="O1622" s="4">
        <f t="shared" si="103"/>
        <v>2</v>
      </c>
    </row>
    <row r="1623" spans="1:15" x14ac:dyDescent="0.25">
      <c r="A1623" t="s">
        <v>3285</v>
      </c>
      <c r="B1623" s="2">
        <v>45550</v>
      </c>
      <c r="C1623" t="s">
        <v>60</v>
      </c>
      <c r="D1623" t="s">
        <v>61</v>
      </c>
      <c r="E1623">
        <v>0</v>
      </c>
      <c r="F1623">
        <v>527.38</v>
      </c>
      <c r="G1623" t="s">
        <v>11</v>
      </c>
      <c r="H1623" t="s">
        <v>40</v>
      </c>
      <c r="I1623" t="s">
        <v>3286</v>
      </c>
      <c r="J1623" t="s">
        <v>64</v>
      </c>
      <c r="K1623" s="4">
        <f>VLOOKUP(J1623,Exchange_Rates!A:B,2,FALSE)</f>
        <v>0.73</v>
      </c>
      <c r="L1623" s="4">
        <f t="shared" si="100"/>
        <v>0</v>
      </c>
      <c r="M1623" s="4">
        <f t="shared" si="101"/>
        <v>384.98739999999998</v>
      </c>
      <c r="N1623" s="4">
        <f t="shared" si="102"/>
        <v>2024</v>
      </c>
      <c r="O1623" s="4">
        <f t="shared" si="103"/>
        <v>3</v>
      </c>
    </row>
    <row r="1624" spans="1:15" x14ac:dyDescent="0.25">
      <c r="A1624" t="s">
        <v>3287</v>
      </c>
      <c r="B1624" s="2">
        <v>45151</v>
      </c>
      <c r="C1624" t="s">
        <v>24</v>
      </c>
      <c r="D1624" t="s">
        <v>25</v>
      </c>
      <c r="E1624">
        <v>0</v>
      </c>
      <c r="F1624">
        <v>3715.39</v>
      </c>
      <c r="G1624" t="s">
        <v>8</v>
      </c>
      <c r="H1624" t="s">
        <v>26</v>
      </c>
      <c r="I1624" t="s">
        <v>3288</v>
      </c>
      <c r="J1624" t="s">
        <v>36</v>
      </c>
      <c r="K1624" s="4">
        <f>VLOOKUP(J1624,Exchange_Rates!A:B,2,FALSE)</f>
        <v>1.08</v>
      </c>
      <c r="L1624" s="4">
        <f t="shared" si="100"/>
        <v>0</v>
      </c>
      <c r="M1624" s="4">
        <f t="shared" si="101"/>
        <v>4012.6212</v>
      </c>
      <c r="N1624" s="4">
        <f t="shared" si="102"/>
        <v>2023</v>
      </c>
      <c r="O1624" s="4">
        <f t="shared" si="103"/>
        <v>3</v>
      </c>
    </row>
    <row r="1625" spans="1:15" x14ac:dyDescent="0.25">
      <c r="A1625" t="s">
        <v>3289</v>
      </c>
      <c r="B1625" s="2">
        <v>44959</v>
      </c>
      <c r="C1625" t="s">
        <v>30</v>
      </c>
      <c r="D1625" t="s">
        <v>31</v>
      </c>
      <c r="E1625">
        <v>870.5</v>
      </c>
      <c r="F1625">
        <v>0</v>
      </c>
      <c r="G1625" t="s">
        <v>8</v>
      </c>
      <c r="H1625" t="s">
        <v>51</v>
      </c>
      <c r="I1625" t="s">
        <v>3290</v>
      </c>
      <c r="J1625" t="s">
        <v>42</v>
      </c>
      <c r="K1625" s="4">
        <f>VLOOKUP(J1625,Exchange_Rates!A:B,2,FALSE)</f>
        <v>0.66</v>
      </c>
      <c r="L1625" s="4">
        <f t="shared" si="100"/>
        <v>574.53</v>
      </c>
      <c r="M1625" s="4">
        <f t="shared" si="101"/>
        <v>0</v>
      </c>
      <c r="N1625" s="4">
        <f t="shared" si="102"/>
        <v>2023</v>
      </c>
      <c r="O1625" s="4">
        <f t="shared" si="103"/>
        <v>1</v>
      </c>
    </row>
    <row r="1626" spans="1:15" x14ac:dyDescent="0.25">
      <c r="A1626" t="s">
        <v>3291</v>
      </c>
      <c r="B1626" s="2">
        <v>45386</v>
      </c>
      <c r="C1626" t="s">
        <v>49</v>
      </c>
      <c r="D1626" t="s">
        <v>50</v>
      </c>
      <c r="E1626">
        <v>1992.58</v>
      </c>
      <c r="F1626">
        <v>0</v>
      </c>
      <c r="G1626" t="s">
        <v>10</v>
      </c>
      <c r="H1626" t="s">
        <v>26</v>
      </c>
      <c r="I1626" t="s">
        <v>3292</v>
      </c>
      <c r="J1626" t="s">
        <v>28</v>
      </c>
      <c r="K1626" s="4">
        <f>VLOOKUP(J1626,Exchange_Rates!A:B,2,FALSE)</f>
        <v>1.27</v>
      </c>
      <c r="L1626" s="4">
        <f t="shared" si="100"/>
        <v>2530.5765999999999</v>
      </c>
      <c r="M1626" s="4">
        <f t="shared" si="101"/>
        <v>0</v>
      </c>
      <c r="N1626" s="4">
        <f t="shared" si="102"/>
        <v>2024</v>
      </c>
      <c r="O1626" s="4">
        <f t="shared" si="103"/>
        <v>2</v>
      </c>
    </row>
    <row r="1627" spans="1:15" x14ac:dyDescent="0.25">
      <c r="A1627" t="s">
        <v>3293</v>
      </c>
      <c r="B1627" s="2">
        <v>45001</v>
      </c>
      <c r="C1627" t="s">
        <v>49</v>
      </c>
      <c r="D1627" t="s">
        <v>50</v>
      </c>
      <c r="E1627">
        <v>1466.95</v>
      </c>
      <c r="F1627">
        <v>0</v>
      </c>
      <c r="G1627" t="s">
        <v>13</v>
      </c>
      <c r="H1627" t="s">
        <v>34</v>
      </c>
      <c r="I1627" t="s">
        <v>3294</v>
      </c>
      <c r="J1627" t="s">
        <v>45</v>
      </c>
      <c r="K1627" s="4">
        <f>VLOOKUP(J1627,Exchange_Rates!A:B,2,FALSE)</f>
        <v>1</v>
      </c>
      <c r="L1627" s="4">
        <f t="shared" si="100"/>
        <v>1466.95</v>
      </c>
      <c r="M1627" s="4">
        <f t="shared" si="101"/>
        <v>0</v>
      </c>
      <c r="N1627" s="4">
        <f t="shared" si="102"/>
        <v>2023</v>
      </c>
      <c r="O1627" s="4">
        <f t="shared" si="103"/>
        <v>1</v>
      </c>
    </row>
    <row r="1628" spans="1:15" x14ac:dyDescent="0.25">
      <c r="A1628" t="s">
        <v>3295</v>
      </c>
      <c r="B1628" s="2">
        <v>45013</v>
      </c>
      <c r="C1628" t="s">
        <v>30</v>
      </c>
      <c r="D1628" t="s">
        <v>31</v>
      </c>
      <c r="E1628">
        <v>480.18</v>
      </c>
      <c r="F1628">
        <v>0</v>
      </c>
      <c r="G1628" t="s">
        <v>9</v>
      </c>
      <c r="H1628" t="s">
        <v>40</v>
      </c>
      <c r="I1628" t="s">
        <v>3296</v>
      </c>
      <c r="J1628" t="s">
        <v>36</v>
      </c>
      <c r="K1628" s="4">
        <f>VLOOKUP(J1628,Exchange_Rates!A:B,2,FALSE)</f>
        <v>1.08</v>
      </c>
      <c r="L1628" s="4">
        <f t="shared" si="100"/>
        <v>518.59440000000006</v>
      </c>
      <c r="M1628" s="4">
        <f t="shared" si="101"/>
        <v>0</v>
      </c>
      <c r="N1628" s="4">
        <f t="shared" si="102"/>
        <v>2023</v>
      </c>
      <c r="O1628" s="4">
        <f t="shared" si="103"/>
        <v>1</v>
      </c>
    </row>
    <row r="1629" spans="1:15" x14ac:dyDescent="0.25">
      <c r="A1629" t="s">
        <v>3297</v>
      </c>
      <c r="B1629" s="2">
        <v>45010</v>
      </c>
      <c r="C1629" t="s">
        <v>60</v>
      </c>
      <c r="D1629" t="s">
        <v>61</v>
      </c>
      <c r="E1629">
        <v>0</v>
      </c>
      <c r="F1629">
        <v>4296.88</v>
      </c>
      <c r="G1629" t="s">
        <v>8</v>
      </c>
      <c r="H1629" t="s">
        <v>26</v>
      </c>
      <c r="I1629" t="s">
        <v>3298</v>
      </c>
      <c r="J1629" t="s">
        <v>42</v>
      </c>
      <c r="K1629" s="4">
        <f>VLOOKUP(J1629,Exchange_Rates!A:B,2,FALSE)</f>
        <v>0.66</v>
      </c>
      <c r="L1629" s="4">
        <f t="shared" si="100"/>
        <v>0</v>
      </c>
      <c r="M1629" s="4">
        <f t="shared" si="101"/>
        <v>2835.9408000000003</v>
      </c>
      <c r="N1629" s="4">
        <f t="shared" si="102"/>
        <v>2023</v>
      </c>
      <c r="O1629" s="4">
        <f t="shared" si="103"/>
        <v>1</v>
      </c>
    </row>
    <row r="1630" spans="1:15" x14ac:dyDescent="0.25">
      <c r="A1630" t="s">
        <v>3299</v>
      </c>
      <c r="B1630" s="2">
        <v>45588</v>
      </c>
      <c r="C1630" t="s">
        <v>30</v>
      </c>
      <c r="D1630" t="s">
        <v>31</v>
      </c>
      <c r="E1630">
        <v>123.85</v>
      </c>
      <c r="F1630">
        <v>0</v>
      </c>
      <c r="G1630" t="s">
        <v>12</v>
      </c>
      <c r="H1630" t="s">
        <v>26</v>
      </c>
      <c r="I1630" t="s">
        <v>3300</v>
      </c>
      <c r="J1630" t="s">
        <v>42</v>
      </c>
      <c r="K1630" s="4">
        <f>VLOOKUP(J1630,Exchange_Rates!A:B,2,FALSE)</f>
        <v>0.66</v>
      </c>
      <c r="L1630" s="4">
        <f t="shared" si="100"/>
        <v>81.741</v>
      </c>
      <c r="M1630" s="4">
        <f t="shared" si="101"/>
        <v>0</v>
      </c>
      <c r="N1630" s="4">
        <f t="shared" si="102"/>
        <v>2024</v>
      </c>
      <c r="O1630" s="4">
        <f t="shared" si="103"/>
        <v>4</v>
      </c>
    </row>
    <row r="1631" spans="1:15" x14ac:dyDescent="0.25">
      <c r="A1631" t="s">
        <v>3301</v>
      </c>
      <c r="B1631" s="2">
        <v>45048</v>
      </c>
      <c r="C1631" t="s">
        <v>38</v>
      </c>
      <c r="D1631" t="s">
        <v>39</v>
      </c>
      <c r="E1631">
        <v>1528.6</v>
      </c>
      <c r="F1631">
        <v>0</v>
      </c>
      <c r="G1631" t="s">
        <v>11</v>
      </c>
      <c r="H1631" t="s">
        <v>62</v>
      </c>
      <c r="I1631" t="s">
        <v>3302</v>
      </c>
      <c r="J1631" t="s">
        <v>45</v>
      </c>
      <c r="K1631" s="4">
        <f>VLOOKUP(J1631,Exchange_Rates!A:B,2,FALSE)</f>
        <v>1</v>
      </c>
      <c r="L1631" s="4">
        <f t="shared" si="100"/>
        <v>1528.6</v>
      </c>
      <c r="M1631" s="4">
        <f t="shared" si="101"/>
        <v>0</v>
      </c>
      <c r="N1631" s="4">
        <f t="shared" si="102"/>
        <v>2023</v>
      </c>
      <c r="O1631" s="4">
        <f t="shared" si="103"/>
        <v>2</v>
      </c>
    </row>
    <row r="1632" spans="1:15" x14ac:dyDescent="0.25">
      <c r="A1632" t="s">
        <v>3303</v>
      </c>
      <c r="B1632" s="2">
        <v>45364</v>
      </c>
      <c r="C1632" t="s">
        <v>49</v>
      </c>
      <c r="D1632" t="s">
        <v>50</v>
      </c>
      <c r="E1632">
        <v>1408.83</v>
      </c>
      <c r="F1632">
        <v>0</v>
      </c>
      <c r="G1632" t="s">
        <v>11</v>
      </c>
      <c r="H1632" t="s">
        <v>62</v>
      </c>
      <c r="I1632" t="s">
        <v>3304</v>
      </c>
      <c r="J1632" t="s">
        <v>45</v>
      </c>
      <c r="K1632" s="4">
        <f>VLOOKUP(J1632,Exchange_Rates!A:B,2,FALSE)</f>
        <v>1</v>
      </c>
      <c r="L1632" s="4">
        <f t="shared" si="100"/>
        <v>1408.83</v>
      </c>
      <c r="M1632" s="4">
        <f t="shared" si="101"/>
        <v>0</v>
      </c>
      <c r="N1632" s="4">
        <f t="shared" si="102"/>
        <v>2024</v>
      </c>
      <c r="O1632" s="4">
        <f t="shared" si="103"/>
        <v>1</v>
      </c>
    </row>
    <row r="1633" spans="1:15" x14ac:dyDescent="0.25">
      <c r="A1633" t="s">
        <v>3305</v>
      </c>
      <c r="B1633" s="2">
        <v>45308</v>
      </c>
      <c r="C1633" t="s">
        <v>38</v>
      </c>
      <c r="D1633" t="s">
        <v>39</v>
      </c>
      <c r="E1633">
        <v>472.82</v>
      </c>
      <c r="F1633">
        <v>0</v>
      </c>
      <c r="G1633" t="s">
        <v>10</v>
      </c>
      <c r="H1633" t="s">
        <v>40</v>
      </c>
      <c r="I1633" t="s">
        <v>3306</v>
      </c>
      <c r="J1633" t="s">
        <v>28</v>
      </c>
      <c r="K1633" s="4">
        <f>VLOOKUP(J1633,Exchange_Rates!A:B,2,FALSE)</f>
        <v>1.27</v>
      </c>
      <c r="L1633" s="4">
        <f t="shared" si="100"/>
        <v>600.48140000000001</v>
      </c>
      <c r="M1633" s="4">
        <f t="shared" si="101"/>
        <v>0</v>
      </c>
      <c r="N1633" s="4">
        <f t="shared" si="102"/>
        <v>2024</v>
      </c>
      <c r="O1633" s="4">
        <f t="shared" si="103"/>
        <v>1</v>
      </c>
    </row>
    <row r="1634" spans="1:15" x14ac:dyDescent="0.25">
      <c r="A1634" t="s">
        <v>3307</v>
      </c>
      <c r="B1634" s="2">
        <v>45284</v>
      </c>
      <c r="C1634" t="s">
        <v>38</v>
      </c>
      <c r="D1634" t="s">
        <v>39</v>
      </c>
      <c r="E1634">
        <v>826.92</v>
      </c>
      <c r="F1634">
        <v>0</v>
      </c>
      <c r="G1634" t="s">
        <v>11</v>
      </c>
      <c r="H1634" t="s">
        <v>40</v>
      </c>
      <c r="I1634" t="s">
        <v>3308</v>
      </c>
      <c r="J1634" t="s">
        <v>28</v>
      </c>
      <c r="K1634" s="4">
        <f>VLOOKUP(J1634,Exchange_Rates!A:B,2,FALSE)</f>
        <v>1.27</v>
      </c>
      <c r="L1634" s="4">
        <f t="shared" si="100"/>
        <v>1050.1884</v>
      </c>
      <c r="M1634" s="4">
        <f t="shared" si="101"/>
        <v>0</v>
      </c>
      <c r="N1634" s="4">
        <f t="shared" si="102"/>
        <v>2023</v>
      </c>
      <c r="O1634" s="4">
        <f t="shared" si="103"/>
        <v>4</v>
      </c>
    </row>
    <row r="1635" spans="1:15" x14ac:dyDescent="0.25">
      <c r="A1635" t="s">
        <v>3309</v>
      </c>
      <c r="B1635" s="2">
        <v>44952</v>
      </c>
      <c r="C1635" t="s">
        <v>38</v>
      </c>
      <c r="D1635" t="s">
        <v>39</v>
      </c>
      <c r="E1635">
        <v>882.2</v>
      </c>
      <c r="F1635">
        <v>0</v>
      </c>
      <c r="G1635" t="s">
        <v>12</v>
      </c>
      <c r="H1635" t="s">
        <v>62</v>
      </c>
      <c r="I1635" t="s">
        <v>3310</v>
      </c>
      <c r="J1635" t="s">
        <v>42</v>
      </c>
      <c r="K1635" s="4">
        <f>VLOOKUP(J1635,Exchange_Rates!A:B,2,FALSE)</f>
        <v>0.66</v>
      </c>
      <c r="L1635" s="4">
        <f t="shared" si="100"/>
        <v>582.25200000000007</v>
      </c>
      <c r="M1635" s="4">
        <f t="shared" si="101"/>
        <v>0</v>
      </c>
      <c r="N1635" s="4">
        <f t="shared" si="102"/>
        <v>2023</v>
      </c>
      <c r="O1635" s="4">
        <f t="shared" si="103"/>
        <v>1</v>
      </c>
    </row>
    <row r="1636" spans="1:15" x14ac:dyDescent="0.25">
      <c r="A1636" t="s">
        <v>3311</v>
      </c>
      <c r="B1636" s="2">
        <v>45582</v>
      </c>
      <c r="C1636" t="s">
        <v>38</v>
      </c>
      <c r="D1636" t="s">
        <v>39</v>
      </c>
      <c r="E1636">
        <v>1244.05</v>
      </c>
      <c r="F1636">
        <v>0</v>
      </c>
      <c r="G1636" t="s">
        <v>8</v>
      </c>
      <c r="H1636" t="s">
        <v>26</v>
      </c>
      <c r="I1636" t="s">
        <v>3312</v>
      </c>
      <c r="J1636" t="s">
        <v>28</v>
      </c>
      <c r="K1636" s="4">
        <f>VLOOKUP(J1636,Exchange_Rates!A:B,2,FALSE)</f>
        <v>1.27</v>
      </c>
      <c r="L1636" s="4">
        <f t="shared" si="100"/>
        <v>1579.9434999999999</v>
      </c>
      <c r="M1636" s="4">
        <f t="shared" si="101"/>
        <v>0</v>
      </c>
      <c r="N1636" s="4">
        <f t="shared" si="102"/>
        <v>2024</v>
      </c>
      <c r="O1636" s="4">
        <f t="shared" si="103"/>
        <v>4</v>
      </c>
    </row>
    <row r="1637" spans="1:15" x14ac:dyDescent="0.25">
      <c r="A1637" t="s">
        <v>3313</v>
      </c>
      <c r="B1637" s="2">
        <v>45068</v>
      </c>
      <c r="C1637" t="s">
        <v>24</v>
      </c>
      <c r="D1637" t="s">
        <v>25</v>
      </c>
      <c r="E1637">
        <v>0</v>
      </c>
      <c r="F1637">
        <v>2017.86</v>
      </c>
      <c r="G1637" t="s">
        <v>9</v>
      </c>
      <c r="H1637" t="s">
        <v>26</v>
      </c>
      <c r="I1637" t="s">
        <v>3314</v>
      </c>
      <c r="J1637" t="s">
        <v>64</v>
      </c>
      <c r="K1637" s="4">
        <f>VLOOKUP(J1637,Exchange_Rates!A:B,2,FALSE)</f>
        <v>0.73</v>
      </c>
      <c r="L1637" s="4">
        <f t="shared" si="100"/>
        <v>0</v>
      </c>
      <c r="M1637" s="4">
        <f t="shared" si="101"/>
        <v>1473.0377999999998</v>
      </c>
      <c r="N1637" s="4">
        <f t="shared" si="102"/>
        <v>2023</v>
      </c>
      <c r="O1637" s="4">
        <f t="shared" si="103"/>
        <v>2</v>
      </c>
    </row>
    <row r="1638" spans="1:15" x14ac:dyDescent="0.25">
      <c r="A1638" t="s">
        <v>3315</v>
      </c>
      <c r="B1638" s="2">
        <v>45269</v>
      </c>
      <c r="C1638" t="s">
        <v>49</v>
      </c>
      <c r="D1638" t="s">
        <v>50</v>
      </c>
      <c r="E1638">
        <v>1845.02</v>
      </c>
      <c r="F1638">
        <v>0</v>
      </c>
      <c r="G1638" t="s">
        <v>8</v>
      </c>
      <c r="H1638" t="s">
        <v>51</v>
      </c>
      <c r="I1638" t="s">
        <v>3316</v>
      </c>
      <c r="J1638" t="s">
        <v>64</v>
      </c>
      <c r="K1638" s="4">
        <f>VLOOKUP(J1638,Exchange_Rates!A:B,2,FALSE)</f>
        <v>0.73</v>
      </c>
      <c r="L1638" s="4">
        <f t="shared" si="100"/>
        <v>1346.8645999999999</v>
      </c>
      <c r="M1638" s="4">
        <f t="shared" si="101"/>
        <v>0</v>
      </c>
      <c r="N1638" s="4">
        <f t="shared" si="102"/>
        <v>2023</v>
      </c>
      <c r="O1638" s="4">
        <f t="shared" si="103"/>
        <v>4</v>
      </c>
    </row>
    <row r="1639" spans="1:15" x14ac:dyDescent="0.25">
      <c r="A1639" t="s">
        <v>3317</v>
      </c>
      <c r="B1639" s="2">
        <v>45377</v>
      </c>
      <c r="C1639" t="s">
        <v>24</v>
      </c>
      <c r="D1639" t="s">
        <v>25</v>
      </c>
      <c r="E1639">
        <v>0</v>
      </c>
      <c r="F1639">
        <v>1184.05</v>
      </c>
      <c r="G1639" t="s">
        <v>13</v>
      </c>
      <c r="H1639" t="s">
        <v>40</v>
      </c>
      <c r="I1639" t="s">
        <v>3318</v>
      </c>
      <c r="J1639" t="s">
        <v>42</v>
      </c>
      <c r="K1639" s="4">
        <f>VLOOKUP(J1639,Exchange_Rates!A:B,2,FALSE)</f>
        <v>0.66</v>
      </c>
      <c r="L1639" s="4">
        <f t="shared" si="100"/>
        <v>0</v>
      </c>
      <c r="M1639" s="4">
        <f t="shared" si="101"/>
        <v>781.47299999999996</v>
      </c>
      <c r="N1639" s="4">
        <f t="shared" si="102"/>
        <v>2024</v>
      </c>
      <c r="O1639" s="4">
        <f t="shared" si="103"/>
        <v>1</v>
      </c>
    </row>
    <row r="1640" spans="1:15" x14ac:dyDescent="0.25">
      <c r="A1640" t="s">
        <v>3319</v>
      </c>
      <c r="B1640" s="2">
        <v>45282</v>
      </c>
      <c r="C1640" t="s">
        <v>30</v>
      </c>
      <c r="D1640" t="s">
        <v>31</v>
      </c>
      <c r="E1640">
        <v>1165.1400000000001</v>
      </c>
      <c r="F1640">
        <v>0</v>
      </c>
      <c r="G1640" t="s">
        <v>9</v>
      </c>
      <c r="H1640" t="s">
        <v>62</v>
      </c>
      <c r="I1640" t="s">
        <v>3320</v>
      </c>
      <c r="J1640" t="s">
        <v>42</v>
      </c>
      <c r="K1640" s="4">
        <f>VLOOKUP(J1640,Exchange_Rates!A:B,2,FALSE)</f>
        <v>0.66</v>
      </c>
      <c r="L1640" s="4">
        <f t="shared" si="100"/>
        <v>768.99240000000009</v>
      </c>
      <c r="M1640" s="4">
        <f t="shared" si="101"/>
        <v>0</v>
      </c>
      <c r="N1640" s="4">
        <f t="shared" si="102"/>
        <v>2023</v>
      </c>
      <c r="O1640" s="4">
        <f t="shared" si="103"/>
        <v>4</v>
      </c>
    </row>
    <row r="1641" spans="1:15" x14ac:dyDescent="0.25">
      <c r="A1641" t="s">
        <v>3321</v>
      </c>
      <c r="B1641" s="2">
        <v>45654</v>
      </c>
      <c r="C1641" t="s">
        <v>30</v>
      </c>
      <c r="D1641" t="s">
        <v>31</v>
      </c>
      <c r="E1641">
        <v>641.08000000000004</v>
      </c>
      <c r="F1641">
        <v>0</v>
      </c>
      <c r="G1641" t="s">
        <v>11</v>
      </c>
      <c r="H1641" t="s">
        <v>51</v>
      </c>
      <c r="I1641" t="s">
        <v>3322</v>
      </c>
      <c r="J1641" t="s">
        <v>36</v>
      </c>
      <c r="K1641" s="4">
        <f>VLOOKUP(J1641,Exchange_Rates!A:B,2,FALSE)</f>
        <v>1.08</v>
      </c>
      <c r="L1641" s="4">
        <f t="shared" si="100"/>
        <v>692.36640000000011</v>
      </c>
      <c r="M1641" s="4">
        <f t="shared" si="101"/>
        <v>0</v>
      </c>
      <c r="N1641" s="4">
        <f t="shared" si="102"/>
        <v>2024</v>
      </c>
      <c r="O1641" s="4">
        <f t="shared" si="103"/>
        <v>4</v>
      </c>
    </row>
    <row r="1642" spans="1:15" x14ac:dyDescent="0.25">
      <c r="A1642" t="s">
        <v>3323</v>
      </c>
      <c r="B1642" s="2">
        <v>45116</v>
      </c>
      <c r="C1642" t="s">
        <v>49</v>
      </c>
      <c r="D1642" t="s">
        <v>50</v>
      </c>
      <c r="E1642">
        <v>194.16</v>
      </c>
      <c r="F1642">
        <v>0</v>
      </c>
      <c r="G1642" t="s">
        <v>13</v>
      </c>
      <c r="H1642" t="s">
        <v>40</v>
      </c>
      <c r="I1642" t="s">
        <v>3324</v>
      </c>
      <c r="J1642" t="s">
        <v>64</v>
      </c>
      <c r="K1642" s="4">
        <f>VLOOKUP(J1642,Exchange_Rates!A:B,2,FALSE)</f>
        <v>0.73</v>
      </c>
      <c r="L1642" s="4">
        <f t="shared" si="100"/>
        <v>141.73679999999999</v>
      </c>
      <c r="M1642" s="4">
        <f t="shared" si="101"/>
        <v>0</v>
      </c>
      <c r="N1642" s="4">
        <f t="shared" si="102"/>
        <v>2023</v>
      </c>
      <c r="O1642" s="4">
        <f t="shared" si="103"/>
        <v>3</v>
      </c>
    </row>
    <row r="1643" spans="1:15" x14ac:dyDescent="0.25">
      <c r="A1643" t="s">
        <v>3325</v>
      </c>
      <c r="B1643" s="2">
        <v>45034</v>
      </c>
      <c r="C1643" t="s">
        <v>38</v>
      </c>
      <c r="D1643" t="s">
        <v>39</v>
      </c>
      <c r="E1643">
        <v>262.33999999999997</v>
      </c>
      <c r="F1643">
        <v>0</v>
      </c>
      <c r="G1643" t="s">
        <v>8</v>
      </c>
      <c r="H1643" t="s">
        <v>40</v>
      </c>
      <c r="I1643" t="s">
        <v>3326</v>
      </c>
      <c r="J1643" t="s">
        <v>36</v>
      </c>
      <c r="K1643" s="4">
        <f>VLOOKUP(J1643,Exchange_Rates!A:B,2,FALSE)</f>
        <v>1.08</v>
      </c>
      <c r="L1643" s="4">
        <f t="shared" si="100"/>
        <v>283.3272</v>
      </c>
      <c r="M1643" s="4">
        <f t="shared" si="101"/>
        <v>0</v>
      </c>
      <c r="N1643" s="4">
        <f t="shared" si="102"/>
        <v>2023</v>
      </c>
      <c r="O1643" s="4">
        <f t="shared" si="103"/>
        <v>2</v>
      </c>
    </row>
    <row r="1644" spans="1:15" x14ac:dyDescent="0.25">
      <c r="A1644" t="s">
        <v>3327</v>
      </c>
      <c r="B1644" s="2">
        <v>45464</v>
      </c>
      <c r="C1644" t="s">
        <v>49</v>
      </c>
      <c r="D1644" t="s">
        <v>50</v>
      </c>
      <c r="E1644">
        <v>1269.67</v>
      </c>
      <c r="F1644">
        <v>0</v>
      </c>
      <c r="G1644" t="s">
        <v>10</v>
      </c>
      <c r="H1644" t="s">
        <v>51</v>
      </c>
      <c r="I1644" t="s">
        <v>3328</v>
      </c>
      <c r="J1644" t="s">
        <v>64</v>
      </c>
      <c r="K1644" s="4">
        <f>VLOOKUP(J1644,Exchange_Rates!A:B,2,FALSE)</f>
        <v>0.73</v>
      </c>
      <c r="L1644" s="4">
        <f t="shared" si="100"/>
        <v>926.85910000000001</v>
      </c>
      <c r="M1644" s="4">
        <f t="shared" si="101"/>
        <v>0</v>
      </c>
      <c r="N1644" s="4">
        <f t="shared" si="102"/>
        <v>2024</v>
      </c>
      <c r="O1644" s="4">
        <f t="shared" si="103"/>
        <v>2</v>
      </c>
    </row>
    <row r="1645" spans="1:15" x14ac:dyDescent="0.25">
      <c r="A1645" t="s">
        <v>3329</v>
      </c>
      <c r="B1645" s="2">
        <v>45302</v>
      </c>
      <c r="C1645" t="s">
        <v>24</v>
      </c>
      <c r="D1645" t="s">
        <v>25</v>
      </c>
      <c r="E1645">
        <v>0</v>
      </c>
      <c r="F1645">
        <v>1736.08</v>
      </c>
      <c r="G1645" t="s">
        <v>9</v>
      </c>
      <c r="H1645" t="s">
        <v>51</v>
      </c>
      <c r="I1645" t="s">
        <v>3330</v>
      </c>
      <c r="J1645" t="s">
        <v>28</v>
      </c>
      <c r="K1645" s="4">
        <f>VLOOKUP(J1645,Exchange_Rates!A:B,2,FALSE)</f>
        <v>1.27</v>
      </c>
      <c r="L1645" s="4">
        <f t="shared" si="100"/>
        <v>0</v>
      </c>
      <c r="M1645" s="4">
        <f t="shared" si="101"/>
        <v>2204.8215999999998</v>
      </c>
      <c r="N1645" s="4">
        <f t="shared" si="102"/>
        <v>2024</v>
      </c>
      <c r="O1645" s="4">
        <f t="shared" si="103"/>
        <v>1</v>
      </c>
    </row>
    <row r="1646" spans="1:15" x14ac:dyDescent="0.25">
      <c r="A1646" t="s">
        <v>3331</v>
      </c>
      <c r="B1646" s="2">
        <v>45453</v>
      </c>
      <c r="C1646" t="s">
        <v>49</v>
      </c>
      <c r="D1646" t="s">
        <v>50</v>
      </c>
      <c r="E1646">
        <v>418.98</v>
      </c>
      <c r="F1646">
        <v>0</v>
      </c>
      <c r="G1646" t="s">
        <v>12</v>
      </c>
      <c r="H1646" t="s">
        <v>40</v>
      </c>
      <c r="I1646" t="s">
        <v>3332</v>
      </c>
      <c r="J1646" t="s">
        <v>64</v>
      </c>
      <c r="K1646" s="4">
        <f>VLOOKUP(J1646,Exchange_Rates!A:B,2,FALSE)</f>
        <v>0.73</v>
      </c>
      <c r="L1646" s="4">
        <f t="shared" si="100"/>
        <v>305.85540000000003</v>
      </c>
      <c r="M1646" s="4">
        <f t="shared" si="101"/>
        <v>0</v>
      </c>
      <c r="N1646" s="4">
        <f t="shared" si="102"/>
        <v>2024</v>
      </c>
      <c r="O1646" s="4">
        <f t="shared" si="103"/>
        <v>2</v>
      </c>
    </row>
    <row r="1647" spans="1:15" x14ac:dyDescent="0.25">
      <c r="A1647" t="s">
        <v>3333</v>
      </c>
      <c r="B1647" s="2">
        <v>45069</v>
      </c>
      <c r="C1647" t="s">
        <v>49</v>
      </c>
      <c r="D1647" t="s">
        <v>50</v>
      </c>
      <c r="E1647">
        <v>1106.24</v>
      </c>
      <c r="F1647">
        <v>0</v>
      </c>
      <c r="G1647" t="s">
        <v>8</v>
      </c>
      <c r="H1647" t="s">
        <v>62</v>
      </c>
      <c r="I1647" t="s">
        <v>3334</v>
      </c>
      <c r="J1647" t="s">
        <v>45</v>
      </c>
      <c r="K1647" s="4">
        <f>VLOOKUP(J1647,Exchange_Rates!A:B,2,FALSE)</f>
        <v>1</v>
      </c>
      <c r="L1647" s="4">
        <f t="shared" si="100"/>
        <v>1106.24</v>
      </c>
      <c r="M1647" s="4">
        <f t="shared" si="101"/>
        <v>0</v>
      </c>
      <c r="N1647" s="4">
        <f t="shared" si="102"/>
        <v>2023</v>
      </c>
      <c r="O1647" s="4">
        <f t="shared" si="103"/>
        <v>2</v>
      </c>
    </row>
    <row r="1648" spans="1:15" x14ac:dyDescent="0.25">
      <c r="A1648" t="s">
        <v>3335</v>
      </c>
      <c r="B1648" s="2">
        <v>45075</v>
      </c>
      <c r="C1648" t="s">
        <v>60</v>
      </c>
      <c r="D1648" t="s">
        <v>61</v>
      </c>
      <c r="E1648">
        <v>0</v>
      </c>
      <c r="F1648">
        <v>3037.2</v>
      </c>
      <c r="G1648" t="s">
        <v>8</v>
      </c>
      <c r="H1648" t="s">
        <v>51</v>
      </c>
      <c r="I1648" t="s">
        <v>3336</v>
      </c>
      <c r="J1648" t="s">
        <v>28</v>
      </c>
      <c r="K1648" s="4">
        <f>VLOOKUP(J1648,Exchange_Rates!A:B,2,FALSE)</f>
        <v>1.27</v>
      </c>
      <c r="L1648" s="4">
        <f t="shared" si="100"/>
        <v>0</v>
      </c>
      <c r="M1648" s="4">
        <f t="shared" si="101"/>
        <v>3857.2439999999997</v>
      </c>
      <c r="N1648" s="4">
        <f t="shared" si="102"/>
        <v>2023</v>
      </c>
      <c r="O1648" s="4">
        <f t="shared" si="103"/>
        <v>2</v>
      </c>
    </row>
    <row r="1649" spans="1:15" x14ac:dyDescent="0.25">
      <c r="A1649" t="s">
        <v>3337</v>
      </c>
      <c r="B1649" s="2">
        <v>44968</v>
      </c>
      <c r="C1649" t="s">
        <v>24</v>
      </c>
      <c r="D1649" t="s">
        <v>25</v>
      </c>
      <c r="E1649">
        <v>0</v>
      </c>
      <c r="F1649">
        <v>4063.27</v>
      </c>
      <c r="G1649" t="s">
        <v>13</v>
      </c>
      <c r="H1649" t="s">
        <v>26</v>
      </c>
      <c r="I1649" t="s">
        <v>3338</v>
      </c>
      <c r="J1649" t="s">
        <v>28</v>
      </c>
      <c r="K1649" s="4">
        <f>VLOOKUP(J1649,Exchange_Rates!A:B,2,FALSE)</f>
        <v>1.27</v>
      </c>
      <c r="L1649" s="4">
        <f t="shared" si="100"/>
        <v>0</v>
      </c>
      <c r="M1649" s="4">
        <f t="shared" si="101"/>
        <v>5160.3528999999999</v>
      </c>
      <c r="N1649" s="4">
        <f t="shared" si="102"/>
        <v>2023</v>
      </c>
      <c r="O1649" s="4">
        <f t="shared" si="103"/>
        <v>1</v>
      </c>
    </row>
    <row r="1650" spans="1:15" x14ac:dyDescent="0.25">
      <c r="A1650" t="s">
        <v>3339</v>
      </c>
      <c r="B1650" s="2">
        <v>45169</v>
      </c>
      <c r="C1650" t="s">
        <v>38</v>
      </c>
      <c r="D1650" t="s">
        <v>39</v>
      </c>
      <c r="E1650">
        <v>1920.87</v>
      </c>
      <c r="F1650">
        <v>0</v>
      </c>
      <c r="G1650" t="s">
        <v>8</v>
      </c>
      <c r="H1650" t="s">
        <v>34</v>
      </c>
      <c r="I1650" t="s">
        <v>3340</v>
      </c>
      <c r="J1650" t="s">
        <v>42</v>
      </c>
      <c r="K1650" s="4">
        <f>VLOOKUP(J1650,Exchange_Rates!A:B,2,FALSE)</f>
        <v>0.66</v>
      </c>
      <c r="L1650" s="4">
        <f t="shared" si="100"/>
        <v>1267.7742000000001</v>
      </c>
      <c r="M1650" s="4">
        <f t="shared" si="101"/>
        <v>0</v>
      </c>
      <c r="N1650" s="4">
        <f t="shared" si="102"/>
        <v>2023</v>
      </c>
      <c r="O1650" s="4">
        <f t="shared" si="103"/>
        <v>3</v>
      </c>
    </row>
    <row r="1651" spans="1:15" x14ac:dyDescent="0.25">
      <c r="A1651" t="s">
        <v>3341</v>
      </c>
      <c r="B1651" s="2">
        <v>45502</v>
      </c>
      <c r="C1651" t="s">
        <v>38</v>
      </c>
      <c r="D1651" t="s">
        <v>39</v>
      </c>
      <c r="E1651">
        <v>1167.74</v>
      </c>
      <c r="F1651">
        <v>0</v>
      </c>
      <c r="G1651" t="s">
        <v>8</v>
      </c>
      <c r="H1651" t="s">
        <v>40</v>
      </c>
      <c r="I1651" t="s">
        <v>3342</v>
      </c>
      <c r="J1651" t="s">
        <v>28</v>
      </c>
      <c r="K1651" s="4">
        <f>VLOOKUP(J1651,Exchange_Rates!A:B,2,FALSE)</f>
        <v>1.27</v>
      </c>
      <c r="L1651" s="4">
        <f t="shared" si="100"/>
        <v>1483.0298</v>
      </c>
      <c r="M1651" s="4">
        <f t="shared" si="101"/>
        <v>0</v>
      </c>
      <c r="N1651" s="4">
        <f t="shared" si="102"/>
        <v>2024</v>
      </c>
      <c r="O1651" s="4">
        <f t="shared" si="103"/>
        <v>3</v>
      </c>
    </row>
    <row r="1652" spans="1:15" x14ac:dyDescent="0.25">
      <c r="A1652" t="s">
        <v>3343</v>
      </c>
      <c r="B1652" s="2">
        <v>45784</v>
      </c>
      <c r="C1652" t="s">
        <v>30</v>
      </c>
      <c r="D1652" t="s">
        <v>31</v>
      </c>
      <c r="E1652">
        <v>686.31</v>
      </c>
      <c r="F1652">
        <v>0</v>
      </c>
      <c r="G1652" t="s">
        <v>8</v>
      </c>
      <c r="H1652" t="s">
        <v>40</v>
      </c>
      <c r="I1652" t="s">
        <v>3344</v>
      </c>
      <c r="J1652" t="s">
        <v>45</v>
      </c>
      <c r="K1652" s="4">
        <f>VLOOKUP(J1652,Exchange_Rates!A:B,2,FALSE)</f>
        <v>1</v>
      </c>
      <c r="L1652" s="4">
        <f t="shared" si="100"/>
        <v>686.31</v>
      </c>
      <c r="M1652" s="4">
        <f t="shared" si="101"/>
        <v>0</v>
      </c>
      <c r="N1652" s="4">
        <f t="shared" si="102"/>
        <v>2025</v>
      </c>
      <c r="O1652" s="4">
        <f t="shared" si="103"/>
        <v>2</v>
      </c>
    </row>
    <row r="1653" spans="1:15" x14ac:dyDescent="0.25">
      <c r="A1653" t="s">
        <v>3345</v>
      </c>
      <c r="B1653" s="2">
        <v>45682</v>
      </c>
      <c r="C1653" t="s">
        <v>24</v>
      </c>
      <c r="D1653" t="s">
        <v>25</v>
      </c>
      <c r="E1653">
        <v>0</v>
      </c>
      <c r="F1653">
        <v>1294.23</v>
      </c>
      <c r="G1653" t="s">
        <v>13</v>
      </c>
      <c r="H1653" t="s">
        <v>34</v>
      </c>
      <c r="I1653" t="s">
        <v>3346</v>
      </c>
      <c r="J1653" t="s">
        <v>45</v>
      </c>
      <c r="K1653" s="4">
        <f>VLOOKUP(J1653,Exchange_Rates!A:B,2,FALSE)</f>
        <v>1</v>
      </c>
      <c r="L1653" s="4">
        <f t="shared" si="100"/>
        <v>0</v>
      </c>
      <c r="M1653" s="4">
        <f t="shared" si="101"/>
        <v>1294.23</v>
      </c>
      <c r="N1653" s="4">
        <f t="shared" si="102"/>
        <v>2025</v>
      </c>
      <c r="O1653" s="4">
        <f t="shared" si="103"/>
        <v>1</v>
      </c>
    </row>
    <row r="1654" spans="1:15" x14ac:dyDescent="0.25">
      <c r="A1654" t="s">
        <v>3347</v>
      </c>
      <c r="B1654" s="2">
        <v>45493</v>
      </c>
      <c r="C1654" t="s">
        <v>49</v>
      </c>
      <c r="D1654" t="s">
        <v>50</v>
      </c>
      <c r="E1654">
        <v>1657.22</v>
      </c>
      <c r="F1654">
        <v>0</v>
      </c>
      <c r="G1654" t="s">
        <v>10</v>
      </c>
      <c r="H1654" t="s">
        <v>26</v>
      </c>
      <c r="I1654" t="s">
        <v>3348</v>
      </c>
      <c r="J1654" t="s">
        <v>36</v>
      </c>
      <c r="K1654" s="4">
        <f>VLOOKUP(J1654,Exchange_Rates!A:B,2,FALSE)</f>
        <v>1.08</v>
      </c>
      <c r="L1654" s="4">
        <f t="shared" si="100"/>
        <v>1789.7976000000001</v>
      </c>
      <c r="M1654" s="4">
        <f t="shared" si="101"/>
        <v>0</v>
      </c>
      <c r="N1654" s="4">
        <f t="shared" si="102"/>
        <v>2024</v>
      </c>
      <c r="O1654" s="4">
        <f t="shared" si="103"/>
        <v>3</v>
      </c>
    </row>
    <row r="1655" spans="1:15" x14ac:dyDescent="0.25">
      <c r="A1655" t="s">
        <v>3349</v>
      </c>
      <c r="B1655" s="2">
        <v>45455</v>
      </c>
      <c r="C1655" t="s">
        <v>60</v>
      </c>
      <c r="D1655" t="s">
        <v>61</v>
      </c>
      <c r="E1655">
        <v>0</v>
      </c>
      <c r="F1655">
        <v>677.29</v>
      </c>
      <c r="G1655" t="s">
        <v>8</v>
      </c>
      <c r="H1655" t="s">
        <v>40</v>
      </c>
      <c r="I1655" t="s">
        <v>3350</v>
      </c>
      <c r="J1655" t="s">
        <v>45</v>
      </c>
      <c r="K1655" s="4">
        <f>VLOOKUP(J1655,Exchange_Rates!A:B,2,FALSE)</f>
        <v>1</v>
      </c>
      <c r="L1655" s="4">
        <f t="shared" si="100"/>
        <v>0</v>
      </c>
      <c r="M1655" s="4">
        <f t="shared" si="101"/>
        <v>677.29</v>
      </c>
      <c r="N1655" s="4">
        <f t="shared" si="102"/>
        <v>2024</v>
      </c>
      <c r="O1655" s="4">
        <f t="shared" si="103"/>
        <v>2</v>
      </c>
    </row>
    <row r="1656" spans="1:15" x14ac:dyDescent="0.25">
      <c r="A1656" t="s">
        <v>3351</v>
      </c>
      <c r="B1656" s="2">
        <v>45604</v>
      </c>
      <c r="C1656" t="s">
        <v>38</v>
      </c>
      <c r="D1656" t="s">
        <v>39</v>
      </c>
      <c r="E1656">
        <v>1765.08</v>
      </c>
      <c r="F1656">
        <v>0</v>
      </c>
      <c r="G1656" t="s">
        <v>10</v>
      </c>
      <c r="H1656" t="s">
        <v>40</v>
      </c>
      <c r="I1656" t="s">
        <v>3352</v>
      </c>
      <c r="J1656" t="s">
        <v>45</v>
      </c>
      <c r="K1656" s="4">
        <f>VLOOKUP(J1656,Exchange_Rates!A:B,2,FALSE)</f>
        <v>1</v>
      </c>
      <c r="L1656" s="4">
        <f t="shared" si="100"/>
        <v>1765.08</v>
      </c>
      <c r="M1656" s="4">
        <f t="shared" si="101"/>
        <v>0</v>
      </c>
      <c r="N1656" s="4">
        <f t="shared" si="102"/>
        <v>2024</v>
      </c>
      <c r="O1656" s="4">
        <f t="shared" si="103"/>
        <v>4</v>
      </c>
    </row>
    <row r="1657" spans="1:15" x14ac:dyDescent="0.25">
      <c r="A1657" t="s">
        <v>3353</v>
      </c>
      <c r="B1657" s="2">
        <v>45218</v>
      </c>
      <c r="C1657" t="s">
        <v>24</v>
      </c>
      <c r="D1657" t="s">
        <v>25</v>
      </c>
      <c r="E1657">
        <v>0</v>
      </c>
      <c r="F1657">
        <v>3407.83</v>
      </c>
      <c r="G1657" t="s">
        <v>11</v>
      </c>
      <c r="H1657" t="s">
        <v>51</v>
      </c>
      <c r="I1657" t="s">
        <v>3354</v>
      </c>
      <c r="J1657" t="s">
        <v>64</v>
      </c>
      <c r="K1657" s="4">
        <f>VLOOKUP(J1657,Exchange_Rates!A:B,2,FALSE)</f>
        <v>0.73</v>
      </c>
      <c r="L1657" s="4">
        <f t="shared" si="100"/>
        <v>0</v>
      </c>
      <c r="M1657" s="4">
        <f t="shared" si="101"/>
        <v>2487.7158999999997</v>
      </c>
      <c r="N1657" s="4">
        <f t="shared" si="102"/>
        <v>2023</v>
      </c>
      <c r="O1657" s="4">
        <f t="shared" si="103"/>
        <v>4</v>
      </c>
    </row>
    <row r="1658" spans="1:15" x14ac:dyDescent="0.25">
      <c r="A1658" t="s">
        <v>3355</v>
      </c>
      <c r="B1658" s="2">
        <v>45246</v>
      </c>
      <c r="C1658" t="s">
        <v>49</v>
      </c>
      <c r="D1658" t="s">
        <v>50</v>
      </c>
      <c r="E1658">
        <v>543.41</v>
      </c>
      <c r="F1658">
        <v>0</v>
      </c>
      <c r="G1658" t="s">
        <v>9</v>
      </c>
      <c r="H1658" t="s">
        <v>40</v>
      </c>
      <c r="I1658" t="s">
        <v>3356</v>
      </c>
      <c r="J1658" t="s">
        <v>45</v>
      </c>
      <c r="K1658" s="4">
        <f>VLOOKUP(J1658,Exchange_Rates!A:B,2,FALSE)</f>
        <v>1</v>
      </c>
      <c r="L1658" s="4">
        <f t="shared" si="100"/>
        <v>543.41</v>
      </c>
      <c r="M1658" s="4">
        <f t="shared" si="101"/>
        <v>0</v>
      </c>
      <c r="N1658" s="4">
        <f t="shared" si="102"/>
        <v>2023</v>
      </c>
      <c r="O1658" s="4">
        <f t="shared" si="103"/>
        <v>4</v>
      </c>
    </row>
    <row r="1659" spans="1:15" x14ac:dyDescent="0.25">
      <c r="A1659" t="s">
        <v>3357</v>
      </c>
      <c r="B1659" s="2">
        <v>45116</v>
      </c>
      <c r="C1659" t="s">
        <v>30</v>
      </c>
      <c r="D1659" t="s">
        <v>31</v>
      </c>
      <c r="E1659">
        <v>408.27</v>
      </c>
      <c r="F1659">
        <v>0</v>
      </c>
      <c r="G1659" t="s">
        <v>10</v>
      </c>
      <c r="H1659" t="s">
        <v>26</v>
      </c>
      <c r="I1659" t="s">
        <v>3358</v>
      </c>
      <c r="J1659" t="s">
        <v>36</v>
      </c>
      <c r="K1659" s="4">
        <f>VLOOKUP(J1659,Exchange_Rates!A:B,2,FALSE)</f>
        <v>1.08</v>
      </c>
      <c r="L1659" s="4">
        <f t="shared" si="100"/>
        <v>440.9316</v>
      </c>
      <c r="M1659" s="4">
        <f t="shared" si="101"/>
        <v>0</v>
      </c>
      <c r="N1659" s="4">
        <f t="shared" si="102"/>
        <v>2023</v>
      </c>
      <c r="O1659" s="4">
        <f t="shared" si="103"/>
        <v>3</v>
      </c>
    </row>
    <row r="1660" spans="1:15" x14ac:dyDescent="0.25">
      <c r="A1660" t="s">
        <v>3359</v>
      </c>
      <c r="B1660" s="2">
        <v>45699</v>
      </c>
      <c r="C1660" t="s">
        <v>24</v>
      </c>
      <c r="D1660" t="s">
        <v>25</v>
      </c>
      <c r="E1660">
        <v>0</v>
      </c>
      <c r="F1660">
        <v>1300.21</v>
      </c>
      <c r="G1660" t="s">
        <v>13</v>
      </c>
      <c r="H1660" t="s">
        <v>40</v>
      </c>
      <c r="I1660" t="s">
        <v>3360</v>
      </c>
      <c r="J1660" t="s">
        <v>42</v>
      </c>
      <c r="K1660" s="4">
        <f>VLOOKUP(J1660,Exchange_Rates!A:B,2,FALSE)</f>
        <v>0.66</v>
      </c>
      <c r="L1660" s="4">
        <f t="shared" si="100"/>
        <v>0</v>
      </c>
      <c r="M1660" s="4">
        <f t="shared" si="101"/>
        <v>858.13860000000011</v>
      </c>
      <c r="N1660" s="4">
        <f t="shared" si="102"/>
        <v>2025</v>
      </c>
      <c r="O1660" s="4">
        <f t="shared" si="103"/>
        <v>1</v>
      </c>
    </row>
    <row r="1661" spans="1:15" x14ac:dyDescent="0.25">
      <c r="A1661" t="s">
        <v>3361</v>
      </c>
      <c r="B1661" s="2">
        <v>45093</v>
      </c>
      <c r="C1661" t="s">
        <v>30</v>
      </c>
      <c r="D1661" t="s">
        <v>31</v>
      </c>
      <c r="E1661">
        <v>1326.8</v>
      </c>
      <c r="F1661">
        <v>0</v>
      </c>
      <c r="G1661" t="s">
        <v>13</v>
      </c>
      <c r="H1661" t="s">
        <v>26</v>
      </c>
      <c r="I1661" t="s">
        <v>3362</v>
      </c>
      <c r="J1661" t="s">
        <v>45</v>
      </c>
      <c r="K1661" s="4">
        <f>VLOOKUP(J1661,Exchange_Rates!A:B,2,FALSE)</f>
        <v>1</v>
      </c>
      <c r="L1661" s="4">
        <f t="shared" si="100"/>
        <v>1326.8</v>
      </c>
      <c r="M1661" s="4">
        <f t="shared" si="101"/>
        <v>0</v>
      </c>
      <c r="N1661" s="4">
        <f t="shared" si="102"/>
        <v>2023</v>
      </c>
      <c r="O1661" s="4">
        <f t="shared" si="103"/>
        <v>2</v>
      </c>
    </row>
    <row r="1662" spans="1:15" x14ac:dyDescent="0.25">
      <c r="A1662" t="s">
        <v>3363</v>
      </c>
      <c r="B1662" s="2">
        <v>45745</v>
      </c>
      <c r="C1662" t="s">
        <v>24</v>
      </c>
      <c r="D1662" t="s">
        <v>25</v>
      </c>
      <c r="E1662">
        <v>0</v>
      </c>
      <c r="F1662">
        <v>2057.71</v>
      </c>
      <c r="G1662" t="s">
        <v>12</v>
      </c>
      <c r="H1662" t="s">
        <v>40</v>
      </c>
      <c r="I1662" t="s">
        <v>3364</v>
      </c>
      <c r="J1662" t="s">
        <v>64</v>
      </c>
      <c r="K1662" s="4">
        <f>VLOOKUP(J1662,Exchange_Rates!A:B,2,FALSE)</f>
        <v>0.73</v>
      </c>
      <c r="L1662" s="4">
        <f t="shared" si="100"/>
        <v>0</v>
      </c>
      <c r="M1662" s="4">
        <f t="shared" si="101"/>
        <v>1502.1283000000001</v>
      </c>
      <c r="N1662" s="4">
        <f t="shared" si="102"/>
        <v>2025</v>
      </c>
      <c r="O1662" s="4">
        <f t="shared" si="103"/>
        <v>1</v>
      </c>
    </row>
    <row r="1663" spans="1:15" x14ac:dyDescent="0.25">
      <c r="A1663" t="s">
        <v>3365</v>
      </c>
      <c r="B1663" s="2">
        <v>45320</v>
      </c>
      <c r="C1663" t="s">
        <v>30</v>
      </c>
      <c r="D1663" t="s">
        <v>31</v>
      </c>
      <c r="E1663">
        <v>1959.6</v>
      </c>
      <c r="F1663">
        <v>0</v>
      </c>
      <c r="G1663" t="s">
        <v>12</v>
      </c>
      <c r="H1663" t="s">
        <v>26</v>
      </c>
      <c r="I1663" t="s">
        <v>3366</v>
      </c>
      <c r="J1663" t="s">
        <v>42</v>
      </c>
      <c r="K1663" s="4">
        <f>VLOOKUP(J1663,Exchange_Rates!A:B,2,FALSE)</f>
        <v>0.66</v>
      </c>
      <c r="L1663" s="4">
        <f t="shared" si="100"/>
        <v>1293.336</v>
      </c>
      <c r="M1663" s="4">
        <f t="shared" si="101"/>
        <v>0</v>
      </c>
      <c r="N1663" s="4">
        <f t="shared" si="102"/>
        <v>2024</v>
      </c>
      <c r="O1663" s="4">
        <f t="shared" si="103"/>
        <v>1</v>
      </c>
    </row>
    <row r="1664" spans="1:15" x14ac:dyDescent="0.25">
      <c r="A1664" t="s">
        <v>3367</v>
      </c>
      <c r="B1664" s="2">
        <v>45740</v>
      </c>
      <c r="C1664" t="s">
        <v>30</v>
      </c>
      <c r="D1664" t="s">
        <v>31</v>
      </c>
      <c r="E1664">
        <v>1047.3399999999999</v>
      </c>
      <c r="F1664">
        <v>0</v>
      </c>
      <c r="G1664" t="s">
        <v>9</v>
      </c>
      <c r="H1664" t="s">
        <v>62</v>
      </c>
      <c r="I1664" t="s">
        <v>3368</v>
      </c>
      <c r="J1664" t="s">
        <v>42</v>
      </c>
      <c r="K1664" s="4">
        <f>VLOOKUP(J1664,Exchange_Rates!A:B,2,FALSE)</f>
        <v>0.66</v>
      </c>
      <c r="L1664" s="4">
        <f t="shared" si="100"/>
        <v>691.24439999999993</v>
      </c>
      <c r="M1664" s="4">
        <f t="shared" si="101"/>
        <v>0</v>
      </c>
      <c r="N1664" s="4">
        <f t="shared" si="102"/>
        <v>2025</v>
      </c>
      <c r="O1664" s="4">
        <f t="shared" si="103"/>
        <v>1</v>
      </c>
    </row>
    <row r="1665" spans="1:15" x14ac:dyDescent="0.25">
      <c r="A1665" t="s">
        <v>3369</v>
      </c>
      <c r="B1665" s="2">
        <v>45578</v>
      </c>
      <c r="C1665" t="s">
        <v>60</v>
      </c>
      <c r="D1665" t="s">
        <v>61</v>
      </c>
      <c r="E1665">
        <v>0</v>
      </c>
      <c r="F1665">
        <v>3260.6</v>
      </c>
      <c r="G1665" t="s">
        <v>10</v>
      </c>
      <c r="H1665" t="s">
        <v>40</v>
      </c>
      <c r="I1665" t="s">
        <v>3370</v>
      </c>
      <c r="J1665" t="s">
        <v>42</v>
      </c>
      <c r="K1665" s="4">
        <f>VLOOKUP(J1665,Exchange_Rates!A:B,2,FALSE)</f>
        <v>0.66</v>
      </c>
      <c r="L1665" s="4">
        <f t="shared" si="100"/>
        <v>0</v>
      </c>
      <c r="M1665" s="4">
        <f t="shared" si="101"/>
        <v>2151.9960000000001</v>
      </c>
      <c r="N1665" s="4">
        <f t="shared" si="102"/>
        <v>2024</v>
      </c>
      <c r="O1665" s="4">
        <f t="shared" si="103"/>
        <v>4</v>
      </c>
    </row>
    <row r="1666" spans="1:15" x14ac:dyDescent="0.25">
      <c r="A1666" t="s">
        <v>3371</v>
      </c>
      <c r="B1666" s="2">
        <v>45062</v>
      </c>
      <c r="C1666" t="s">
        <v>38</v>
      </c>
      <c r="D1666" t="s">
        <v>39</v>
      </c>
      <c r="E1666">
        <v>1149.3599999999999</v>
      </c>
      <c r="F1666">
        <v>0</v>
      </c>
      <c r="G1666" t="s">
        <v>12</v>
      </c>
      <c r="H1666" t="s">
        <v>40</v>
      </c>
      <c r="I1666" t="s">
        <v>3372</v>
      </c>
      <c r="J1666" t="s">
        <v>42</v>
      </c>
      <c r="K1666" s="4">
        <f>VLOOKUP(J1666,Exchange_Rates!A:B,2,FALSE)</f>
        <v>0.66</v>
      </c>
      <c r="L1666" s="4">
        <f t="shared" si="100"/>
        <v>758.57759999999996</v>
      </c>
      <c r="M1666" s="4">
        <f t="shared" si="101"/>
        <v>0</v>
      </c>
      <c r="N1666" s="4">
        <f t="shared" si="102"/>
        <v>2023</v>
      </c>
      <c r="O1666" s="4">
        <f t="shared" si="103"/>
        <v>2</v>
      </c>
    </row>
    <row r="1667" spans="1:15" x14ac:dyDescent="0.25">
      <c r="A1667" t="s">
        <v>3373</v>
      </c>
      <c r="B1667" s="2">
        <v>44982</v>
      </c>
      <c r="C1667" t="s">
        <v>60</v>
      </c>
      <c r="D1667" t="s">
        <v>61</v>
      </c>
      <c r="E1667">
        <v>0</v>
      </c>
      <c r="F1667">
        <v>1766.14</v>
      </c>
      <c r="G1667" t="s">
        <v>8</v>
      </c>
      <c r="H1667" t="s">
        <v>34</v>
      </c>
      <c r="I1667" t="s">
        <v>3374</v>
      </c>
      <c r="J1667" t="s">
        <v>64</v>
      </c>
      <c r="K1667" s="4">
        <f>VLOOKUP(J1667,Exchange_Rates!A:B,2,FALSE)</f>
        <v>0.73</v>
      </c>
      <c r="L1667" s="4">
        <f t="shared" ref="L1667:L1730" si="104">E1667*K1667</f>
        <v>0</v>
      </c>
      <c r="M1667" s="4">
        <f t="shared" ref="M1667:M1730" si="105">F1667*K1667</f>
        <v>1289.2822000000001</v>
      </c>
      <c r="N1667" s="4">
        <f t="shared" ref="N1667:N1730" si="106">YEAR(B1667)</f>
        <v>2023</v>
      </c>
      <c r="O1667" s="4">
        <f t="shared" ref="O1667:O1730" si="107">ROUNDUP(MONTH(B1667)/3,0)</f>
        <v>1</v>
      </c>
    </row>
    <row r="1668" spans="1:15" x14ac:dyDescent="0.25">
      <c r="A1668" t="s">
        <v>3375</v>
      </c>
      <c r="B1668" s="2">
        <v>45151</v>
      </c>
      <c r="C1668" t="s">
        <v>38</v>
      </c>
      <c r="D1668" t="s">
        <v>39</v>
      </c>
      <c r="E1668">
        <v>1403.79</v>
      </c>
      <c r="F1668">
        <v>0</v>
      </c>
      <c r="G1668" t="s">
        <v>8</v>
      </c>
      <c r="H1668" t="s">
        <v>40</v>
      </c>
      <c r="I1668" t="s">
        <v>3376</v>
      </c>
      <c r="J1668" t="s">
        <v>36</v>
      </c>
      <c r="K1668" s="4">
        <f>VLOOKUP(J1668,Exchange_Rates!A:B,2,FALSE)</f>
        <v>1.08</v>
      </c>
      <c r="L1668" s="4">
        <f t="shared" si="104"/>
        <v>1516.0932</v>
      </c>
      <c r="M1668" s="4">
        <f t="shared" si="105"/>
        <v>0</v>
      </c>
      <c r="N1668" s="4">
        <f t="shared" si="106"/>
        <v>2023</v>
      </c>
      <c r="O1668" s="4">
        <f t="shared" si="107"/>
        <v>3</v>
      </c>
    </row>
    <row r="1669" spans="1:15" x14ac:dyDescent="0.25">
      <c r="A1669" t="s">
        <v>3377</v>
      </c>
      <c r="B1669" s="2">
        <v>45354</v>
      </c>
      <c r="C1669" t="s">
        <v>24</v>
      </c>
      <c r="D1669" t="s">
        <v>25</v>
      </c>
      <c r="E1669">
        <v>0</v>
      </c>
      <c r="F1669">
        <v>4061.44</v>
      </c>
      <c r="G1669" t="s">
        <v>10</v>
      </c>
      <c r="H1669" t="s">
        <v>62</v>
      </c>
      <c r="I1669" t="s">
        <v>3378</v>
      </c>
      <c r="J1669" t="s">
        <v>45</v>
      </c>
      <c r="K1669" s="4">
        <f>VLOOKUP(J1669,Exchange_Rates!A:B,2,FALSE)</f>
        <v>1</v>
      </c>
      <c r="L1669" s="4">
        <f t="shared" si="104"/>
        <v>0</v>
      </c>
      <c r="M1669" s="4">
        <f t="shared" si="105"/>
        <v>4061.44</v>
      </c>
      <c r="N1669" s="4">
        <f t="shared" si="106"/>
        <v>2024</v>
      </c>
      <c r="O1669" s="4">
        <f t="shared" si="107"/>
        <v>1</v>
      </c>
    </row>
    <row r="1670" spans="1:15" x14ac:dyDescent="0.25">
      <c r="A1670" t="s">
        <v>3379</v>
      </c>
      <c r="B1670" s="2">
        <v>45026</v>
      </c>
      <c r="C1670" t="s">
        <v>49</v>
      </c>
      <c r="D1670" t="s">
        <v>50</v>
      </c>
      <c r="E1670">
        <v>1472.53</v>
      </c>
      <c r="F1670">
        <v>0</v>
      </c>
      <c r="G1670" t="s">
        <v>9</v>
      </c>
      <c r="H1670" t="s">
        <v>51</v>
      </c>
      <c r="I1670" t="s">
        <v>3380</v>
      </c>
      <c r="J1670" t="s">
        <v>64</v>
      </c>
      <c r="K1670" s="4">
        <f>VLOOKUP(J1670,Exchange_Rates!A:B,2,FALSE)</f>
        <v>0.73</v>
      </c>
      <c r="L1670" s="4">
        <f t="shared" si="104"/>
        <v>1074.9468999999999</v>
      </c>
      <c r="M1670" s="4">
        <f t="shared" si="105"/>
        <v>0</v>
      </c>
      <c r="N1670" s="4">
        <f t="shared" si="106"/>
        <v>2023</v>
      </c>
      <c r="O1670" s="4">
        <f t="shared" si="107"/>
        <v>2</v>
      </c>
    </row>
    <row r="1671" spans="1:15" x14ac:dyDescent="0.25">
      <c r="A1671" t="s">
        <v>3381</v>
      </c>
      <c r="B1671" s="2">
        <v>45269</v>
      </c>
      <c r="C1671" t="s">
        <v>60</v>
      </c>
      <c r="D1671" t="s">
        <v>61</v>
      </c>
      <c r="E1671">
        <v>0</v>
      </c>
      <c r="F1671">
        <v>4153.5600000000004</v>
      </c>
      <c r="G1671" t="s">
        <v>12</v>
      </c>
      <c r="H1671" t="s">
        <v>34</v>
      </c>
      <c r="I1671" t="s">
        <v>3382</v>
      </c>
      <c r="J1671" t="s">
        <v>42</v>
      </c>
      <c r="K1671" s="4">
        <f>VLOOKUP(J1671,Exchange_Rates!A:B,2,FALSE)</f>
        <v>0.66</v>
      </c>
      <c r="L1671" s="4">
        <f t="shared" si="104"/>
        <v>0</v>
      </c>
      <c r="M1671" s="4">
        <f t="shared" si="105"/>
        <v>2741.3496000000005</v>
      </c>
      <c r="N1671" s="4">
        <f t="shared" si="106"/>
        <v>2023</v>
      </c>
      <c r="O1671" s="4">
        <f t="shared" si="107"/>
        <v>4</v>
      </c>
    </row>
    <row r="1672" spans="1:15" x14ac:dyDescent="0.25">
      <c r="A1672" t="s">
        <v>3383</v>
      </c>
      <c r="B1672" s="2">
        <v>44994</v>
      </c>
      <c r="C1672" t="s">
        <v>24</v>
      </c>
      <c r="D1672" t="s">
        <v>25</v>
      </c>
      <c r="E1672">
        <v>0</v>
      </c>
      <c r="F1672">
        <v>1559.52</v>
      </c>
      <c r="G1672" t="s">
        <v>10</v>
      </c>
      <c r="H1672" t="s">
        <v>34</v>
      </c>
      <c r="I1672" t="s">
        <v>3384</v>
      </c>
      <c r="J1672" t="s">
        <v>42</v>
      </c>
      <c r="K1672" s="4">
        <f>VLOOKUP(J1672,Exchange_Rates!A:B,2,FALSE)</f>
        <v>0.66</v>
      </c>
      <c r="L1672" s="4">
        <f t="shared" si="104"/>
        <v>0</v>
      </c>
      <c r="M1672" s="4">
        <f t="shared" si="105"/>
        <v>1029.2832000000001</v>
      </c>
      <c r="N1672" s="4">
        <f t="shared" si="106"/>
        <v>2023</v>
      </c>
      <c r="O1672" s="4">
        <f t="shared" si="107"/>
        <v>1</v>
      </c>
    </row>
    <row r="1673" spans="1:15" x14ac:dyDescent="0.25">
      <c r="A1673" t="s">
        <v>3385</v>
      </c>
      <c r="B1673" s="2">
        <v>44999</v>
      </c>
      <c r="C1673" t="s">
        <v>30</v>
      </c>
      <c r="D1673" t="s">
        <v>31</v>
      </c>
      <c r="E1673">
        <v>1478.02</v>
      </c>
      <c r="F1673">
        <v>0</v>
      </c>
      <c r="G1673" t="s">
        <v>8</v>
      </c>
      <c r="H1673" t="s">
        <v>40</v>
      </c>
      <c r="I1673" t="s">
        <v>3386</v>
      </c>
      <c r="J1673" t="s">
        <v>45</v>
      </c>
      <c r="K1673" s="4">
        <f>VLOOKUP(J1673,Exchange_Rates!A:B,2,FALSE)</f>
        <v>1</v>
      </c>
      <c r="L1673" s="4">
        <f t="shared" si="104"/>
        <v>1478.02</v>
      </c>
      <c r="M1673" s="4">
        <f t="shared" si="105"/>
        <v>0</v>
      </c>
      <c r="N1673" s="4">
        <f t="shared" si="106"/>
        <v>2023</v>
      </c>
      <c r="O1673" s="4">
        <f t="shared" si="107"/>
        <v>1</v>
      </c>
    </row>
    <row r="1674" spans="1:15" x14ac:dyDescent="0.25">
      <c r="A1674" t="s">
        <v>3387</v>
      </c>
      <c r="B1674" s="2">
        <v>45169</v>
      </c>
      <c r="C1674" t="s">
        <v>38</v>
      </c>
      <c r="D1674" t="s">
        <v>39</v>
      </c>
      <c r="E1674">
        <v>423.96</v>
      </c>
      <c r="F1674">
        <v>0</v>
      </c>
      <c r="G1674" t="s">
        <v>9</v>
      </c>
      <c r="H1674" t="s">
        <v>51</v>
      </c>
      <c r="I1674" t="s">
        <v>3388</v>
      </c>
      <c r="J1674" t="s">
        <v>64</v>
      </c>
      <c r="K1674" s="4">
        <f>VLOOKUP(J1674,Exchange_Rates!A:B,2,FALSE)</f>
        <v>0.73</v>
      </c>
      <c r="L1674" s="4">
        <f t="shared" si="104"/>
        <v>309.49079999999998</v>
      </c>
      <c r="M1674" s="4">
        <f t="shared" si="105"/>
        <v>0</v>
      </c>
      <c r="N1674" s="4">
        <f t="shared" si="106"/>
        <v>2023</v>
      </c>
      <c r="O1674" s="4">
        <f t="shared" si="107"/>
        <v>3</v>
      </c>
    </row>
    <row r="1675" spans="1:15" x14ac:dyDescent="0.25">
      <c r="A1675" t="s">
        <v>3389</v>
      </c>
      <c r="B1675" s="2">
        <v>44984</v>
      </c>
      <c r="C1675" t="s">
        <v>60</v>
      </c>
      <c r="D1675" t="s">
        <v>61</v>
      </c>
      <c r="E1675">
        <v>0</v>
      </c>
      <c r="F1675">
        <v>1027.73</v>
      </c>
      <c r="G1675" t="s">
        <v>10</v>
      </c>
      <c r="H1675" t="s">
        <v>51</v>
      </c>
      <c r="I1675" t="s">
        <v>3390</v>
      </c>
      <c r="J1675" t="s">
        <v>64</v>
      </c>
      <c r="K1675" s="4">
        <f>VLOOKUP(J1675,Exchange_Rates!A:B,2,FALSE)</f>
        <v>0.73</v>
      </c>
      <c r="L1675" s="4">
        <f t="shared" si="104"/>
        <v>0</v>
      </c>
      <c r="M1675" s="4">
        <f t="shared" si="105"/>
        <v>750.24289999999996</v>
      </c>
      <c r="N1675" s="4">
        <f t="shared" si="106"/>
        <v>2023</v>
      </c>
      <c r="O1675" s="4">
        <f t="shared" si="107"/>
        <v>1</v>
      </c>
    </row>
    <row r="1676" spans="1:15" x14ac:dyDescent="0.25">
      <c r="A1676" t="s">
        <v>3391</v>
      </c>
      <c r="B1676" s="2">
        <v>45570</v>
      </c>
      <c r="C1676" t="s">
        <v>24</v>
      </c>
      <c r="D1676" t="s">
        <v>25</v>
      </c>
      <c r="E1676">
        <v>0</v>
      </c>
      <c r="F1676">
        <v>1661.02</v>
      </c>
      <c r="G1676" t="s">
        <v>8</v>
      </c>
      <c r="H1676" t="s">
        <v>40</v>
      </c>
      <c r="I1676" t="s">
        <v>3392</v>
      </c>
      <c r="J1676" t="s">
        <v>36</v>
      </c>
      <c r="K1676" s="4">
        <f>VLOOKUP(J1676,Exchange_Rates!A:B,2,FALSE)</f>
        <v>1.08</v>
      </c>
      <c r="L1676" s="4">
        <f t="shared" si="104"/>
        <v>0</v>
      </c>
      <c r="M1676" s="4">
        <f t="shared" si="105"/>
        <v>1793.9016000000001</v>
      </c>
      <c r="N1676" s="4">
        <f t="shared" si="106"/>
        <v>2024</v>
      </c>
      <c r="O1676" s="4">
        <f t="shared" si="107"/>
        <v>4</v>
      </c>
    </row>
    <row r="1677" spans="1:15" x14ac:dyDescent="0.25">
      <c r="A1677" t="s">
        <v>3393</v>
      </c>
      <c r="B1677" s="2">
        <v>45147</v>
      </c>
      <c r="C1677" t="s">
        <v>60</v>
      </c>
      <c r="D1677" t="s">
        <v>61</v>
      </c>
      <c r="E1677">
        <v>0</v>
      </c>
      <c r="F1677">
        <v>1263.17</v>
      </c>
      <c r="G1677" t="s">
        <v>9</v>
      </c>
      <c r="H1677" t="s">
        <v>62</v>
      </c>
      <c r="I1677" t="s">
        <v>3394</v>
      </c>
      <c r="J1677" t="s">
        <v>36</v>
      </c>
      <c r="K1677" s="4">
        <f>VLOOKUP(J1677,Exchange_Rates!A:B,2,FALSE)</f>
        <v>1.08</v>
      </c>
      <c r="L1677" s="4">
        <f t="shared" si="104"/>
        <v>0</v>
      </c>
      <c r="M1677" s="4">
        <f t="shared" si="105"/>
        <v>1364.2236000000003</v>
      </c>
      <c r="N1677" s="4">
        <f t="shared" si="106"/>
        <v>2023</v>
      </c>
      <c r="O1677" s="4">
        <f t="shared" si="107"/>
        <v>3</v>
      </c>
    </row>
    <row r="1678" spans="1:15" x14ac:dyDescent="0.25">
      <c r="A1678" t="s">
        <v>3395</v>
      </c>
      <c r="B1678" s="2">
        <v>45363</v>
      </c>
      <c r="C1678" t="s">
        <v>60</v>
      </c>
      <c r="D1678" t="s">
        <v>61</v>
      </c>
      <c r="E1678">
        <v>0</v>
      </c>
      <c r="F1678">
        <v>2207.1799999999998</v>
      </c>
      <c r="G1678" t="s">
        <v>8</v>
      </c>
      <c r="H1678" t="s">
        <v>51</v>
      </c>
      <c r="I1678" t="s">
        <v>3396</v>
      </c>
      <c r="J1678" t="s">
        <v>28</v>
      </c>
      <c r="K1678" s="4">
        <f>VLOOKUP(J1678,Exchange_Rates!A:B,2,FALSE)</f>
        <v>1.27</v>
      </c>
      <c r="L1678" s="4">
        <f t="shared" si="104"/>
        <v>0</v>
      </c>
      <c r="M1678" s="4">
        <f t="shared" si="105"/>
        <v>2803.1185999999998</v>
      </c>
      <c r="N1678" s="4">
        <f t="shared" si="106"/>
        <v>2024</v>
      </c>
      <c r="O1678" s="4">
        <f t="shared" si="107"/>
        <v>1</v>
      </c>
    </row>
    <row r="1679" spans="1:15" x14ac:dyDescent="0.25">
      <c r="A1679" t="s">
        <v>3397</v>
      </c>
      <c r="B1679" s="2">
        <v>45803</v>
      </c>
      <c r="C1679" t="s">
        <v>60</v>
      </c>
      <c r="D1679" t="s">
        <v>61</v>
      </c>
      <c r="E1679">
        <v>0</v>
      </c>
      <c r="F1679">
        <v>3799.96</v>
      </c>
      <c r="G1679" t="s">
        <v>8</v>
      </c>
      <c r="H1679" t="s">
        <v>34</v>
      </c>
      <c r="I1679" t="s">
        <v>3398</v>
      </c>
      <c r="J1679" t="s">
        <v>45</v>
      </c>
      <c r="K1679" s="4">
        <f>VLOOKUP(J1679,Exchange_Rates!A:B,2,FALSE)</f>
        <v>1</v>
      </c>
      <c r="L1679" s="4">
        <f t="shared" si="104"/>
        <v>0</v>
      </c>
      <c r="M1679" s="4">
        <f t="shared" si="105"/>
        <v>3799.96</v>
      </c>
      <c r="N1679" s="4">
        <f t="shared" si="106"/>
        <v>2025</v>
      </c>
      <c r="O1679" s="4">
        <f t="shared" si="107"/>
        <v>2</v>
      </c>
    </row>
    <row r="1680" spans="1:15" x14ac:dyDescent="0.25">
      <c r="A1680" t="s">
        <v>3399</v>
      </c>
      <c r="B1680" s="2">
        <v>45023</v>
      </c>
      <c r="C1680" t="s">
        <v>49</v>
      </c>
      <c r="D1680" t="s">
        <v>50</v>
      </c>
      <c r="E1680">
        <v>1292.8800000000001</v>
      </c>
      <c r="F1680">
        <v>0</v>
      </c>
      <c r="G1680" t="s">
        <v>13</v>
      </c>
      <c r="H1680" t="s">
        <v>51</v>
      </c>
      <c r="I1680" t="s">
        <v>3400</v>
      </c>
      <c r="J1680" t="s">
        <v>36</v>
      </c>
      <c r="K1680" s="4">
        <f>VLOOKUP(J1680,Exchange_Rates!A:B,2,FALSE)</f>
        <v>1.08</v>
      </c>
      <c r="L1680" s="4">
        <f t="shared" si="104"/>
        <v>1396.3104000000003</v>
      </c>
      <c r="M1680" s="4">
        <f t="shared" si="105"/>
        <v>0</v>
      </c>
      <c r="N1680" s="4">
        <f t="shared" si="106"/>
        <v>2023</v>
      </c>
      <c r="O1680" s="4">
        <f t="shared" si="107"/>
        <v>2</v>
      </c>
    </row>
    <row r="1681" spans="1:15" x14ac:dyDescent="0.25">
      <c r="A1681" t="s">
        <v>3401</v>
      </c>
      <c r="B1681" s="2">
        <v>45613</v>
      </c>
      <c r="C1681" t="s">
        <v>30</v>
      </c>
      <c r="D1681" t="s">
        <v>31</v>
      </c>
      <c r="E1681">
        <v>154.07</v>
      </c>
      <c r="F1681">
        <v>0</v>
      </c>
      <c r="G1681" t="s">
        <v>12</v>
      </c>
      <c r="H1681" t="s">
        <v>40</v>
      </c>
      <c r="I1681" t="s">
        <v>3402</v>
      </c>
      <c r="J1681" t="s">
        <v>36</v>
      </c>
      <c r="K1681" s="4">
        <f>VLOOKUP(J1681,Exchange_Rates!A:B,2,FALSE)</f>
        <v>1.08</v>
      </c>
      <c r="L1681" s="4">
        <f t="shared" si="104"/>
        <v>166.3956</v>
      </c>
      <c r="M1681" s="4">
        <f t="shared" si="105"/>
        <v>0</v>
      </c>
      <c r="N1681" s="4">
        <f t="shared" si="106"/>
        <v>2024</v>
      </c>
      <c r="O1681" s="4">
        <f t="shared" si="107"/>
        <v>4</v>
      </c>
    </row>
    <row r="1682" spans="1:15" x14ac:dyDescent="0.25">
      <c r="A1682" t="s">
        <v>3403</v>
      </c>
      <c r="B1682" s="2">
        <v>45672</v>
      </c>
      <c r="C1682" t="s">
        <v>38</v>
      </c>
      <c r="D1682" t="s">
        <v>39</v>
      </c>
      <c r="E1682">
        <v>1751.78</v>
      </c>
      <c r="F1682">
        <v>0</v>
      </c>
      <c r="G1682" t="s">
        <v>13</v>
      </c>
      <c r="H1682" t="s">
        <v>34</v>
      </c>
      <c r="I1682" t="s">
        <v>3404</v>
      </c>
      <c r="J1682" t="s">
        <v>45</v>
      </c>
      <c r="K1682" s="4">
        <f>VLOOKUP(J1682,Exchange_Rates!A:B,2,FALSE)</f>
        <v>1</v>
      </c>
      <c r="L1682" s="4">
        <f t="shared" si="104"/>
        <v>1751.78</v>
      </c>
      <c r="M1682" s="4">
        <f t="shared" si="105"/>
        <v>0</v>
      </c>
      <c r="N1682" s="4">
        <f t="shared" si="106"/>
        <v>2025</v>
      </c>
      <c r="O1682" s="4">
        <f t="shared" si="107"/>
        <v>1</v>
      </c>
    </row>
    <row r="1683" spans="1:15" x14ac:dyDescent="0.25">
      <c r="A1683" t="s">
        <v>3405</v>
      </c>
      <c r="B1683" s="2">
        <v>45636</v>
      </c>
      <c r="C1683" t="s">
        <v>60</v>
      </c>
      <c r="D1683" t="s">
        <v>61</v>
      </c>
      <c r="E1683">
        <v>0</v>
      </c>
      <c r="F1683">
        <v>635.34</v>
      </c>
      <c r="G1683" t="s">
        <v>9</v>
      </c>
      <c r="H1683" t="s">
        <v>40</v>
      </c>
      <c r="I1683" t="s">
        <v>3406</v>
      </c>
      <c r="J1683" t="s">
        <v>42</v>
      </c>
      <c r="K1683" s="4">
        <f>VLOOKUP(J1683,Exchange_Rates!A:B,2,FALSE)</f>
        <v>0.66</v>
      </c>
      <c r="L1683" s="4">
        <f t="shared" si="104"/>
        <v>0</v>
      </c>
      <c r="M1683" s="4">
        <f t="shared" si="105"/>
        <v>419.32440000000003</v>
      </c>
      <c r="N1683" s="4">
        <f t="shared" si="106"/>
        <v>2024</v>
      </c>
      <c r="O1683" s="4">
        <f t="shared" si="107"/>
        <v>4</v>
      </c>
    </row>
    <row r="1684" spans="1:15" x14ac:dyDescent="0.25">
      <c r="A1684" t="s">
        <v>3407</v>
      </c>
      <c r="B1684" s="2">
        <v>45517</v>
      </c>
      <c r="C1684" t="s">
        <v>30</v>
      </c>
      <c r="D1684" t="s">
        <v>31</v>
      </c>
      <c r="E1684">
        <v>534.29</v>
      </c>
      <c r="F1684">
        <v>0</v>
      </c>
      <c r="G1684" t="s">
        <v>10</v>
      </c>
      <c r="H1684" t="s">
        <v>62</v>
      </c>
      <c r="I1684" t="s">
        <v>3408</v>
      </c>
      <c r="J1684" t="s">
        <v>36</v>
      </c>
      <c r="K1684" s="4">
        <f>VLOOKUP(J1684,Exchange_Rates!A:B,2,FALSE)</f>
        <v>1.08</v>
      </c>
      <c r="L1684" s="4">
        <f t="shared" si="104"/>
        <v>577.03319999999997</v>
      </c>
      <c r="M1684" s="4">
        <f t="shared" si="105"/>
        <v>0</v>
      </c>
      <c r="N1684" s="4">
        <f t="shared" si="106"/>
        <v>2024</v>
      </c>
      <c r="O1684" s="4">
        <f t="shared" si="107"/>
        <v>3</v>
      </c>
    </row>
    <row r="1685" spans="1:15" x14ac:dyDescent="0.25">
      <c r="A1685" t="s">
        <v>3409</v>
      </c>
      <c r="B1685" s="2">
        <v>45503</v>
      </c>
      <c r="C1685" t="s">
        <v>49</v>
      </c>
      <c r="D1685" t="s">
        <v>50</v>
      </c>
      <c r="E1685">
        <v>1212.18</v>
      </c>
      <c r="F1685">
        <v>0</v>
      </c>
      <c r="G1685" t="s">
        <v>11</v>
      </c>
      <c r="H1685" t="s">
        <v>34</v>
      </c>
      <c r="I1685" t="s">
        <v>3410</v>
      </c>
      <c r="J1685" t="s">
        <v>36</v>
      </c>
      <c r="K1685" s="4">
        <f>VLOOKUP(J1685,Exchange_Rates!A:B,2,FALSE)</f>
        <v>1.08</v>
      </c>
      <c r="L1685" s="4">
        <f t="shared" si="104"/>
        <v>1309.1544000000001</v>
      </c>
      <c r="M1685" s="4">
        <f t="shared" si="105"/>
        <v>0</v>
      </c>
      <c r="N1685" s="4">
        <f t="shared" si="106"/>
        <v>2024</v>
      </c>
      <c r="O1685" s="4">
        <f t="shared" si="107"/>
        <v>3</v>
      </c>
    </row>
    <row r="1686" spans="1:15" x14ac:dyDescent="0.25">
      <c r="A1686" t="s">
        <v>3411</v>
      </c>
      <c r="B1686" s="2">
        <v>45552</v>
      </c>
      <c r="C1686" t="s">
        <v>30</v>
      </c>
      <c r="D1686" t="s">
        <v>31</v>
      </c>
      <c r="E1686">
        <v>1830.4</v>
      </c>
      <c r="F1686">
        <v>0</v>
      </c>
      <c r="G1686" t="s">
        <v>9</v>
      </c>
      <c r="H1686" t="s">
        <v>40</v>
      </c>
      <c r="I1686" t="s">
        <v>3412</v>
      </c>
      <c r="J1686" t="s">
        <v>64</v>
      </c>
      <c r="K1686" s="4">
        <f>VLOOKUP(J1686,Exchange_Rates!A:B,2,FALSE)</f>
        <v>0.73</v>
      </c>
      <c r="L1686" s="4">
        <f t="shared" si="104"/>
        <v>1336.192</v>
      </c>
      <c r="M1686" s="4">
        <f t="shared" si="105"/>
        <v>0</v>
      </c>
      <c r="N1686" s="4">
        <f t="shared" si="106"/>
        <v>2024</v>
      </c>
      <c r="O1686" s="4">
        <f t="shared" si="107"/>
        <v>3</v>
      </c>
    </row>
    <row r="1687" spans="1:15" x14ac:dyDescent="0.25">
      <c r="A1687" t="s">
        <v>3413</v>
      </c>
      <c r="B1687" s="2">
        <v>45016</v>
      </c>
      <c r="C1687" t="s">
        <v>60</v>
      </c>
      <c r="D1687" t="s">
        <v>61</v>
      </c>
      <c r="E1687">
        <v>0</v>
      </c>
      <c r="F1687">
        <v>1032.3800000000001</v>
      </c>
      <c r="G1687" t="s">
        <v>13</v>
      </c>
      <c r="H1687" t="s">
        <v>40</v>
      </c>
      <c r="I1687" t="s">
        <v>3414</v>
      </c>
      <c r="J1687" t="s">
        <v>42</v>
      </c>
      <c r="K1687" s="4">
        <f>VLOOKUP(J1687,Exchange_Rates!A:B,2,FALSE)</f>
        <v>0.66</v>
      </c>
      <c r="L1687" s="4">
        <f t="shared" si="104"/>
        <v>0</v>
      </c>
      <c r="M1687" s="4">
        <f t="shared" si="105"/>
        <v>681.37080000000014</v>
      </c>
      <c r="N1687" s="4">
        <f t="shared" si="106"/>
        <v>2023</v>
      </c>
      <c r="O1687" s="4">
        <f t="shared" si="107"/>
        <v>1</v>
      </c>
    </row>
    <row r="1688" spans="1:15" x14ac:dyDescent="0.25">
      <c r="A1688" t="s">
        <v>3415</v>
      </c>
      <c r="B1688" s="2">
        <v>44967</v>
      </c>
      <c r="C1688" t="s">
        <v>24</v>
      </c>
      <c r="D1688" t="s">
        <v>25</v>
      </c>
      <c r="E1688">
        <v>0</v>
      </c>
      <c r="F1688">
        <v>2620.3200000000002</v>
      </c>
      <c r="G1688" t="s">
        <v>8</v>
      </c>
      <c r="H1688" t="s">
        <v>26</v>
      </c>
      <c r="I1688" t="s">
        <v>3416</v>
      </c>
      <c r="J1688" t="s">
        <v>64</v>
      </c>
      <c r="K1688" s="4">
        <f>VLOOKUP(J1688,Exchange_Rates!A:B,2,FALSE)</f>
        <v>0.73</v>
      </c>
      <c r="L1688" s="4">
        <f t="shared" si="104"/>
        <v>0</v>
      </c>
      <c r="M1688" s="4">
        <f t="shared" si="105"/>
        <v>1912.8336000000002</v>
      </c>
      <c r="N1688" s="4">
        <f t="shared" si="106"/>
        <v>2023</v>
      </c>
      <c r="O1688" s="4">
        <f t="shared" si="107"/>
        <v>1</v>
      </c>
    </row>
    <row r="1689" spans="1:15" x14ac:dyDescent="0.25">
      <c r="A1689" t="s">
        <v>3417</v>
      </c>
      <c r="B1689" s="2">
        <v>45527</v>
      </c>
      <c r="C1689" t="s">
        <v>60</v>
      </c>
      <c r="D1689" t="s">
        <v>61</v>
      </c>
      <c r="E1689">
        <v>0</v>
      </c>
      <c r="F1689">
        <v>4016.77</v>
      </c>
      <c r="G1689" t="s">
        <v>8</v>
      </c>
      <c r="H1689" t="s">
        <v>34</v>
      </c>
      <c r="I1689" t="s">
        <v>3418</v>
      </c>
      <c r="J1689" t="s">
        <v>64</v>
      </c>
      <c r="K1689" s="4">
        <f>VLOOKUP(J1689,Exchange_Rates!A:B,2,FALSE)</f>
        <v>0.73</v>
      </c>
      <c r="L1689" s="4">
        <f t="shared" si="104"/>
        <v>0</v>
      </c>
      <c r="M1689" s="4">
        <f t="shared" si="105"/>
        <v>2932.2420999999999</v>
      </c>
      <c r="N1689" s="4">
        <f t="shared" si="106"/>
        <v>2024</v>
      </c>
      <c r="O1689" s="4">
        <f t="shared" si="107"/>
        <v>3</v>
      </c>
    </row>
    <row r="1690" spans="1:15" x14ac:dyDescent="0.25">
      <c r="A1690" t="s">
        <v>3419</v>
      </c>
      <c r="B1690" s="2">
        <v>45409</v>
      </c>
      <c r="C1690" t="s">
        <v>30</v>
      </c>
      <c r="D1690" t="s">
        <v>31</v>
      </c>
      <c r="E1690">
        <v>575</v>
      </c>
      <c r="F1690">
        <v>0</v>
      </c>
      <c r="G1690" t="s">
        <v>8</v>
      </c>
      <c r="H1690" t="s">
        <v>26</v>
      </c>
      <c r="I1690" t="s">
        <v>3420</v>
      </c>
      <c r="J1690" t="s">
        <v>36</v>
      </c>
      <c r="K1690" s="4">
        <f>VLOOKUP(J1690,Exchange_Rates!A:B,2,FALSE)</f>
        <v>1.08</v>
      </c>
      <c r="L1690" s="4">
        <f t="shared" si="104"/>
        <v>621</v>
      </c>
      <c r="M1690" s="4">
        <f t="shared" si="105"/>
        <v>0</v>
      </c>
      <c r="N1690" s="4">
        <f t="shared" si="106"/>
        <v>2024</v>
      </c>
      <c r="O1690" s="4">
        <f t="shared" si="107"/>
        <v>2</v>
      </c>
    </row>
    <row r="1691" spans="1:15" x14ac:dyDescent="0.25">
      <c r="A1691" t="s">
        <v>3421</v>
      </c>
      <c r="B1691" s="2">
        <v>45725</v>
      </c>
      <c r="C1691" t="s">
        <v>49</v>
      </c>
      <c r="D1691" t="s">
        <v>50</v>
      </c>
      <c r="E1691">
        <v>692.19</v>
      </c>
      <c r="F1691">
        <v>0</v>
      </c>
      <c r="G1691" t="s">
        <v>13</v>
      </c>
      <c r="H1691" t="s">
        <v>34</v>
      </c>
      <c r="I1691" t="s">
        <v>3422</v>
      </c>
      <c r="J1691" t="s">
        <v>36</v>
      </c>
      <c r="K1691" s="4">
        <f>VLOOKUP(J1691,Exchange_Rates!A:B,2,FALSE)</f>
        <v>1.08</v>
      </c>
      <c r="L1691" s="4">
        <f t="shared" si="104"/>
        <v>747.56520000000012</v>
      </c>
      <c r="M1691" s="4">
        <f t="shared" si="105"/>
        <v>0</v>
      </c>
      <c r="N1691" s="4">
        <f t="shared" si="106"/>
        <v>2025</v>
      </c>
      <c r="O1691" s="4">
        <f t="shared" si="107"/>
        <v>1</v>
      </c>
    </row>
    <row r="1692" spans="1:15" x14ac:dyDescent="0.25">
      <c r="A1692" t="s">
        <v>3423</v>
      </c>
      <c r="B1692" s="2">
        <v>45831</v>
      </c>
      <c r="C1692" t="s">
        <v>24</v>
      </c>
      <c r="D1692" t="s">
        <v>25</v>
      </c>
      <c r="E1692">
        <v>0</v>
      </c>
      <c r="F1692">
        <v>129.38999999999999</v>
      </c>
      <c r="G1692" t="s">
        <v>8</v>
      </c>
      <c r="H1692" t="s">
        <v>40</v>
      </c>
      <c r="I1692" t="s">
        <v>3424</v>
      </c>
      <c r="J1692" t="s">
        <v>64</v>
      </c>
      <c r="K1692" s="4">
        <f>VLOOKUP(J1692,Exchange_Rates!A:B,2,FALSE)</f>
        <v>0.73</v>
      </c>
      <c r="L1692" s="4">
        <f t="shared" si="104"/>
        <v>0</v>
      </c>
      <c r="M1692" s="4">
        <f t="shared" si="105"/>
        <v>94.454699999999988</v>
      </c>
      <c r="N1692" s="4">
        <f t="shared" si="106"/>
        <v>2025</v>
      </c>
      <c r="O1692" s="4">
        <f t="shared" si="107"/>
        <v>2</v>
      </c>
    </row>
    <row r="1693" spans="1:15" x14ac:dyDescent="0.25">
      <c r="A1693" t="s">
        <v>3425</v>
      </c>
      <c r="B1693" s="2">
        <v>45435</v>
      </c>
      <c r="C1693" t="s">
        <v>38</v>
      </c>
      <c r="D1693" t="s">
        <v>39</v>
      </c>
      <c r="E1693">
        <v>739.61</v>
      </c>
      <c r="F1693">
        <v>0</v>
      </c>
      <c r="G1693" t="s">
        <v>12</v>
      </c>
      <c r="H1693" t="s">
        <v>26</v>
      </c>
      <c r="I1693" t="s">
        <v>3426</v>
      </c>
      <c r="J1693" t="s">
        <v>36</v>
      </c>
      <c r="K1693" s="4">
        <f>VLOOKUP(J1693,Exchange_Rates!A:B,2,FALSE)</f>
        <v>1.08</v>
      </c>
      <c r="L1693" s="4">
        <f t="shared" si="104"/>
        <v>798.77880000000005</v>
      </c>
      <c r="M1693" s="4">
        <f t="shared" si="105"/>
        <v>0</v>
      </c>
      <c r="N1693" s="4">
        <f t="shared" si="106"/>
        <v>2024</v>
      </c>
      <c r="O1693" s="4">
        <f t="shared" si="107"/>
        <v>2</v>
      </c>
    </row>
    <row r="1694" spans="1:15" x14ac:dyDescent="0.25">
      <c r="A1694" t="s">
        <v>3427</v>
      </c>
      <c r="B1694" s="2">
        <v>45083</v>
      </c>
      <c r="C1694" t="s">
        <v>24</v>
      </c>
      <c r="D1694" t="s">
        <v>25</v>
      </c>
      <c r="E1694">
        <v>0</v>
      </c>
      <c r="F1694">
        <v>1931.62</v>
      </c>
      <c r="G1694" t="s">
        <v>8</v>
      </c>
      <c r="H1694" t="s">
        <v>40</v>
      </c>
      <c r="I1694" t="s">
        <v>3428</v>
      </c>
      <c r="J1694" t="s">
        <v>64</v>
      </c>
      <c r="K1694" s="4">
        <f>VLOOKUP(J1694,Exchange_Rates!A:B,2,FALSE)</f>
        <v>0.73</v>
      </c>
      <c r="L1694" s="4">
        <f t="shared" si="104"/>
        <v>0</v>
      </c>
      <c r="M1694" s="4">
        <f t="shared" si="105"/>
        <v>1410.0826</v>
      </c>
      <c r="N1694" s="4">
        <f t="shared" si="106"/>
        <v>2023</v>
      </c>
      <c r="O1694" s="4">
        <f t="shared" si="107"/>
        <v>2</v>
      </c>
    </row>
    <row r="1695" spans="1:15" x14ac:dyDescent="0.25">
      <c r="A1695" t="s">
        <v>3429</v>
      </c>
      <c r="B1695" s="2">
        <v>45709</v>
      </c>
      <c r="C1695" t="s">
        <v>49</v>
      </c>
      <c r="D1695" t="s">
        <v>50</v>
      </c>
      <c r="E1695">
        <v>624.64</v>
      </c>
      <c r="F1695">
        <v>0</v>
      </c>
      <c r="G1695" t="s">
        <v>10</v>
      </c>
      <c r="H1695" t="s">
        <v>62</v>
      </c>
      <c r="I1695" t="s">
        <v>3430</v>
      </c>
      <c r="J1695" t="s">
        <v>36</v>
      </c>
      <c r="K1695" s="4">
        <f>VLOOKUP(J1695,Exchange_Rates!A:B,2,FALSE)</f>
        <v>1.08</v>
      </c>
      <c r="L1695" s="4">
        <f t="shared" si="104"/>
        <v>674.61120000000005</v>
      </c>
      <c r="M1695" s="4">
        <f t="shared" si="105"/>
        <v>0</v>
      </c>
      <c r="N1695" s="4">
        <f t="shared" si="106"/>
        <v>2025</v>
      </c>
      <c r="O1695" s="4">
        <f t="shared" si="107"/>
        <v>1</v>
      </c>
    </row>
    <row r="1696" spans="1:15" x14ac:dyDescent="0.25">
      <c r="A1696" t="s">
        <v>3431</v>
      </c>
      <c r="B1696" s="2">
        <v>45435</v>
      </c>
      <c r="C1696" t="s">
        <v>60</v>
      </c>
      <c r="D1696" t="s">
        <v>61</v>
      </c>
      <c r="E1696">
        <v>0</v>
      </c>
      <c r="F1696">
        <v>724.9</v>
      </c>
      <c r="G1696" t="s">
        <v>13</v>
      </c>
      <c r="H1696" t="s">
        <v>62</v>
      </c>
      <c r="I1696" t="s">
        <v>3432</v>
      </c>
      <c r="J1696" t="s">
        <v>36</v>
      </c>
      <c r="K1696" s="4">
        <f>VLOOKUP(J1696,Exchange_Rates!A:B,2,FALSE)</f>
        <v>1.08</v>
      </c>
      <c r="L1696" s="4">
        <f t="shared" si="104"/>
        <v>0</v>
      </c>
      <c r="M1696" s="4">
        <f t="shared" si="105"/>
        <v>782.89200000000005</v>
      </c>
      <c r="N1696" s="4">
        <f t="shared" si="106"/>
        <v>2024</v>
      </c>
      <c r="O1696" s="4">
        <f t="shared" si="107"/>
        <v>2</v>
      </c>
    </row>
    <row r="1697" spans="1:15" x14ac:dyDescent="0.25">
      <c r="A1697" t="s">
        <v>3433</v>
      </c>
      <c r="B1697" s="2">
        <v>45373</v>
      </c>
      <c r="C1697" t="s">
        <v>38</v>
      </c>
      <c r="D1697" t="s">
        <v>39</v>
      </c>
      <c r="E1697">
        <v>630.79</v>
      </c>
      <c r="F1697">
        <v>0</v>
      </c>
      <c r="G1697" t="s">
        <v>13</v>
      </c>
      <c r="H1697" t="s">
        <v>26</v>
      </c>
      <c r="I1697" t="s">
        <v>3434</v>
      </c>
      <c r="J1697" t="s">
        <v>42</v>
      </c>
      <c r="K1697" s="4">
        <f>VLOOKUP(J1697,Exchange_Rates!A:B,2,FALSE)</f>
        <v>0.66</v>
      </c>
      <c r="L1697" s="4">
        <f t="shared" si="104"/>
        <v>416.32139999999998</v>
      </c>
      <c r="M1697" s="4">
        <f t="shared" si="105"/>
        <v>0</v>
      </c>
      <c r="N1697" s="4">
        <f t="shared" si="106"/>
        <v>2024</v>
      </c>
      <c r="O1697" s="4">
        <f t="shared" si="107"/>
        <v>1</v>
      </c>
    </row>
    <row r="1698" spans="1:15" x14ac:dyDescent="0.25">
      <c r="A1698" t="s">
        <v>3435</v>
      </c>
      <c r="B1698" s="2">
        <v>45775</v>
      </c>
      <c r="C1698" t="s">
        <v>49</v>
      </c>
      <c r="D1698" t="s">
        <v>50</v>
      </c>
      <c r="E1698">
        <v>808.72</v>
      </c>
      <c r="F1698">
        <v>0</v>
      </c>
      <c r="G1698" t="s">
        <v>10</v>
      </c>
      <c r="H1698" t="s">
        <v>62</v>
      </c>
      <c r="I1698" t="s">
        <v>3436</v>
      </c>
      <c r="J1698" t="s">
        <v>28</v>
      </c>
      <c r="K1698" s="4">
        <f>VLOOKUP(J1698,Exchange_Rates!A:B,2,FALSE)</f>
        <v>1.27</v>
      </c>
      <c r="L1698" s="4">
        <f t="shared" si="104"/>
        <v>1027.0744</v>
      </c>
      <c r="M1698" s="4">
        <f t="shared" si="105"/>
        <v>0</v>
      </c>
      <c r="N1698" s="4">
        <f t="shared" si="106"/>
        <v>2025</v>
      </c>
      <c r="O1698" s="4">
        <f t="shared" si="107"/>
        <v>2</v>
      </c>
    </row>
    <row r="1699" spans="1:15" x14ac:dyDescent="0.25">
      <c r="A1699" t="s">
        <v>3437</v>
      </c>
      <c r="B1699" s="2">
        <v>45160</v>
      </c>
      <c r="C1699" t="s">
        <v>24</v>
      </c>
      <c r="D1699" t="s">
        <v>25</v>
      </c>
      <c r="E1699">
        <v>0</v>
      </c>
      <c r="F1699">
        <v>1092.32</v>
      </c>
      <c r="G1699" t="s">
        <v>11</v>
      </c>
      <c r="H1699" t="s">
        <v>40</v>
      </c>
      <c r="I1699" t="s">
        <v>3438</v>
      </c>
      <c r="J1699" t="s">
        <v>64</v>
      </c>
      <c r="K1699" s="4">
        <f>VLOOKUP(J1699,Exchange_Rates!A:B,2,FALSE)</f>
        <v>0.73</v>
      </c>
      <c r="L1699" s="4">
        <f t="shared" si="104"/>
        <v>0</v>
      </c>
      <c r="M1699" s="4">
        <f t="shared" si="105"/>
        <v>797.39359999999988</v>
      </c>
      <c r="N1699" s="4">
        <f t="shared" si="106"/>
        <v>2023</v>
      </c>
      <c r="O1699" s="4">
        <f t="shared" si="107"/>
        <v>3</v>
      </c>
    </row>
    <row r="1700" spans="1:15" x14ac:dyDescent="0.25">
      <c r="A1700" t="s">
        <v>3439</v>
      </c>
      <c r="B1700" s="2">
        <v>45389</v>
      </c>
      <c r="C1700" t="s">
        <v>49</v>
      </c>
      <c r="D1700" t="s">
        <v>50</v>
      </c>
      <c r="E1700">
        <v>1433.85</v>
      </c>
      <c r="F1700">
        <v>0</v>
      </c>
      <c r="G1700" t="s">
        <v>13</v>
      </c>
      <c r="H1700" t="s">
        <v>62</v>
      </c>
      <c r="I1700" t="s">
        <v>3440</v>
      </c>
      <c r="J1700" t="s">
        <v>64</v>
      </c>
      <c r="K1700" s="4">
        <f>VLOOKUP(J1700,Exchange_Rates!A:B,2,FALSE)</f>
        <v>0.73</v>
      </c>
      <c r="L1700" s="4">
        <f t="shared" si="104"/>
        <v>1046.7104999999999</v>
      </c>
      <c r="M1700" s="4">
        <f t="shared" si="105"/>
        <v>0</v>
      </c>
      <c r="N1700" s="4">
        <f t="shared" si="106"/>
        <v>2024</v>
      </c>
      <c r="O1700" s="4">
        <f t="shared" si="107"/>
        <v>2</v>
      </c>
    </row>
    <row r="1701" spans="1:15" x14ac:dyDescent="0.25">
      <c r="A1701" t="s">
        <v>3441</v>
      </c>
      <c r="B1701" s="2">
        <v>45331</v>
      </c>
      <c r="C1701" t="s">
        <v>60</v>
      </c>
      <c r="D1701" t="s">
        <v>61</v>
      </c>
      <c r="E1701">
        <v>0</v>
      </c>
      <c r="F1701">
        <v>902.75</v>
      </c>
      <c r="G1701" t="s">
        <v>8</v>
      </c>
      <c r="H1701" t="s">
        <v>34</v>
      </c>
      <c r="I1701" t="s">
        <v>3442</v>
      </c>
      <c r="J1701" t="s">
        <v>28</v>
      </c>
      <c r="K1701" s="4">
        <f>VLOOKUP(J1701,Exchange_Rates!A:B,2,FALSE)</f>
        <v>1.27</v>
      </c>
      <c r="L1701" s="4">
        <f t="shared" si="104"/>
        <v>0</v>
      </c>
      <c r="M1701" s="4">
        <f t="shared" si="105"/>
        <v>1146.4925000000001</v>
      </c>
      <c r="N1701" s="4">
        <f t="shared" si="106"/>
        <v>2024</v>
      </c>
      <c r="O1701" s="4">
        <f t="shared" si="107"/>
        <v>1</v>
      </c>
    </row>
    <row r="1702" spans="1:15" x14ac:dyDescent="0.25">
      <c r="A1702" t="s">
        <v>3443</v>
      </c>
      <c r="B1702" s="2">
        <v>45274</v>
      </c>
      <c r="C1702" t="s">
        <v>49</v>
      </c>
      <c r="D1702" t="s">
        <v>50</v>
      </c>
      <c r="E1702">
        <v>1012.66</v>
      </c>
      <c r="F1702">
        <v>0</v>
      </c>
      <c r="G1702" t="s">
        <v>8</v>
      </c>
      <c r="H1702" t="s">
        <v>34</v>
      </c>
      <c r="I1702" t="s">
        <v>3444</v>
      </c>
      <c r="J1702" t="s">
        <v>42</v>
      </c>
      <c r="K1702" s="4">
        <f>VLOOKUP(J1702,Exchange_Rates!A:B,2,FALSE)</f>
        <v>0.66</v>
      </c>
      <c r="L1702" s="4">
        <f t="shared" si="104"/>
        <v>668.35559999999998</v>
      </c>
      <c r="M1702" s="4">
        <f t="shared" si="105"/>
        <v>0</v>
      </c>
      <c r="N1702" s="4">
        <f t="shared" si="106"/>
        <v>2023</v>
      </c>
      <c r="O1702" s="4">
        <f t="shared" si="107"/>
        <v>4</v>
      </c>
    </row>
    <row r="1703" spans="1:15" x14ac:dyDescent="0.25">
      <c r="A1703" t="s">
        <v>3445</v>
      </c>
      <c r="B1703" s="2">
        <v>45657</v>
      </c>
      <c r="C1703" t="s">
        <v>30</v>
      </c>
      <c r="D1703" t="s">
        <v>31</v>
      </c>
      <c r="E1703">
        <v>1143.22</v>
      </c>
      <c r="F1703">
        <v>0</v>
      </c>
      <c r="G1703" t="s">
        <v>10</v>
      </c>
      <c r="H1703" t="s">
        <v>51</v>
      </c>
      <c r="I1703" t="s">
        <v>3446</v>
      </c>
      <c r="J1703" t="s">
        <v>45</v>
      </c>
      <c r="K1703" s="4">
        <f>VLOOKUP(J1703,Exchange_Rates!A:B,2,FALSE)</f>
        <v>1</v>
      </c>
      <c r="L1703" s="4">
        <f t="shared" si="104"/>
        <v>1143.22</v>
      </c>
      <c r="M1703" s="4">
        <f t="shared" si="105"/>
        <v>0</v>
      </c>
      <c r="N1703" s="4">
        <f t="shared" si="106"/>
        <v>2024</v>
      </c>
      <c r="O1703" s="4">
        <f t="shared" si="107"/>
        <v>4</v>
      </c>
    </row>
    <row r="1704" spans="1:15" x14ac:dyDescent="0.25">
      <c r="A1704" t="s">
        <v>3447</v>
      </c>
      <c r="B1704" s="2">
        <v>44939</v>
      </c>
      <c r="C1704" t="s">
        <v>24</v>
      </c>
      <c r="D1704" t="s">
        <v>25</v>
      </c>
      <c r="E1704">
        <v>0</v>
      </c>
      <c r="F1704">
        <v>3892.69</v>
      </c>
      <c r="G1704" t="s">
        <v>11</v>
      </c>
      <c r="H1704" t="s">
        <v>62</v>
      </c>
      <c r="I1704" t="s">
        <v>3448</v>
      </c>
      <c r="J1704" t="s">
        <v>42</v>
      </c>
      <c r="K1704" s="4">
        <f>VLOOKUP(J1704,Exchange_Rates!A:B,2,FALSE)</f>
        <v>0.66</v>
      </c>
      <c r="L1704" s="4">
        <f t="shared" si="104"/>
        <v>0</v>
      </c>
      <c r="M1704" s="4">
        <f t="shared" si="105"/>
        <v>2569.1754000000001</v>
      </c>
      <c r="N1704" s="4">
        <f t="shared" si="106"/>
        <v>2023</v>
      </c>
      <c r="O1704" s="4">
        <f t="shared" si="107"/>
        <v>1</v>
      </c>
    </row>
    <row r="1705" spans="1:15" x14ac:dyDescent="0.25">
      <c r="A1705" t="s">
        <v>3449</v>
      </c>
      <c r="B1705" s="2">
        <v>45678</v>
      </c>
      <c r="C1705" t="s">
        <v>38</v>
      </c>
      <c r="D1705" t="s">
        <v>39</v>
      </c>
      <c r="E1705">
        <v>649.45000000000005</v>
      </c>
      <c r="F1705">
        <v>0</v>
      </c>
      <c r="G1705" t="s">
        <v>13</v>
      </c>
      <c r="H1705" t="s">
        <v>26</v>
      </c>
      <c r="I1705" t="s">
        <v>3450</v>
      </c>
      <c r="J1705" t="s">
        <v>64</v>
      </c>
      <c r="K1705" s="4">
        <f>VLOOKUP(J1705,Exchange_Rates!A:B,2,FALSE)</f>
        <v>0.73</v>
      </c>
      <c r="L1705" s="4">
        <f t="shared" si="104"/>
        <v>474.0985</v>
      </c>
      <c r="M1705" s="4">
        <f t="shared" si="105"/>
        <v>0</v>
      </c>
      <c r="N1705" s="4">
        <f t="shared" si="106"/>
        <v>2025</v>
      </c>
      <c r="O1705" s="4">
        <f t="shared" si="107"/>
        <v>1</v>
      </c>
    </row>
    <row r="1706" spans="1:15" x14ac:dyDescent="0.25">
      <c r="A1706" t="s">
        <v>3451</v>
      </c>
      <c r="B1706" s="2">
        <v>45670</v>
      </c>
      <c r="C1706" t="s">
        <v>60</v>
      </c>
      <c r="D1706" t="s">
        <v>61</v>
      </c>
      <c r="E1706">
        <v>0</v>
      </c>
      <c r="F1706">
        <v>1422.91</v>
      </c>
      <c r="G1706" t="s">
        <v>9</v>
      </c>
      <c r="H1706" t="s">
        <v>40</v>
      </c>
      <c r="I1706" t="s">
        <v>3452</v>
      </c>
      <c r="J1706" t="s">
        <v>42</v>
      </c>
      <c r="K1706" s="4">
        <f>VLOOKUP(J1706,Exchange_Rates!A:B,2,FALSE)</f>
        <v>0.66</v>
      </c>
      <c r="L1706" s="4">
        <f t="shared" si="104"/>
        <v>0</v>
      </c>
      <c r="M1706" s="4">
        <f t="shared" si="105"/>
        <v>939.12060000000008</v>
      </c>
      <c r="N1706" s="4">
        <f t="shared" si="106"/>
        <v>2025</v>
      </c>
      <c r="O1706" s="4">
        <f t="shared" si="107"/>
        <v>1</v>
      </c>
    </row>
    <row r="1707" spans="1:15" x14ac:dyDescent="0.25">
      <c r="A1707" t="s">
        <v>3453</v>
      </c>
      <c r="B1707" s="2">
        <v>45365</v>
      </c>
      <c r="C1707" t="s">
        <v>24</v>
      </c>
      <c r="D1707" t="s">
        <v>25</v>
      </c>
      <c r="E1707">
        <v>0</v>
      </c>
      <c r="F1707">
        <v>1269.95</v>
      </c>
      <c r="G1707" t="s">
        <v>9</v>
      </c>
      <c r="H1707" t="s">
        <v>51</v>
      </c>
      <c r="I1707" t="s">
        <v>3454</v>
      </c>
      <c r="J1707" t="s">
        <v>28</v>
      </c>
      <c r="K1707" s="4">
        <f>VLOOKUP(J1707,Exchange_Rates!A:B,2,FALSE)</f>
        <v>1.27</v>
      </c>
      <c r="L1707" s="4">
        <f t="shared" si="104"/>
        <v>0</v>
      </c>
      <c r="M1707" s="4">
        <f t="shared" si="105"/>
        <v>1612.8365000000001</v>
      </c>
      <c r="N1707" s="4">
        <f t="shared" si="106"/>
        <v>2024</v>
      </c>
      <c r="O1707" s="4">
        <f t="shared" si="107"/>
        <v>1</v>
      </c>
    </row>
    <row r="1708" spans="1:15" x14ac:dyDescent="0.25">
      <c r="A1708" t="s">
        <v>3455</v>
      </c>
      <c r="B1708" s="2">
        <v>45561</v>
      </c>
      <c r="C1708" t="s">
        <v>60</v>
      </c>
      <c r="D1708" t="s">
        <v>61</v>
      </c>
      <c r="E1708">
        <v>0</v>
      </c>
      <c r="F1708">
        <v>4047.23</v>
      </c>
      <c r="G1708" t="s">
        <v>10</v>
      </c>
      <c r="H1708" t="s">
        <v>62</v>
      </c>
      <c r="I1708" t="s">
        <v>3456</v>
      </c>
      <c r="J1708" t="s">
        <v>28</v>
      </c>
      <c r="K1708" s="4">
        <f>VLOOKUP(J1708,Exchange_Rates!A:B,2,FALSE)</f>
        <v>1.27</v>
      </c>
      <c r="L1708" s="4">
        <f t="shared" si="104"/>
        <v>0</v>
      </c>
      <c r="M1708" s="4">
        <f t="shared" si="105"/>
        <v>5139.9821000000002</v>
      </c>
      <c r="N1708" s="4">
        <f t="shared" si="106"/>
        <v>2024</v>
      </c>
      <c r="O1708" s="4">
        <f t="shared" si="107"/>
        <v>3</v>
      </c>
    </row>
    <row r="1709" spans="1:15" x14ac:dyDescent="0.25">
      <c r="A1709" t="s">
        <v>3457</v>
      </c>
      <c r="B1709" s="2">
        <v>45619</v>
      </c>
      <c r="C1709" t="s">
        <v>30</v>
      </c>
      <c r="D1709" t="s">
        <v>31</v>
      </c>
      <c r="E1709">
        <v>546.9</v>
      </c>
      <c r="F1709">
        <v>0</v>
      </c>
      <c r="G1709" t="s">
        <v>13</v>
      </c>
      <c r="H1709" t="s">
        <v>62</v>
      </c>
      <c r="I1709" t="s">
        <v>3458</v>
      </c>
      <c r="J1709" t="s">
        <v>42</v>
      </c>
      <c r="K1709" s="4">
        <f>VLOOKUP(J1709,Exchange_Rates!A:B,2,FALSE)</f>
        <v>0.66</v>
      </c>
      <c r="L1709" s="4">
        <f t="shared" si="104"/>
        <v>360.95400000000001</v>
      </c>
      <c r="M1709" s="4">
        <f t="shared" si="105"/>
        <v>0</v>
      </c>
      <c r="N1709" s="4">
        <f t="shared" si="106"/>
        <v>2024</v>
      </c>
      <c r="O1709" s="4">
        <f t="shared" si="107"/>
        <v>4</v>
      </c>
    </row>
    <row r="1710" spans="1:15" x14ac:dyDescent="0.25">
      <c r="A1710" t="s">
        <v>3459</v>
      </c>
      <c r="B1710" s="2">
        <v>44956</v>
      </c>
      <c r="C1710" t="s">
        <v>24</v>
      </c>
      <c r="D1710" t="s">
        <v>25</v>
      </c>
      <c r="E1710">
        <v>0</v>
      </c>
      <c r="F1710">
        <v>652.36</v>
      </c>
      <c r="G1710" t="s">
        <v>13</v>
      </c>
      <c r="H1710" t="s">
        <v>34</v>
      </c>
      <c r="I1710" t="s">
        <v>3460</v>
      </c>
      <c r="J1710" t="s">
        <v>36</v>
      </c>
      <c r="K1710" s="4">
        <f>VLOOKUP(J1710,Exchange_Rates!A:B,2,FALSE)</f>
        <v>1.08</v>
      </c>
      <c r="L1710" s="4">
        <f t="shared" si="104"/>
        <v>0</v>
      </c>
      <c r="M1710" s="4">
        <f t="shared" si="105"/>
        <v>704.54880000000003</v>
      </c>
      <c r="N1710" s="4">
        <f t="shared" si="106"/>
        <v>2023</v>
      </c>
      <c r="O1710" s="4">
        <f t="shared" si="107"/>
        <v>1</v>
      </c>
    </row>
    <row r="1711" spans="1:15" x14ac:dyDescent="0.25">
      <c r="A1711" t="s">
        <v>3461</v>
      </c>
      <c r="B1711" s="2">
        <v>44946</v>
      </c>
      <c r="C1711" t="s">
        <v>60</v>
      </c>
      <c r="D1711" t="s">
        <v>61</v>
      </c>
      <c r="E1711">
        <v>0</v>
      </c>
      <c r="F1711">
        <v>1963.74</v>
      </c>
      <c r="G1711" t="s">
        <v>10</v>
      </c>
      <c r="H1711" t="s">
        <v>34</v>
      </c>
      <c r="I1711" t="s">
        <v>3462</v>
      </c>
      <c r="J1711" t="s">
        <v>45</v>
      </c>
      <c r="K1711" s="4">
        <f>VLOOKUP(J1711,Exchange_Rates!A:B,2,FALSE)</f>
        <v>1</v>
      </c>
      <c r="L1711" s="4">
        <f t="shared" si="104"/>
        <v>0</v>
      </c>
      <c r="M1711" s="4">
        <f t="shared" si="105"/>
        <v>1963.74</v>
      </c>
      <c r="N1711" s="4">
        <f t="shared" si="106"/>
        <v>2023</v>
      </c>
      <c r="O1711" s="4">
        <f t="shared" si="107"/>
        <v>1</v>
      </c>
    </row>
    <row r="1712" spans="1:15" x14ac:dyDescent="0.25">
      <c r="A1712" t="s">
        <v>3463</v>
      </c>
      <c r="B1712" s="2">
        <v>45688</v>
      </c>
      <c r="C1712" t="s">
        <v>60</v>
      </c>
      <c r="D1712" t="s">
        <v>61</v>
      </c>
      <c r="E1712">
        <v>0</v>
      </c>
      <c r="F1712">
        <v>1521.92</v>
      </c>
      <c r="G1712" t="s">
        <v>13</v>
      </c>
      <c r="H1712" t="s">
        <v>62</v>
      </c>
      <c r="I1712" t="s">
        <v>3464</v>
      </c>
      <c r="J1712" t="s">
        <v>36</v>
      </c>
      <c r="K1712" s="4">
        <f>VLOOKUP(J1712,Exchange_Rates!A:B,2,FALSE)</f>
        <v>1.08</v>
      </c>
      <c r="L1712" s="4">
        <f t="shared" si="104"/>
        <v>0</v>
      </c>
      <c r="M1712" s="4">
        <f t="shared" si="105"/>
        <v>1643.6736000000001</v>
      </c>
      <c r="N1712" s="4">
        <f t="shared" si="106"/>
        <v>2025</v>
      </c>
      <c r="O1712" s="4">
        <f t="shared" si="107"/>
        <v>1</v>
      </c>
    </row>
    <row r="1713" spans="1:15" x14ac:dyDescent="0.25">
      <c r="A1713" t="s">
        <v>3465</v>
      </c>
      <c r="B1713" s="2">
        <v>45297</v>
      </c>
      <c r="C1713" t="s">
        <v>60</v>
      </c>
      <c r="D1713" t="s">
        <v>61</v>
      </c>
      <c r="E1713">
        <v>0</v>
      </c>
      <c r="F1713">
        <v>3858.51</v>
      </c>
      <c r="G1713" t="s">
        <v>10</v>
      </c>
      <c r="H1713" t="s">
        <v>40</v>
      </c>
      <c r="I1713" t="s">
        <v>3466</v>
      </c>
      <c r="J1713" t="s">
        <v>28</v>
      </c>
      <c r="K1713" s="4">
        <f>VLOOKUP(J1713,Exchange_Rates!A:B,2,FALSE)</f>
        <v>1.27</v>
      </c>
      <c r="L1713" s="4">
        <f t="shared" si="104"/>
        <v>0</v>
      </c>
      <c r="M1713" s="4">
        <f t="shared" si="105"/>
        <v>4900.3077000000003</v>
      </c>
      <c r="N1713" s="4">
        <f t="shared" si="106"/>
        <v>2024</v>
      </c>
      <c r="O1713" s="4">
        <f t="shared" si="107"/>
        <v>1</v>
      </c>
    </row>
    <row r="1714" spans="1:15" x14ac:dyDescent="0.25">
      <c r="A1714" t="s">
        <v>3467</v>
      </c>
      <c r="B1714" s="2">
        <v>45392</v>
      </c>
      <c r="C1714" t="s">
        <v>60</v>
      </c>
      <c r="D1714" t="s">
        <v>61</v>
      </c>
      <c r="E1714">
        <v>0</v>
      </c>
      <c r="F1714">
        <v>4500.74</v>
      </c>
      <c r="G1714" t="s">
        <v>10</v>
      </c>
      <c r="H1714" t="s">
        <v>62</v>
      </c>
      <c r="I1714" t="s">
        <v>3468</v>
      </c>
      <c r="J1714" t="s">
        <v>42</v>
      </c>
      <c r="K1714" s="4">
        <f>VLOOKUP(J1714,Exchange_Rates!A:B,2,FALSE)</f>
        <v>0.66</v>
      </c>
      <c r="L1714" s="4">
        <f t="shared" si="104"/>
        <v>0</v>
      </c>
      <c r="M1714" s="4">
        <f t="shared" si="105"/>
        <v>2970.4884000000002</v>
      </c>
      <c r="N1714" s="4">
        <f t="shared" si="106"/>
        <v>2024</v>
      </c>
      <c r="O1714" s="4">
        <f t="shared" si="107"/>
        <v>2</v>
      </c>
    </row>
    <row r="1715" spans="1:15" x14ac:dyDescent="0.25">
      <c r="A1715" t="s">
        <v>3469</v>
      </c>
      <c r="B1715" s="2">
        <v>45546</v>
      </c>
      <c r="C1715" t="s">
        <v>38</v>
      </c>
      <c r="D1715" t="s">
        <v>39</v>
      </c>
      <c r="E1715">
        <v>678.18</v>
      </c>
      <c r="F1715">
        <v>0</v>
      </c>
      <c r="G1715" t="s">
        <v>12</v>
      </c>
      <c r="H1715" t="s">
        <v>26</v>
      </c>
      <c r="I1715" t="s">
        <v>3470</v>
      </c>
      <c r="J1715" t="s">
        <v>42</v>
      </c>
      <c r="K1715" s="4">
        <f>VLOOKUP(J1715,Exchange_Rates!A:B,2,FALSE)</f>
        <v>0.66</v>
      </c>
      <c r="L1715" s="4">
        <f t="shared" si="104"/>
        <v>447.59879999999998</v>
      </c>
      <c r="M1715" s="4">
        <f t="shared" si="105"/>
        <v>0</v>
      </c>
      <c r="N1715" s="4">
        <f t="shared" si="106"/>
        <v>2024</v>
      </c>
      <c r="O1715" s="4">
        <f t="shared" si="107"/>
        <v>3</v>
      </c>
    </row>
    <row r="1716" spans="1:15" x14ac:dyDescent="0.25">
      <c r="A1716" t="s">
        <v>3471</v>
      </c>
      <c r="B1716" s="2">
        <v>45630</v>
      </c>
      <c r="C1716" t="s">
        <v>38</v>
      </c>
      <c r="D1716" t="s">
        <v>39</v>
      </c>
      <c r="E1716">
        <v>1306.92</v>
      </c>
      <c r="F1716">
        <v>0</v>
      </c>
      <c r="G1716" t="s">
        <v>13</v>
      </c>
      <c r="H1716" t="s">
        <v>34</v>
      </c>
      <c r="I1716" t="s">
        <v>3472</v>
      </c>
      <c r="J1716" t="s">
        <v>64</v>
      </c>
      <c r="K1716" s="4">
        <f>VLOOKUP(J1716,Exchange_Rates!A:B,2,FALSE)</f>
        <v>0.73</v>
      </c>
      <c r="L1716" s="4">
        <f t="shared" si="104"/>
        <v>954.05160000000001</v>
      </c>
      <c r="M1716" s="4">
        <f t="shared" si="105"/>
        <v>0</v>
      </c>
      <c r="N1716" s="4">
        <f t="shared" si="106"/>
        <v>2024</v>
      </c>
      <c r="O1716" s="4">
        <f t="shared" si="107"/>
        <v>4</v>
      </c>
    </row>
    <row r="1717" spans="1:15" x14ac:dyDescent="0.25">
      <c r="A1717" t="s">
        <v>3473</v>
      </c>
      <c r="B1717" s="2">
        <v>44947</v>
      </c>
      <c r="C1717" t="s">
        <v>60</v>
      </c>
      <c r="D1717" t="s">
        <v>61</v>
      </c>
      <c r="E1717">
        <v>0</v>
      </c>
      <c r="F1717">
        <v>1899.18</v>
      </c>
      <c r="G1717" t="s">
        <v>11</v>
      </c>
      <c r="H1717" t="s">
        <v>26</v>
      </c>
      <c r="I1717" t="s">
        <v>3474</v>
      </c>
      <c r="J1717" t="s">
        <v>28</v>
      </c>
      <c r="K1717" s="4">
        <f>VLOOKUP(J1717,Exchange_Rates!A:B,2,FALSE)</f>
        <v>1.27</v>
      </c>
      <c r="L1717" s="4">
        <f t="shared" si="104"/>
        <v>0</v>
      </c>
      <c r="M1717" s="4">
        <f t="shared" si="105"/>
        <v>2411.9585999999999</v>
      </c>
      <c r="N1717" s="4">
        <f t="shared" si="106"/>
        <v>2023</v>
      </c>
      <c r="O1717" s="4">
        <f t="shared" si="107"/>
        <v>1</v>
      </c>
    </row>
    <row r="1718" spans="1:15" x14ac:dyDescent="0.25">
      <c r="A1718" t="s">
        <v>3475</v>
      </c>
      <c r="B1718" s="2">
        <v>45592</v>
      </c>
      <c r="C1718" t="s">
        <v>60</v>
      </c>
      <c r="D1718" t="s">
        <v>61</v>
      </c>
      <c r="E1718">
        <v>0</v>
      </c>
      <c r="F1718">
        <v>4785.2299999999996</v>
      </c>
      <c r="G1718" t="s">
        <v>10</v>
      </c>
      <c r="H1718" t="s">
        <v>51</v>
      </c>
      <c r="I1718" t="s">
        <v>3476</v>
      </c>
      <c r="J1718" t="s">
        <v>28</v>
      </c>
      <c r="K1718" s="4">
        <f>VLOOKUP(J1718,Exchange_Rates!A:B,2,FALSE)</f>
        <v>1.27</v>
      </c>
      <c r="L1718" s="4">
        <f t="shared" si="104"/>
        <v>0</v>
      </c>
      <c r="M1718" s="4">
        <f t="shared" si="105"/>
        <v>6077.2420999999995</v>
      </c>
      <c r="N1718" s="4">
        <f t="shared" si="106"/>
        <v>2024</v>
      </c>
      <c r="O1718" s="4">
        <f t="shared" si="107"/>
        <v>4</v>
      </c>
    </row>
    <row r="1719" spans="1:15" x14ac:dyDescent="0.25">
      <c r="A1719" t="s">
        <v>3477</v>
      </c>
      <c r="B1719" s="2">
        <v>45192</v>
      </c>
      <c r="C1719" t="s">
        <v>60</v>
      </c>
      <c r="D1719" t="s">
        <v>61</v>
      </c>
      <c r="E1719">
        <v>0</v>
      </c>
      <c r="F1719">
        <v>2005.29</v>
      </c>
      <c r="G1719" t="s">
        <v>8</v>
      </c>
      <c r="H1719" t="s">
        <v>34</v>
      </c>
      <c r="I1719" t="s">
        <v>3478</v>
      </c>
      <c r="J1719" t="s">
        <v>45</v>
      </c>
      <c r="K1719" s="4">
        <f>VLOOKUP(J1719,Exchange_Rates!A:B,2,FALSE)</f>
        <v>1</v>
      </c>
      <c r="L1719" s="4">
        <f t="shared" si="104"/>
        <v>0</v>
      </c>
      <c r="M1719" s="4">
        <f t="shared" si="105"/>
        <v>2005.29</v>
      </c>
      <c r="N1719" s="4">
        <f t="shared" si="106"/>
        <v>2023</v>
      </c>
      <c r="O1719" s="4">
        <f t="shared" si="107"/>
        <v>3</v>
      </c>
    </row>
    <row r="1720" spans="1:15" x14ac:dyDescent="0.25">
      <c r="A1720" t="s">
        <v>3479</v>
      </c>
      <c r="B1720" s="2">
        <v>45148</v>
      </c>
      <c r="C1720" t="s">
        <v>38</v>
      </c>
      <c r="D1720" t="s">
        <v>39</v>
      </c>
      <c r="E1720">
        <v>1255.1099999999999</v>
      </c>
      <c r="F1720">
        <v>0</v>
      </c>
      <c r="G1720" t="s">
        <v>13</v>
      </c>
      <c r="H1720" t="s">
        <v>34</v>
      </c>
      <c r="I1720" t="s">
        <v>3480</v>
      </c>
      <c r="J1720" t="s">
        <v>36</v>
      </c>
      <c r="K1720" s="4">
        <f>VLOOKUP(J1720,Exchange_Rates!A:B,2,FALSE)</f>
        <v>1.08</v>
      </c>
      <c r="L1720" s="4">
        <f t="shared" si="104"/>
        <v>1355.5188000000001</v>
      </c>
      <c r="M1720" s="4">
        <f t="shared" si="105"/>
        <v>0</v>
      </c>
      <c r="N1720" s="4">
        <f t="shared" si="106"/>
        <v>2023</v>
      </c>
      <c r="O1720" s="4">
        <f t="shared" si="107"/>
        <v>3</v>
      </c>
    </row>
    <row r="1721" spans="1:15" x14ac:dyDescent="0.25">
      <c r="A1721" t="s">
        <v>3481</v>
      </c>
      <c r="B1721" s="2">
        <v>45311</v>
      </c>
      <c r="C1721" t="s">
        <v>30</v>
      </c>
      <c r="D1721" t="s">
        <v>31</v>
      </c>
      <c r="E1721">
        <v>816.6</v>
      </c>
      <c r="F1721">
        <v>0</v>
      </c>
      <c r="G1721" t="s">
        <v>13</v>
      </c>
      <c r="H1721" t="s">
        <v>62</v>
      </c>
      <c r="I1721" t="s">
        <v>3482</v>
      </c>
      <c r="J1721" t="s">
        <v>36</v>
      </c>
      <c r="K1721" s="4">
        <f>VLOOKUP(J1721,Exchange_Rates!A:B,2,FALSE)</f>
        <v>1.08</v>
      </c>
      <c r="L1721" s="4">
        <f t="shared" si="104"/>
        <v>881.92800000000011</v>
      </c>
      <c r="M1721" s="4">
        <f t="shared" si="105"/>
        <v>0</v>
      </c>
      <c r="N1721" s="4">
        <f t="shared" si="106"/>
        <v>2024</v>
      </c>
      <c r="O1721" s="4">
        <f t="shared" si="107"/>
        <v>1</v>
      </c>
    </row>
    <row r="1722" spans="1:15" x14ac:dyDescent="0.25">
      <c r="A1722" t="s">
        <v>3483</v>
      </c>
      <c r="B1722" s="2">
        <v>45015</v>
      </c>
      <c r="C1722" t="s">
        <v>60</v>
      </c>
      <c r="D1722" t="s">
        <v>61</v>
      </c>
      <c r="E1722">
        <v>0</v>
      </c>
      <c r="F1722">
        <v>1623.32</v>
      </c>
      <c r="G1722" t="s">
        <v>13</v>
      </c>
      <c r="H1722" t="s">
        <v>26</v>
      </c>
      <c r="I1722" t="s">
        <v>3484</v>
      </c>
      <c r="J1722" t="s">
        <v>42</v>
      </c>
      <c r="K1722" s="4">
        <f>VLOOKUP(J1722,Exchange_Rates!A:B,2,FALSE)</f>
        <v>0.66</v>
      </c>
      <c r="L1722" s="4">
        <f t="shared" si="104"/>
        <v>0</v>
      </c>
      <c r="M1722" s="4">
        <f t="shared" si="105"/>
        <v>1071.3912</v>
      </c>
      <c r="N1722" s="4">
        <f t="shared" si="106"/>
        <v>2023</v>
      </c>
      <c r="O1722" s="4">
        <f t="shared" si="107"/>
        <v>1</v>
      </c>
    </row>
    <row r="1723" spans="1:15" x14ac:dyDescent="0.25">
      <c r="A1723" t="s">
        <v>3485</v>
      </c>
      <c r="B1723" s="2">
        <v>45133</v>
      </c>
      <c r="C1723" t="s">
        <v>38</v>
      </c>
      <c r="D1723" t="s">
        <v>39</v>
      </c>
      <c r="E1723">
        <v>770.91</v>
      </c>
      <c r="F1723">
        <v>0</v>
      </c>
      <c r="G1723" t="s">
        <v>13</v>
      </c>
      <c r="H1723" t="s">
        <v>62</v>
      </c>
      <c r="I1723" t="s">
        <v>3486</v>
      </c>
      <c r="J1723" t="s">
        <v>42</v>
      </c>
      <c r="K1723" s="4">
        <f>VLOOKUP(J1723,Exchange_Rates!A:B,2,FALSE)</f>
        <v>0.66</v>
      </c>
      <c r="L1723" s="4">
        <f t="shared" si="104"/>
        <v>508.80060000000003</v>
      </c>
      <c r="M1723" s="4">
        <f t="shared" si="105"/>
        <v>0</v>
      </c>
      <c r="N1723" s="4">
        <f t="shared" si="106"/>
        <v>2023</v>
      </c>
      <c r="O1723" s="4">
        <f t="shared" si="107"/>
        <v>3</v>
      </c>
    </row>
    <row r="1724" spans="1:15" x14ac:dyDescent="0.25">
      <c r="A1724" t="s">
        <v>3487</v>
      </c>
      <c r="B1724" s="2">
        <v>45379</v>
      </c>
      <c r="C1724" t="s">
        <v>60</v>
      </c>
      <c r="D1724" t="s">
        <v>61</v>
      </c>
      <c r="E1724">
        <v>0</v>
      </c>
      <c r="F1724">
        <v>3597.73</v>
      </c>
      <c r="G1724" t="s">
        <v>11</v>
      </c>
      <c r="H1724" t="s">
        <v>34</v>
      </c>
      <c r="I1724" t="s">
        <v>3488</v>
      </c>
      <c r="J1724" t="s">
        <v>64</v>
      </c>
      <c r="K1724" s="4">
        <f>VLOOKUP(J1724,Exchange_Rates!A:B,2,FALSE)</f>
        <v>0.73</v>
      </c>
      <c r="L1724" s="4">
        <f t="shared" si="104"/>
        <v>0</v>
      </c>
      <c r="M1724" s="4">
        <f t="shared" si="105"/>
        <v>2626.3429000000001</v>
      </c>
      <c r="N1724" s="4">
        <f t="shared" si="106"/>
        <v>2024</v>
      </c>
      <c r="O1724" s="4">
        <f t="shared" si="107"/>
        <v>1</v>
      </c>
    </row>
    <row r="1725" spans="1:15" x14ac:dyDescent="0.25">
      <c r="A1725" t="s">
        <v>3489</v>
      </c>
      <c r="B1725" s="2">
        <v>45730</v>
      </c>
      <c r="C1725" t="s">
        <v>30</v>
      </c>
      <c r="D1725" t="s">
        <v>31</v>
      </c>
      <c r="E1725">
        <v>468</v>
      </c>
      <c r="F1725">
        <v>0</v>
      </c>
      <c r="G1725" t="s">
        <v>8</v>
      </c>
      <c r="H1725" t="s">
        <v>62</v>
      </c>
      <c r="I1725" t="s">
        <v>3490</v>
      </c>
      <c r="J1725" t="s">
        <v>45</v>
      </c>
      <c r="K1725" s="4">
        <f>VLOOKUP(J1725,Exchange_Rates!A:B,2,FALSE)</f>
        <v>1</v>
      </c>
      <c r="L1725" s="4">
        <f t="shared" si="104"/>
        <v>468</v>
      </c>
      <c r="M1725" s="4">
        <f t="shared" si="105"/>
        <v>0</v>
      </c>
      <c r="N1725" s="4">
        <f t="shared" si="106"/>
        <v>2025</v>
      </c>
      <c r="O1725" s="4">
        <f t="shared" si="107"/>
        <v>1</v>
      </c>
    </row>
    <row r="1726" spans="1:15" x14ac:dyDescent="0.25">
      <c r="A1726" t="s">
        <v>3491</v>
      </c>
      <c r="B1726" s="2">
        <v>45439</v>
      </c>
      <c r="C1726" t="s">
        <v>38</v>
      </c>
      <c r="D1726" t="s">
        <v>39</v>
      </c>
      <c r="E1726">
        <v>1093.3800000000001</v>
      </c>
      <c r="F1726">
        <v>0</v>
      </c>
      <c r="G1726" t="s">
        <v>10</v>
      </c>
      <c r="H1726" t="s">
        <v>34</v>
      </c>
      <c r="I1726" t="s">
        <v>3492</v>
      </c>
      <c r="J1726" t="s">
        <v>42</v>
      </c>
      <c r="K1726" s="4">
        <f>VLOOKUP(J1726,Exchange_Rates!A:B,2,FALSE)</f>
        <v>0.66</v>
      </c>
      <c r="L1726" s="4">
        <f t="shared" si="104"/>
        <v>721.63080000000014</v>
      </c>
      <c r="M1726" s="4">
        <f t="shared" si="105"/>
        <v>0</v>
      </c>
      <c r="N1726" s="4">
        <f t="shared" si="106"/>
        <v>2024</v>
      </c>
      <c r="O1726" s="4">
        <f t="shared" si="107"/>
        <v>2</v>
      </c>
    </row>
    <row r="1727" spans="1:15" x14ac:dyDescent="0.25">
      <c r="A1727" t="s">
        <v>3493</v>
      </c>
      <c r="B1727" s="2">
        <v>45429</v>
      </c>
      <c r="C1727" t="s">
        <v>60</v>
      </c>
      <c r="D1727" t="s">
        <v>61</v>
      </c>
      <c r="E1727">
        <v>0</v>
      </c>
      <c r="F1727">
        <v>1791.26</v>
      </c>
      <c r="G1727" t="s">
        <v>10</v>
      </c>
      <c r="H1727" t="s">
        <v>51</v>
      </c>
      <c r="I1727" t="s">
        <v>3494</v>
      </c>
      <c r="J1727" t="s">
        <v>45</v>
      </c>
      <c r="K1727" s="4">
        <f>VLOOKUP(J1727,Exchange_Rates!A:B,2,FALSE)</f>
        <v>1</v>
      </c>
      <c r="L1727" s="4">
        <f t="shared" si="104"/>
        <v>0</v>
      </c>
      <c r="M1727" s="4">
        <f t="shared" si="105"/>
        <v>1791.26</v>
      </c>
      <c r="N1727" s="4">
        <f t="shared" si="106"/>
        <v>2024</v>
      </c>
      <c r="O1727" s="4">
        <f t="shared" si="107"/>
        <v>2</v>
      </c>
    </row>
    <row r="1728" spans="1:15" x14ac:dyDescent="0.25">
      <c r="A1728" t="s">
        <v>3495</v>
      </c>
      <c r="B1728" s="2">
        <v>45760</v>
      </c>
      <c r="C1728" t="s">
        <v>60</v>
      </c>
      <c r="D1728" t="s">
        <v>61</v>
      </c>
      <c r="E1728">
        <v>0</v>
      </c>
      <c r="F1728">
        <v>2175.02</v>
      </c>
      <c r="G1728" t="s">
        <v>9</v>
      </c>
      <c r="H1728" t="s">
        <v>40</v>
      </c>
      <c r="I1728" t="s">
        <v>3496</v>
      </c>
      <c r="J1728" t="s">
        <v>28</v>
      </c>
      <c r="K1728" s="4">
        <f>VLOOKUP(J1728,Exchange_Rates!A:B,2,FALSE)</f>
        <v>1.27</v>
      </c>
      <c r="L1728" s="4">
        <f t="shared" si="104"/>
        <v>0</v>
      </c>
      <c r="M1728" s="4">
        <f t="shared" si="105"/>
        <v>2762.2754</v>
      </c>
      <c r="N1728" s="4">
        <f t="shared" si="106"/>
        <v>2025</v>
      </c>
      <c r="O1728" s="4">
        <f t="shared" si="107"/>
        <v>2</v>
      </c>
    </row>
    <row r="1729" spans="1:15" x14ac:dyDescent="0.25">
      <c r="A1729" t="s">
        <v>3497</v>
      </c>
      <c r="B1729" s="2">
        <v>45677</v>
      </c>
      <c r="C1729" t="s">
        <v>38</v>
      </c>
      <c r="D1729" t="s">
        <v>39</v>
      </c>
      <c r="E1729">
        <v>1574.77</v>
      </c>
      <c r="F1729">
        <v>0</v>
      </c>
      <c r="G1729" t="s">
        <v>11</v>
      </c>
      <c r="H1729" t="s">
        <v>26</v>
      </c>
      <c r="I1729" t="s">
        <v>3498</v>
      </c>
      <c r="J1729" t="s">
        <v>64</v>
      </c>
      <c r="K1729" s="4">
        <f>VLOOKUP(J1729,Exchange_Rates!A:B,2,FALSE)</f>
        <v>0.73</v>
      </c>
      <c r="L1729" s="4">
        <f t="shared" si="104"/>
        <v>1149.5820999999999</v>
      </c>
      <c r="M1729" s="4">
        <f t="shared" si="105"/>
        <v>0</v>
      </c>
      <c r="N1729" s="4">
        <f t="shared" si="106"/>
        <v>2025</v>
      </c>
      <c r="O1729" s="4">
        <f t="shared" si="107"/>
        <v>1</v>
      </c>
    </row>
    <row r="1730" spans="1:15" x14ac:dyDescent="0.25">
      <c r="A1730" t="s">
        <v>3499</v>
      </c>
      <c r="B1730" s="2">
        <v>45674</v>
      </c>
      <c r="C1730" t="s">
        <v>30</v>
      </c>
      <c r="D1730" t="s">
        <v>31</v>
      </c>
      <c r="E1730">
        <v>1527.19</v>
      </c>
      <c r="F1730">
        <v>0</v>
      </c>
      <c r="G1730" t="s">
        <v>13</v>
      </c>
      <c r="H1730" t="s">
        <v>62</v>
      </c>
      <c r="I1730" t="s">
        <v>3500</v>
      </c>
      <c r="J1730" t="s">
        <v>28</v>
      </c>
      <c r="K1730" s="4">
        <f>VLOOKUP(J1730,Exchange_Rates!A:B,2,FALSE)</f>
        <v>1.27</v>
      </c>
      <c r="L1730" s="4">
        <f t="shared" si="104"/>
        <v>1939.5313000000001</v>
      </c>
      <c r="M1730" s="4">
        <f t="shared" si="105"/>
        <v>0</v>
      </c>
      <c r="N1730" s="4">
        <f t="shared" si="106"/>
        <v>2025</v>
      </c>
      <c r="O1730" s="4">
        <f t="shared" si="107"/>
        <v>1</v>
      </c>
    </row>
    <row r="1731" spans="1:15" x14ac:dyDescent="0.25">
      <c r="A1731" t="s">
        <v>3501</v>
      </c>
      <c r="B1731" s="2">
        <v>45277</v>
      </c>
      <c r="C1731" t="s">
        <v>49</v>
      </c>
      <c r="D1731" t="s">
        <v>50</v>
      </c>
      <c r="E1731">
        <v>235.69</v>
      </c>
      <c r="F1731">
        <v>0</v>
      </c>
      <c r="G1731" t="s">
        <v>13</v>
      </c>
      <c r="H1731" t="s">
        <v>34</v>
      </c>
      <c r="I1731" t="s">
        <v>3502</v>
      </c>
      <c r="J1731" t="s">
        <v>42</v>
      </c>
      <c r="K1731" s="4">
        <f>VLOOKUP(J1731,Exchange_Rates!A:B,2,FALSE)</f>
        <v>0.66</v>
      </c>
      <c r="L1731" s="4">
        <f t="shared" ref="L1731:L1794" si="108">E1731*K1731</f>
        <v>155.55539999999999</v>
      </c>
      <c r="M1731" s="4">
        <f t="shared" ref="M1731:M1794" si="109">F1731*K1731</f>
        <v>0</v>
      </c>
      <c r="N1731" s="4">
        <f t="shared" ref="N1731:N1794" si="110">YEAR(B1731)</f>
        <v>2023</v>
      </c>
      <c r="O1731" s="4">
        <f t="shared" ref="O1731:O1794" si="111">ROUNDUP(MONTH(B1731)/3,0)</f>
        <v>4</v>
      </c>
    </row>
    <row r="1732" spans="1:15" x14ac:dyDescent="0.25">
      <c r="A1732" t="s">
        <v>3503</v>
      </c>
      <c r="B1732" s="2">
        <v>44999</v>
      </c>
      <c r="C1732" t="s">
        <v>60</v>
      </c>
      <c r="D1732" t="s">
        <v>61</v>
      </c>
      <c r="E1732">
        <v>0</v>
      </c>
      <c r="F1732">
        <v>1732.54</v>
      </c>
      <c r="G1732" t="s">
        <v>9</v>
      </c>
      <c r="H1732" t="s">
        <v>51</v>
      </c>
      <c r="I1732" t="s">
        <v>3504</v>
      </c>
      <c r="J1732" t="s">
        <v>45</v>
      </c>
      <c r="K1732" s="4">
        <f>VLOOKUP(J1732,Exchange_Rates!A:B,2,FALSE)</f>
        <v>1</v>
      </c>
      <c r="L1732" s="4">
        <f t="shared" si="108"/>
        <v>0</v>
      </c>
      <c r="M1732" s="4">
        <f t="shared" si="109"/>
        <v>1732.54</v>
      </c>
      <c r="N1732" s="4">
        <f t="shared" si="110"/>
        <v>2023</v>
      </c>
      <c r="O1732" s="4">
        <f t="shared" si="111"/>
        <v>1</v>
      </c>
    </row>
    <row r="1733" spans="1:15" x14ac:dyDescent="0.25">
      <c r="A1733" t="s">
        <v>3505</v>
      </c>
      <c r="B1733" s="2">
        <v>45714</v>
      </c>
      <c r="C1733" t="s">
        <v>60</v>
      </c>
      <c r="D1733" t="s">
        <v>61</v>
      </c>
      <c r="E1733">
        <v>0</v>
      </c>
      <c r="F1733">
        <v>2626.2</v>
      </c>
      <c r="G1733" t="s">
        <v>11</v>
      </c>
      <c r="H1733" t="s">
        <v>40</v>
      </c>
      <c r="I1733" t="s">
        <v>3506</v>
      </c>
      <c r="J1733" t="s">
        <v>64</v>
      </c>
      <c r="K1733" s="4">
        <f>VLOOKUP(J1733,Exchange_Rates!A:B,2,FALSE)</f>
        <v>0.73</v>
      </c>
      <c r="L1733" s="4">
        <f t="shared" si="108"/>
        <v>0</v>
      </c>
      <c r="M1733" s="4">
        <f t="shared" si="109"/>
        <v>1917.1259999999997</v>
      </c>
      <c r="N1733" s="4">
        <f t="shared" si="110"/>
        <v>2025</v>
      </c>
      <c r="O1733" s="4">
        <f t="shared" si="111"/>
        <v>1</v>
      </c>
    </row>
    <row r="1734" spans="1:15" x14ac:dyDescent="0.25">
      <c r="A1734" t="s">
        <v>3507</v>
      </c>
      <c r="B1734" s="2">
        <v>45008</v>
      </c>
      <c r="C1734" t="s">
        <v>49</v>
      </c>
      <c r="D1734" t="s">
        <v>50</v>
      </c>
      <c r="E1734">
        <v>1253</v>
      </c>
      <c r="F1734">
        <v>0</v>
      </c>
      <c r="G1734" t="s">
        <v>11</v>
      </c>
      <c r="H1734" t="s">
        <v>26</v>
      </c>
      <c r="I1734" t="s">
        <v>3508</v>
      </c>
      <c r="J1734" t="s">
        <v>36</v>
      </c>
      <c r="K1734" s="4">
        <f>VLOOKUP(J1734,Exchange_Rates!A:B,2,FALSE)</f>
        <v>1.08</v>
      </c>
      <c r="L1734" s="4">
        <f t="shared" si="108"/>
        <v>1353.24</v>
      </c>
      <c r="M1734" s="4">
        <f t="shared" si="109"/>
        <v>0</v>
      </c>
      <c r="N1734" s="4">
        <f t="shared" si="110"/>
        <v>2023</v>
      </c>
      <c r="O1734" s="4">
        <f t="shared" si="111"/>
        <v>1</v>
      </c>
    </row>
    <row r="1735" spans="1:15" x14ac:dyDescent="0.25">
      <c r="A1735" t="s">
        <v>3509</v>
      </c>
      <c r="B1735" s="2">
        <v>45667</v>
      </c>
      <c r="C1735" t="s">
        <v>30</v>
      </c>
      <c r="D1735" t="s">
        <v>31</v>
      </c>
      <c r="E1735">
        <v>698.8</v>
      </c>
      <c r="F1735">
        <v>0</v>
      </c>
      <c r="G1735" t="s">
        <v>10</v>
      </c>
      <c r="H1735" t="s">
        <v>62</v>
      </c>
      <c r="I1735" t="s">
        <v>3510</v>
      </c>
      <c r="J1735" t="s">
        <v>64</v>
      </c>
      <c r="K1735" s="4">
        <f>VLOOKUP(J1735,Exchange_Rates!A:B,2,FALSE)</f>
        <v>0.73</v>
      </c>
      <c r="L1735" s="4">
        <f t="shared" si="108"/>
        <v>510.12399999999997</v>
      </c>
      <c r="M1735" s="4">
        <f t="shared" si="109"/>
        <v>0</v>
      </c>
      <c r="N1735" s="4">
        <f t="shared" si="110"/>
        <v>2025</v>
      </c>
      <c r="O1735" s="4">
        <f t="shared" si="111"/>
        <v>1</v>
      </c>
    </row>
    <row r="1736" spans="1:15" x14ac:dyDescent="0.25">
      <c r="A1736" t="s">
        <v>3511</v>
      </c>
      <c r="B1736" s="2">
        <v>45375</v>
      </c>
      <c r="C1736" t="s">
        <v>24</v>
      </c>
      <c r="D1736" t="s">
        <v>25</v>
      </c>
      <c r="E1736">
        <v>0</v>
      </c>
      <c r="F1736">
        <v>1651.12</v>
      </c>
      <c r="G1736" t="s">
        <v>12</v>
      </c>
      <c r="H1736" t="s">
        <v>26</v>
      </c>
      <c r="I1736" t="s">
        <v>3512</v>
      </c>
      <c r="J1736" t="s">
        <v>42</v>
      </c>
      <c r="K1736" s="4">
        <f>VLOOKUP(J1736,Exchange_Rates!A:B,2,FALSE)</f>
        <v>0.66</v>
      </c>
      <c r="L1736" s="4">
        <f t="shared" si="108"/>
        <v>0</v>
      </c>
      <c r="M1736" s="4">
        <f t="shared" si="109"/>
        <v>1089.7392</v>
      </c>
      <c r="N1736" s="4">
        <f t="shared" si="110"/>
        <v>2024</v>
      </c>
      <c r="O1736" s="4">
        <f t="shared" si="111"/>
        <v>1</v>
      </c>
    </row>
    <row r="1737" spans="1:15" x14ac:dyDescent="0.25">
      <c r="A1737" t="s">
        <v>3513</v>
      </c>
      <c r="B1737" s="2">
        <v>45414</v>
      </c>
      <c r="C1737" t="s">
        <v>60</v>
      </c>
      <c r="D1737" t="s">
        <v>61</v>
      </c>
      <c r="E1737">
        <v>0</v>
      </c>
      <c r="F1737">
        <v>4999.53</v>
      </c>
      <c r="G1737" t="s">
        <v>8</v>
      </c>
      <c r="H1737" t="s">
        <v>26</v>
      </c>
      <c r="I1737" t="s">
        <v>3514</v>
      </c>
      <c r="J1737" t="s">
        <v>64</v>
      </c>
      <c r="K1737" s="4">
        <f>VLOOKUP(J1737,Exchange_Rates!A:B,2,FALSE)</f>
        <v>0.73</v>
      </c>
      <c r="L1737" s="4">
        <f t="shared" si="108"/>
        <v>0</v>
      </c>
      <c r="M1737" s="4">
        <f t="shared" si="109"/>
        <v>3649.6569</v>
      </c>
      <c r="N1737" s="4">
        <f t="shared" si="110"/>
        <v>2024</v>
      </c>
      <c r="O1737" s="4">
        <f t="shared" si="111"/>
        <v>2</v>
      </c>
    </row>
    <row r="1738" spans="1:15" x14ac:dyDescent="0.25">
      <c r="A1738" t="s">
        <v>3515</v>
      </c>
      <c r="B1738" s="2">
        <v>45792</v>
      </c>
      <c r="C1738" t="s">
        <v>30</v>
      </c>
      <c r="D1738" t="s">
        <v>31</v>
      </c>
      <c r="E1738">
        <v>600.07000000000005</v>
      </c>
      <c r="F1738">
        <v>0</v>
      </c>
      <c r="G1738" t="s">
        <v>9</v>
      </c>
      <c r="H1738" t="s">
        <v>34</v>
      </c>
      <c r="I1738" t="s">
        <v>3516</v>
      </c>
      <c r="J1738" t="s">
        <v>36</v>
      </c>
      <c r="K1738" s="4">
        <f>VLOOKUP(J1738,Exchange_Rates!A:B,2,FALSE)</f>
        <v>1.08</v>
      </c>
      <c r="L1738" s="4">
        <f t="shared" si="108"/>
        <v>648.07560000000012</v>
      </c>
      <c r="M1738" s="4">
        <f t="shared" si="109"/>
        <v>0</v>
      </c>
      <c r="N1738" s="4">
        <f t="shared" si="110"/>
        <v>2025</v>
      </c>
      <c r="O1738" s="4">
        <f t="shared" si="111"/>
        <v>2</v>
      </c>
    </row>
    <row r="1739" spans="1:15" x14ac:dyDescent="0.25">
      <c r="A1739" t="s">
        <v>3517</v>
      </c>
      <c r="B1739" s="2">
        <v>45055</v>
      </c>
      <c r="C1739" t="s">
        <v>38</v>
      </c>
      <c r="D1739" t="s">
        <v>39</v>
      </c>
      <c r="E1739">
        <v>1136.96</v>
      </c>
      <c r="F1739">
        <v>0</v>
      </c>
      <c r="G1739" t="s">
        <v>13</v>
      </c>
      <c r="H1739" t="s">
        <v>51</v>
      </c>
      <c r="I1739" t="s">
        <v>3518</v>
      </c>
      <c r="J1739" t="s">
        <v>45</v>
      </c>
      <c r="K1739" s="4">
        <f>VLOOKUP(J1739,Exchange_Rates!A:B,2,FALSE)</f>
        <v>1</v>
      </c>
      <c r="L1739" s="4">
        <f t="shared" si="108"/>
        <v>1136.96</v>
      </c>
      <c r="M1739" s="4">
        <f t="shared" si="109"/>
        <v>0</v>
      </c>
      <c r="N1739" s="4">
        <f t="shared" si="110"/>
        <v>2023</v>
      </c>
      <c r="O1739" s="4">
        <f t="shared" si="111"/>
        <v>2</v>
      </c>
    </row>
    <row r="1740" spans="1:15" x14ac:dyDescent="0.25">
      <c r="A1740" t="s">
        <v>3519</v>
      </c>
      <c r="B1740" s="2">
        <v>45354</v>
      </c>
      <c r="C1740" t="s">
        <v>60</v>
      </c>
      <c r="D1740" t="s">
        <v>61</v>
      </c>
      <c r="E1740">
        <v>0</v>
      </c>
      <c r="F1740">
        <v>3007.82</v>
      </c>
      <c r="G1740" t="s">
        <v>13</v>
      </c>
      <c r="H1740" t="s">
        <v>62</v>
      </c>
      <c r="I1740" t="s">
        <v>3520</v>
      </c>
      <c r="J1740" t="s">
        <v>45</v>
      </c>
      <c r="K1740" s="4">
        <f>VLOOKUP(J1740,Exchange_Rates!A:B,2,FALSE)</f>
        <v>1</v>
      </c>
      <c r="L1740" s="4">
        <f t="shared" si="108"/>
        <v>0</v>
      </c>
      <c r="M1740" s="4">
        <f t="shared" si="109"/>
        <v>3007.82</v>
      </c>
      <c r="N1740" s="4">
        <f t="shared" si="110"/>
        <v>2024</v>
      </c>
      <c r="O1740" s="4">
        <f t="shared" si="111"/>
        <v>1</v>
      </c>
    </row>
    <row r="1741" spans="1:15" x14ac:dyDescent="0.25">
      <c r="A1741" t="s">
        <v>3521</v>
      </c>
      <c r="B1741" s="2">
        <v>45487</v>
      </c>
      <c r="C1741" t="s">
        <v>60</v>
      </c>
      <c r="D1741" t="s">
        <v>61</v>
      </c>
      <c r="E1741">
        <v>0</v>
      </c>
      <c r="F1741">
        <v>2023.01</v>
      </c>
      <c r="G1741" t="s">
        <v>12</v>
      </c>
      <c r="H1741" t="s">
        <v>62</v>
      </c>
      <c r="I1741" t="s">
        <v>3522</v>
      </c>
      <c r="J1741" t="s">
        <v>28</v>
      </c>
      <c r="K1741" s="4">
        <f>VLOOKUP(J1741,Exchange_Rates!A:B,2,FALSE)</f>
        <v>1.27</v>
      </c>
      <c r="L1741" s="4">
        <f t="shared" si="108"/>
        <v>0</v>
      </c>
      <c r="M1741" s="4">
        <f t="shared" si="109"/>
        <v>2569.2226999999998</v>
      </c>
      <c r="N1741" s="4">
        <f t="shared" si="110"/>
        <v>2024</v>
      </c>
      <c r="O1741" s="4">
        <f t="shared" si="111"/>
        <v>3</v>
      </c>
    </row>
    <row r="1742" spans="1:15" x14ac:dyDescent="0.25">
      <c r="A1742" t="s">
        <v>3523</v>
      </c>
      <c r="B1742" s="2">
        <v>45397</v>
      </c>
      <c r="C1742" t="s">
        <v>24</v>
      </c>
      <c r="D1742" t="s">
        <v>25</v>
      </c>
      <c r="E1742">
        <v>0</v>
      </c>
      <c r="F1742">
        <v>3884.34</v>
      </c>
      <c r="G1742" t="s">
        <v>10</v>
      </c>
      <c r="H1742" t="s">
        <v>26</v>
      </c>
      <c r="I1742" t="s">
        <v>3524</v>
      </c>
      <c r="J1742" t="s">
        <v>28</v>
      </c>
      <c r="K1742" s="4">
        <f>VLOOKUP(J1742,Exchange_Rates!A:B,2,FALSE)</f>
        <v>1.27</v>
      </c>
      <c r="L1742" s="4">
        <f t="shared" si="108"/>
        <v>0</v>
      </c>
      <c r="M1742" s="4">
        <f t="shared" si="109"/>
        <v>4933.1118000000006</v>
      </c>
      <c r="N1742" s="4">
        <f t="shared" si="110"/>
        <v>2024</v>
      </c>
      <c r="O1742" s="4">
        <f t="shared" si="111"/>
        <v>2</v>
      </c>
    </row>
    <row r="1743" spans="1:15" x14ac:dyDescent="0.25">
      <c r="A1743" t="s">
        <v>3525</v>
      </c>
      <c r="B1743" s="2">
        <v>45327</v>
      </c>
      <c r="C1743" t="s">
        <v>24</v>
      </c>
      <c r="D1743" t="s">
        <v>25</v>
      </c>
      <c r="E1743">
        <v>0</v>
      </c>
      <c r="F1743">
        <v>225.78</v>
      </c>
      <c r="G1743" t="s">
        <v>12</v>
      </c>
      <c r="H1743" t="s">
        <v>40</v>
      </c>
      <c r="I1743" t="s">
        <v>3526</v>
      </c>
      <c r="J1743" t="s">
        <v>36</v>
      </c>
      <c r="K1743" s="4">
        <f>VLOOKUP(J1743,Exchange_Rates!A:B,2,FALSE)</f>
        <v>1.08</v>
      </c>
      <c r="L1743" s="4">
        <f t="shared" si="108"/>
        <v>0</v>
      </c>
      <c r="M1743" s="4">
        <f t="shared" si="109"/>
        <v>243.84240000000003</v>
      </c>
      <c r="N1743" s="4">
        <f t="shared" si="110"/>
        <v>2024</v>
      </c>
      <c r="O1743" s="4">
        <f t="shared" si="111"/>
        <v>1</v>
      </c>
    </row>
    <row r="1744" spans="1:15" x14ac:dyDescent="0.25">
      <c r="A1744" t="s">
        <v>3527</v>
      </c>
      <c r="B1744" s="2">
        <v>45622</v>
      </c>
      <c r="C1744" t="s">
        <v>24</v>
      </c>
      <c r="D1744" t="s">
        <v>25</v>
      </c>
      <c r="E1744">
        <v>0</v>
      </c>
      <c r="F1744">
        <v>2518.37</v>
      </c>
      <c r="G1744" t="s">
        <v>10</v>
      </c>
      <c r="H1744" t="s">
        <v>51</v>
      </c>
      <c r="I1744" t="s">
        <v>3528</v>
      </c>
      <c r="J1744" t="s">
        <v>42</v>
      </c>
      <c r="K1744" s="4">
        <f>VLOOKUP(J1744,Exchange_Rates!A:B,2,FALSE)</f>
        <v>0.66</v>
      </c>
      <c r="L1744" s="4">
        <f t="shared" si="108"/>
        <v>0</v>
      </c>
      <c r="M1744" s="4">
        <f t="shared" si="109"/>
        <v>1662.1242</v>
      </c>
      <c r="N1744" s="4">
        <f t="shared" si="110"/>
        <v>2024</v>
      </c>
      <c r="O1744" s="4">
        <f t="shared" si="111"/>
        <v>4</v>
      </c>
    </row>
    <row r="1745" spans="1:15" x14ac:dyDescent="0.25">
      <c r="A1745" t="s">
        <v>3529</v>
      </c>
      <c r="B1745" s="2">
        <v>45590</v>
      </c>
      <c r="C1745" t="s">
        <v>30</v>
      </c>
      <c r="D1745" t="s">
        <v>31</v>
      </c>
      <c r="E1745">
        <v>847.09</v>
      </c>
      <c r="F1745">
        <v>0</v>
      </c>
      <c r="G1745" t="s">
        <v>8</v>
      </c>
      <c r="H1745" t="s">
        <v>51</v>
      </c>
      <c r="I1745" t="s">
        <v>3530</v>
      </c>
      <c r="J1745" t="s">
        <v>28</v>
      </c>
      <c r="K1745" s="4">
        <f>VLOOKUP(J1745,Exchange_Rates!A:B,2,FALSE)</f>
        <v>1.27</v>
      </c>
      <c r="L1745" s="4">
        <f t="shared" si="108"/>
        <v>1075.8043</v>
      </c>
      <c r="M1745" s="4">
        <f t="shared" si="109"/>
        <v>0</v>
      </c>
      <c r="N1745" s="4">
        <f t="shared" si="110"/>
        <v>2024</v>
      </c>
      <c r="O1745" s="4">
        <f t="shared" si="111"/>
        <v>4</v>
      </c>
    </row>
    <row r="1746" spans="1:15" x14ac:dyDescent="0.25">
      <c r="A1746" t="s">
        <v>3531</v>
      </c>
      <c r="B1746" s="2">
        <v>45331</v>
      </c>
      <c r="C1746" t="s">
        <v>38</v>
      </c>
      <c r="D1746" t="s">
        <v>39</v>
      </c>
      <c r="E1746">
        <v>121.29</v>
      </c>
      <c r="F1746">
        <v>0</v>
      </c>
      <c r="G1746" t="s">
        <v>13</v>
      </c>
      <c r="H1746" t="s">
        <v>40</v>
      </c>
      <c r="I1746" t="s">
        <v>3532</v>
      </c>
      <c r="J1746" t="s">
        <v>36</v>
      </c>
      <c r="K1746" s="4">
        <f>VLOOKUP(J1746,Exchange_Rates!A:B,2,FALSE)</f>
        <v>1.08</v>
      </c>
      <c r="L1746" s="4">
        <f t="shared" si="108"/>
        <v>130.9932</v>
      </c>
      <c r="M1746" s="4">
        <f t="shared" si="109"/>
        <v>0</v>
      </c>
      <c r="N1746" s="4">
        <f t="shared" si="110"/>
        <v>2024</v>
      </c>
      <c r="O1746" s="4">
        <f t="shared" si="111"/>
        <v>1</v>
      </c>
    </row>
    <row r="1747" spans="1:15" x14ac:dyDescent="0.25">
      <c r="A1747" t="s">
        <v>3533</v>
      </c>
      <c r="B1747" s="2">
        <v>45385</v>
      </c>
      <c r="C1747" t="s">
        <v>38</v>
      </c>
      <c r="D1747" t="s">
        <v>39</v>
      </c>
      <c r="E1747">
        <v>1357.35</v>
      </c>
      <c r="F1747">
        <v>0</v>
      </c>
      <c r="G1747" t="s">
        <v>12</v>
      </c>
      <c r="H1747" t="s">
        <v>34</v>
      </c>
      <c r="I1747" t="s">
        <v>3534</v>
      </c>
      <c r="J1747" t="s">
        <v>45</v>
      </c>
      <c r="K1747" s="4">
        <f>VLOOKUP(J1747,Exchange_Rates!A:B,2,FALSE)</f>
        <v>1</v>
      </c>
      <c r="L1747" s="4">
        <f t="shared" si="108"/>
        <v>1357.35</v>
      </c>
      <c r="M1747" s="4">
        <f t="shared" si="109"/>
        <v>0</v>
      </c>
      <c r="N1747" s="4">
        <f t="shared" si="110"/>
        <v>2024</v>
      </c>
      <c r="O1747" s="4">
        <f t="shared" si="111"/>
        <v>2</v>
      </c>
    </row>
    <row r="1748" spans="1:15" x14ac:dyDescent="0.25">
      <c r="A1748" t="s">
        <v>3535</v>
      </c>
      <c r="B1748" s="2">
        <v>45066</v>
      </c>
      <c r="C1748" t="s">
        <v>60</v>
      </c>
      <c r="D1748" t="s">
        <v>61</v>
      </c>
      <c r="E1748">
        <v>0</v>
      </c>
      <c r="F1748">
        <v>1658.15</v>
      </c>
      <c r="G1748" t="s">
        <v>13</v>
      </c>
      <c r="H1748" t="s">
        <v>40</v>
      </c>
      <c r="I1748" t="s">
        <v>3536</v>
      </c>
      <c r="J1748" t="s">
        <v>64</v>
      </c>
      <c r="K1748" s="4">
        <f>VLOOKUP(J1748,Exchange_Rates!A:B,2,FALSE)</f>
        <v>0.73</v>
      </c>
      <c r="L1748" s="4">
        <f t="shared" si="108"/>
        <v>0</v>
      </c>
      <c r="M1748" s="4">
        <f t="shared" si="109"/>
        <v>1210.4494999999999</v>
      </c>
      <c r="N1748" s="4">
        <f t="shared" si="110"/>
        <v>2023</v>
      </c>
      <c r="O1748" s="4">
        <f t="shared" si="111"/>
        <v>2</v>
      </c>
    </row>
    <row r="1749" spans="1:15" x14ac:dyDescent="0.25">
      <c r="A1749" t="s">
        <v>3537</v>
      </c>
      <c r="B1749" s="2">
        <v>45664</v>
      </c>
      <c r="C1749" t="s">
        <v>49</v>
      </c>
      <c r="D1749" t="s">
        <v>50</v>
      </c>
      <c r="E1749">
        <v>759.41</v>
      </c>
      <c r="F1749">
        <v>0</v>
      </c>
      <c r="G1749" t="s">
        <v>8</v>
      </c>
      <c r="H1749" t="s">
        <v>26</v>
      </c>
      <c r="I1749" t="s">
        <v>3538</v>
      </c>
      <c r="J1749" t="s">
        <v>42</v>
      </c>
      <c r="K1749" s="4">
        <f>VLOOKUP(J1749,Exchange_Rates!A:B,2,FALSE)</f>
        <v>0.66</v>
      </c>
      <c r="L1749" s="4">
        <f t="shared" si="108"/>
        <v>501.2106</v>
      </c>
      <c r="M1749" s="4">
        <f t="shared" si="109"/>
        <v>0</v>
      </c>
      <c r="N1749" s="4">
        <f t="shared" si="110"/>
        <v>2025</v>
      </c>
      <c r="O1749" s="4">
        <f t="shared" si="111"/>
        <v>1</v>
      </c>
    </row>
    <row r="1750" spans="1:15" x14ac:dyDescent="0.25">
      <c r="A1750" t="s">
        <v>3539</v>
      </c>
      <c r="B1750" s="2">
        <v>45238</v>
      </c>
      <c r="C1750" t="s">
        <v>24</v>
      </c>
      <c r="D1750" t="s">
        <v>25</v>
      </c>
      <c r="E1750">
        <v>0</v>
      </c>
      <c r="F1750">
        <v>4703.2</v>
      </c>
      <c r="G1750" t="s">
        <v>13</v>
      </c>
      <c r="H1750" t="s">
        <v>40</v>
      </c>
      <c r="I1750" t="s">
        <v>3540</v>
      </c>
      <c r="J1750" t="s">
        <v>36</v>
      </c>
      <c r="K1750" s="4">
        <f>VLOOKUP(J1750,Exchange_Rates!A:B,2,FALSE)</f>
        <v>1.08</v>
      </c>
      <c r="L1750" s="4">
        <f t="shared" si="108"/>
        <v>0</v>
      </c>
      <c r="M1750" s="4">
        <f t="shared" si="109"/>
        <v>5079.4560000000001</v>
      </c>
      <c r="N1750" s="4">
        <f t="shared" si="110"/>
        <v>2023</v>
      </c>
      <c r="O1750" s="4">
        <f t="shared" si="111"/>
        <v>4</v>
      </c>
    </row>
    <row r="1751" spans="1:15" x14ac:dyDescent="0.25">
      <c r="A1751" t="s">
        <v>3541</v>
      </c>
      <c r="B1751" s="2">
        <v>45156</v>
      </c>
      <c r="C1751" t="s">
        <v>60</v>
      </c>
      <c r="D1751" t="s">
        <v>61</v>
      </c>
      <c r="E1751">
        <v>0</v>
      </c>
      <c r="F1751">
        <v>528.16999999999996</v>
      </c>
      <c r="G1751" t="s">
        <v>12</v>
      </c>
      <c r="H1751" t="s">
        <v>51</v>
      </c>
      <c r="I1751" t="s">
        <v>3542</v>
      </c>
      <c r="J1751" t="s">
        <v>36</v>
      </c>
      <c r="K1751" s="4">
        <f>VLOOKUP(J1751,Exchange_Rates!A:B,2,FALSE)</f>
        <v>1.08</v>
      </c>
      <c r="L1751" s="4">
        <f t="shared" si="108"/>
        <v>0</v>
      </c>
      <c r="M1751" s="4">
        <f t="shared" si="109"/>
        <v>570.42359999999996</v>
      </c>
      <c r="N1751" s="4">
        <f t="shared" si="110"/>
        <v>2023</v>
      </c>
      <c r="O1751" s="4">
        <f t="shared" si="111"/>
        <v>3</v>
      </c>
    </row>
    <row r="1752" spans="1:15" x14ac:dyDescent="0.25">
      <c r="A1752" t="s">
        <v>3543</v>
      </c>
      <c r="B1752" s="2">
        <v>45142</v>
      </c>
      <c r="C1752" t="s">
        <v>24</v>
      </c>
      <c r="D1752" t="s">
        <v>25</v>
      </c>
      <c r="E1752">
        <v>0</v>
      </c>
      <c r="F1752">
        <v>4978.6499999999996</v>
      </c>
      <c r="G1752" t="s">
        <v>10</v>
      </c>
      <c r="H1752" t="s">
        <v>26</v>
      </c>
      <c r="I1752" t="s">
        <v>3544</v>
      </c>
      <c r="J1752" t="s">
        <v>45</v>
      </c>
      <c r="K1752" s="4">
        <f>VLOOKUP(J1752,Exchange_Rates!A:B,2,FALSE)</f>
        <v>1</v>
      </c>
      <c r="L1752" s="4">
        <f t="shared" si="108"/>
        <v>0</v>
      </c>
      <c r="M1752" s="4">
        <f t="shared" si="109"/>
        <v>4978.6499999999996</v>
      </c>
      <c r="N1752" s="4">
        <f t="shared" si="110"/>
        <v>2023</v>
      </c>
      <c r="O1752" s="4">
        <f t="shared" si="111"/>
        <v>3</v>
      </c>
    </row>
    <row r="1753" spans="1:15" x14ac:dyDescent="0.25">
      <c r="A1753" t="s">
        <v>3545</v>
      </c>
      <c r="B1753" s="2">
        <v>45838</v>
      </c>
      <c r="C1753" t="s">
        <v>38</v>
      </c>
      <c r="D1753" t="s">
        <v>39</v>
      </c>
      <c r="E1753">
        <v>912.48</v>
      </c>
      <c r="F1753">
        <v>0</v>
      </c>
      <c r="G1753" t="s">
        <v>8</v>
      </c>
      <c r="H1753" t="s">
        <v>26</v>
      </c>
      <c r="I1753" t="s">
        <v>3546</v>
      </c>
      <c r="J1753" t="s">
        <v>36</v>
      </c>
      <c r="K1753" s="4">
        <f>VLOOKUP(J1753,Exchange_Rates!A:B,2,FALSE)</f>
        <v>1.08</v>
      </c>
      <c r="L1753" s="4">
        <f t="shared" si="108"/>
        <v>985.47840000000008</v>
      </c>
      <c r="M1753" s="4">
        <f t="shared" si="109"/>
        <v>0</v>
      </c>
      <c r="N1753" s="4">
        <f t="shared" si="110"/>
        <v>2025</v>
      </c>
      <c r="O1753" s="4">
        <f t="shared" si="111"/>
        <v>2</v>
      </c>
    </row>
    <row r="1754" spans="1:15" x14ac:dyDescent="0.25">
      <c r="A1754" t="s">
        <v>3547</v>
      </c>
      <c r="B1754" s="2">
        <v>45721</v>
      </c>
      <c r="C1754" t="s">
        <v>24</v>
      </c>
      <c r="D1754" t="s">
        <v>25</v>
      </c>
      <c r="E1754">
        <v>0</v>
      </c>
      <c r="F1754">
        <v>3719.23</v>
      </c>
      <c r="G1754" t="s">
        <v>10</v>
      </c>
      <c r="H1754" t="s">
        <v>62</v>
      </c>
      <c r="I1754" t="s">
        <v>3548</v>
      </c>
      <c r="J1754" t="s">
        <v>28</v>
      </c>
      <c r="K1754" s="4">
        <f>VLOOKUP(J1754,Exchange_Rates!A:B,2,FALSE)</f>
        <v>1.27</v>
      </c>
      <c r="L1754" s="4">
        <f t="shared" si="108"/>
        <v>0</v>
      </c>
      <c r="M1754" s="4">
        <f t="shared" si="109"/>
        <v>4723.4220999999998</v>
      </c>
      <c r="N1754" s="4">
        <f t="shared" si="110"/>
        <v>2025</v>
      </c>
      <c r="O1754" s="4">
        <f t="shared" si="111"/>
        <v>1</v>
      </c>
    </row>
    <row r="1755" spans="1:15" x14ac:dyDescent="0.25">
      <c r="A1755" t="s">
        <v>3549</v>
      </c>
      <c r="B1755" s="2">
        <v>45664</v>
      </c>
      <c r="C1755" t="s">
        <v>30</v>
      </c>
      <c r="D1755" t="s">
        <v>31</v>
      </c>
      <c r="E1755">
        <v>136.12</v>
      </c>
      <c r="F1755">
        <v>0</v>
      </c>
      <c r="G1755" t="s">
        <v>10</v>
      </c>
      <c r="H1755" t="s">
        <v>62</v>
      </c>
      <c r="I1755" t="s">
        <v>3550</v>
      </c>
      <c r="J1755" t="s">
        <v>28</v>
      </c>
      <c r="K1755" s="4">
        <f>VLOOKUP(J1755,Exchange_Rates!A:B,2,FALSE)</f>
        <v>1.27</v>
      </c>
      <c r="L1755" s="4">
        <f t="shared" si="108"/>
        <v>172.8724</v>
      </c>
      <c r="M1755" s="4">
        <f t="shared" si="109"/>
        <v>0</v>
      </c>
      <c r="N1755" s="4">
        <f t="shared" si="110"/>
        <v>2025</v>
      </c>
      <c r="O1755" s="4">
        <f t="shared" si="111"/>
        <v>1</v>
      </c>
    </row>
    <row r="1756" spans="1:15" x14ac:dyDescent="0.25">
      <c r="A1756" t="s">
        <v>3551</v>
      </c>
      <c r="B1756" s="2">
        <v>45557</v>
      </c>
      <c r="C1756" t="s">
        <v>30</v>
      </c>
      <c r="D1756" t="s">
        <v>31</v>
      </c>
      <c r="E1756">
        <v>501.66</v>
      </c>
      <c r="F1756">
        <v>0</v>
      </c>
      <c r="G1756" t="s">
        <v>13</v>
      </c>
      <c r="H1756" t="s">
        <v>40</v>
      </c>
      <c r="I1756" t="s">
        <v>3552</v>
      </c>
      <c r="J1756" t="s">
        <v>42</v>
      </c>
      <c r="K1756" s="4">
        <f>VLOOKUP(J1756,Exchange_Rates!A:B,2,FALSE)</f>
        <v>0.66</v>
      </c>
      <c r="L1756" s="4">
        <f t="shared" si="108"/>
        <v>331.09560000000005</v>
      </c>
      <c r="M1756" s="4">
        <f t="shared" si="109"/>
        <v>0</v>
      </c>
      <c r="N1756" s="4">
        <f t="shared" si="110"/>
        <v>2024</v>
      </c>
      <c r="O1756" s="4">
        <f t="shared" si="111"/>
        <v>3</v>
      </c>
    </row>
    <row r="1757" spans="1:15" x14ac:dyDescent="0.25">
      <c r="A1757" t="s">
        <v>3553</v>
      </c>
      <c r="B1757" s="2">
        <v>45788</v>
      </c>
      <c r="C1757" t="s">
        <v>60</v>
      </c>
      <c r="D1757" t="s">
        <v>61</v>
      </c>
      <c r="E1757">
        <v>0</v>
      </c>
      <c r="F1757">
        <v>4477.99</v>
      </c>
      <c r="G1757" t="s">
        <v>13</v>
      </c>
      <c r="H1757" t="s">
        <v>34</v>
      </c>
      <c r="I1757" t="s">
        <v>3554</v>
      </c>
      <c r="J1757" t="s">
        <v>28</v>
      </c>
      <c r="K1757" s="4">
        <f>VLOOKUP(J1757,Exchange_Rates!A:B,2,FALSE)</f>
        <v>1.27</v>
      </c>
      <c r="L1757" s="4">
        <f t="shared" si="108"/>
        <v>0</v>
      </c>
      <c r="M1757" s="4">
        <f t="shared" si="109"/>
        <v>5687.0473000000002</v>
      </c>
      <c r="N1757" s="4">
        <f t="shared" si="110"/>
        <v>2025</v>
      </c>
      <c r="O1757" s="4">
        <f t="shared" si="111"/>
        <v>2</v>
      </c>
    </row>
    <row r="1758" spans="1:15" x14ac:dyDescent="0.25">
      <c r="A1758" t="s">
        <v>3555</v>
      </c>
      <c r="B1758" s="2">
        <v>45735</v>
      </c>
      <c r="C1758" t="s">
        <v>30</v>
      </c>
      <c r="D1758" t="s">
        <v>31</v>
      </c>
      <c r="E1758">
        <v>310.49</v>
      </c>
      <c r="F1758">
        <v>0</v>
      </c>
      <c r="G1758" t="s">
        <v>9</v>
      </c>
      <c r="H1758" t="s">
        <v>51</v>
      </c>
      <c r="I1758" t="s">
        <v>3556</v>
      </c>
      <c r="J1758" t="s">
        <v>45</v>
      </c>
      <c r="K1758" s="4">
        <f>VLOOKUP(J1758,Exchange_Rates!A:B,2,FALSE)</f>
        <v>1</v>
      </c>
      <c r="L1758" s="4">
        <f t="shared" si="108"/>
        <v>310.49</v>
      </c>
      <c r="M1758" s="4">
        <f t="shared" si="109"/>
        <v>0</v>
      </c>
      <c r="N1758" s="4">
        <f t="shared" si="110"/>
        <v>2025</v>
      </c>
      <c r="O1758" s="4">
        <f t="shared" si="111"/>
        <v>1</v>
      </c>
    </row>
    <row r="1759" spans="1:15" x14ac:dyDescent="0.25">
      <c r="A1759" t="s">
        <v>3557</v>
      </c>
      <c r="B1759" s="2">
        <v>45429</v>
      </c>
      <c r="C1759" t="s">
        <v>49</v>
      </c>
      <c r="D1759" t="s">
        <v>50</v>
      </c>
      <c r="E1759">
        <v>1687.77</v>
      </c>
      <c r="F1759">
        <v>0</v>
      </c>
      <c r="G1759" t="s">
        <v>12</v>
      </c>
      <c r="H1759" t="s">
        <v>51</v>
      </c>
      <c r="I1759" t="s">
        <v>3558</v>
      </c>
      <c r="J1759" t="s">
        <v>64</v>
      </c>
      <c r="K1759" s="4">
        <f>VLOOKUP(J1759,Exchange_Rates!A:B,2,FALSE)</f>
        <v>0.73</v>
      </c>
      <c r="L1759" s="4">
        <f t="shared" si="108"/>
        <v>1232.0720999999999</v>
      </c>
      <c r="M1759" s="4">
        <f t="shared" si="109"/>
        <v>0</v>
      </c>
      <c r="N1759" s="4">
        <f t="shared" si="110"/>
        <v>2024</v>
      </c>
      <c r="O1759" s="4">
        <f t="shared" si="111"/>
        <v>2</v>
      </c>
    </row>
    <row r="1760" spans="1:15" x14ac:dyDescent="0.25">
      <c r="A1760" t="s">
        <v>3559</v>
      </c>
      <c r="B1760" s="2">
        <v>45376</v>
      </c>
      <c r="C1760" t="s">
        <v>60</v>
      </c>
      <c r="D1760" t="s">
        <v>61</v>
      </c>
      <c r="E1760">
        <v>0</v>
      </c>
      <c r="F1760">
        <v>3606.68</v>
      </c>
      <c r="G1760" t="s">
        <v>11</v>
      </c>
      <c r="H1760" t="s">
        <v>26</v>
      </c>
      <c r="I1760" t="s">
        <v>3560</v>
      </c>
      <c r="J1760" t="s">
        <v>64</v>
      </c>
      <c r="K1760" s="4">
        <f>VLOOKUP(J1760,Exchange_Rates!A:B,2,FALSE)</f>
        <v>0.73</v>
      </c>
      <c r="L1760" s="4">
        <f t="shared" si="108"/>
        <v>0</v>
      </c>
      <c r="M1760" s="4">
        <f t="shared" si="109"/>
        <v>2632.8763999999996</v>
      </c>
      <c r="N1760" s="4">
        <f t="shared" si="110"/>
        <v>2024</v>
      </c>
      <c r="O1760" s="4">
        <f t="shared" si="111"/>
        <v>1</v>
      </c>
    </row>
    <row r="1761" spans="1:15" x14ac:dyDescent="0.25">
      <c r="A1761" t="s">
        <v>3561</v>
      </c>
      <c r="B1761" s="2">
        <v>45022</v>
      </c>
      <c r="C1761" t="s">
        <v>49</v>
      </c>
      <c r="D1761" t="s">
        <v>50</v>
      </c>
      <c r="E1761">
        <v>1726.93</v>
      </c>
      <c r="F1761">
        <v>0</v>
      </c>
      <c r="G1761" t="s">
        <v>8</v>
      </c>
      <c r="H1761" t="s">
        <v>40</v>
      </c>
      <c r="I1761" t="s">
        <v>3562</v>
      </c>
      <c r="J1761" t="s">
        <v>42</v>
      </c>
      <c r="K1761" s="4">
        <f>VLOOKUP(J1761,Exchange_Rates!A:B,2,FALSE)</f>
        <v>0.66</v>
      </c>
      <c r="L1761" s="4">
        <f t="shared" si="108"/>
        <v>1139.7738000000002</v>
      </c>
      <c r="M1761" s="4">
        <f t="shared" si="109"/>
        <v>0</v>
      </c>
      <c r="N1761" s="4">
        <f t="shared" si="110"/>
        <v>2023</v>
      </c>
      <c r="O1761" s="4">
        <f t="shared" si="111"/>
        <v>2</v>
      </c>
    </row>
    <row r="1762" spans="1:15" x14ac:dyDescent="0.25">
      <c r="A1762" t="s">
        <v>3563</v>
      </c>
      <c r="B1762" s="2">
        <v>44998</v>
      </c>
      <c r="C1762" t="s">
        <v>60</v>
      </c>
      <c r="D1762" t="s">
        <v>61</v>
      </c>
      <c r="E1762">
        <v>0</v>
      </c>
      <c r="F1762">
        <v>4091.1</v>
      </c>
      <c r="G1762" t="s">
        <v>13</v>
      </c>
      <c r="H1762" t="s">
        <v>26</v>
      </c>
      <c r="I1762" t="s">
        <v>3564</v>
      </c>
      <c r="J1762" t="s">
        <v>42</v>
      </c>
      <c r="K1762" s="4">
        <f>VLOOKUP(J1762,Exchange_Rates!A:B,2,FALSE)</f>
        <v>0.66</v>
      </c>
      <c r="L1762" s="4">
        <f t="shared" si="108"/>
        <v>0</v>
      </c>
      <c r="M1762" s="4">
        <f t="shared" si="109"/>
        <v>2700.1260000000002</v>
      </c>
      <c r="N1762" s="4">
        <f t="shared" si="110"/>
        <v>2023</v>
      </c>
      <c r="O1762" s="4">
        <f t="shared" si="111"/>
        <v>1</v>
      </c>
    </row>
    <row r="1763" spans="1:15" x14ac:dyDescent="0.25">
      <c r="A1763" t="s">
        <v>3565</v>
      </c>
      <c r="B1763" s="2">
        <v>45115</v>
      </c>
      <c r="C1763" t="s">
        <v>30</v>
      </c>
      <c r="D1763" t="s">
        <v>31</v>
      </c>
      <c r="E1763">
        <v>1712.78</v>
      </c>
      <c r="F1763">
        <v>0</v>
      </c>
      <c r="G1763" t="s">
        <v>10</v>
      </c>
      <c r="H1763" t="s">
        <v>62</v>
      </c>
      <c r="I1763" t="s">
        <v>3566</v>
      </c>
      <c r="J1763" t="s">
        <v>42</v>
      </c>
      <c r="K1763" s="4">
        <f>VLOOKUP(J1763,Exchange_Rates!A:B,2,FALSE)</f>
        <v>0.66</v>
      </c>
      <c r="L1763" s="4">
        <f t="shared" si="108"/>
        <v>1130.4348</v>
      </c>
      <c r="M1763" s="4">
        <f t="shared" si="109"/>
        <v>0</v>
      </c>
      <c r="N1763" s="4">
        <f t="shared" si="110"/>
        <v>2023</v>
      </c>
      <c r="O1763" s="4">
        <f t="shared" si="111"/>
        <v>3</v>
      </c>
    </row>
    <row r="1764" spans="1:15" x14ac:dyDescent="0.25">
      <c r="A1764" t="s">
        <v>3567</v>
      </c>
      <c r="B1764" s="2">
        <v>45051</v>
      </c>
      <c r="C1764" t="s">
        <v>60</v>
      </c>
      <c r="D1764" t="s">
        <v>61</v>
      </c>
      <c r="E1764">
        <v>0</v>
      </c>
      <c r="F1764">
        <v>4088.16</v>
      </c>
      <c r="G1764" t="s">
        <v>9</v>
      </c>
      <c r="H1764" t="s">
        <v>51</v>
      </c>
      <c r="I1764" t="s">
        <v>3568</v>
      </c>
      <c r="J1764" t="s">
        <v>36</v>
      </c>
      <c r="K1764" s="4">
        <f>VLOOKUP(J1764,Exchange_Rates!A:B,2,FALSE)</f>
        <v>1.08</v>
      </c>
      <c r="L1764" s="4">
        <f t="shared" si="108"/>
        <v>0</v>
      </c>
      <c r="M1764" s="4">
        <f t="shared" si="109"/>
        <v>4415.2128000000002</v>
      </c>
      <c r="N1764" s="4">
        <f t="shared" si="110"/>
        <v>2023</v>
      </c>
      <c r="O1764" s="4">
        <f t="shared" si="111"/>
        <v>2</v>
      </c>
    </row>
    <row r="1765" spans="1:15" x14ac:dyDescent="0.25">
      <c r="A1765" t="s">
        <v>3569</v>
      </c>
      <c r="B1765" s="2">
        <v>45093</v>
      </c>
      <c r="C1765" t="s">
        <v>30</v>
      </c>
      <c r="D1765" t="s">
        <v>31</v>
      </c>
      <c r="E1765">
        <v>1941.5</v>
      </c>
      <c r="F1765">
        <v>0</v>
      </c>
      <c r="G1765" t="s">
        <v>10</v>
      </c>
      <c r="H1765" t="s">
        <v>26</v>
      </c>
      <c r="I1765" t="s">
        <v>3570</v>
      </c>
      <c r="J1765" t="s">
        <v>28</v>
      </c>
      <c r="K1765" s="4">
        <f>VLOOKUP(J1765,Exchange_Rates!A:B,2,FALSE)</f>
        <v>1.27</v>
      </c>
      <c r="L1765" s="4">
        <f t="shared" si="108"/>
        <v>2465.7049999999999</v>
      </c>
      <c r="M1765" s="4">
        <f t="shared" si="109"/>
        <v>0</v>
      </c>
      <c r="N1765" s="4">
        <f t="shared" si="110"/>
        <v>2023</v>
      </c>
      <c r="O1765" s="4">
        <f t="shared" si="111"/>
        <v>2</v>
      </c>
    </row>
    <row r="1766" spans="1:15" x14ac:dyDescent="0.25">
      <c r="A1766" t="s">
        <v>3571</v>
      </c>
      <c r="B1766" s="2">
        <v>45293</v>
      </c>
      <c r="C1766" t="s">
        <v>49</v>
      </c>
      <c r="D1766" t="s">
        <v>50</v>
      </c>
      <c r="E1766">
        <v>1945.41</v>
      </c>
      <c r="F1766">
        <v>0</v>
      </c>
      <c r="G1766" t="s">
        <v>12</v>
      </c>
      <c r="H1766" t="s">
        <v>26</v>
      </c>
      <c r="I1766" t="s">
        <v>3572</v>
      </c>
      <c r="J1766" t="s">
        <v>28</v>
      </c>
      <c r="K1766" s="4">
        <f>VLOOKUP(J1766,Exchange_Rates!A:B,2,FALSE)</f>
        <v>1.27</v>
      </c>
      <c r="L1766" s="4">
        <f t="shared" si="108"/>
        <v>2470.6707000000001</v>
      </c>
      <c r="M1766" s="4">
        <f t="shared" si="109"/>
        <v>0</v>
      </c>
      <c r="N1766" s="4">
        <f t="shared" si="110"/>
        <v>2024</v>
      </c>
      <c r="O1766" s="4">
        <f t="shared" si="111"/>
        <v>1</v>
      </c>
    </row>
    <row r="1767" spans="1:15" x14ac:dyDescent="0.25">
      <c r="A1767" t="s">
        <v>3573</v>
      </c>
      <c r="B1767" s="2">
        <v>45337</v>
      </c>
      <c r="C1767" t="s">
        <v>30</v>
      </c>
      <c r="D1767" t="s">
        <v>31</v>
      </c>
      <c r="E1767">
        <v>1421.11</v>
      </c>
      <c r="F1767">
        <v>0</v>
      </c>
      <c r="G1767" t="s">
        <v>10</v>
      </c>
      <c r="H1767" t="s">
        <v>51</v>
      </c>
      <c r="I1767" t="s">
        <v>3574</v>
      </c>
      <c r="J1767" t="s">
        <v>64</v>
      </c>
      <c r="K1767" s="4">
        <f>VLOOKUP(J1767,Exchange_Rates!A:B,2,FALSE)</f>
        <v>0.73</v>
      </c>
      <c r="L1767" s="4">
        <f t="shared" si="108"/>
        <v>1037.4103</v>
      </c>
      <c r="M1767" s="4">
        <f t="shared" si="109"/>
        <v>0</v>
      </c>
      <c r="N1767" s="4">
        <f t="shared" si="110"/>
        <v>2024</v>
      </c>
      <c r="O1767" s="4">
        <f t="shared" si="111"/>
        <v>1</v>
      </c>
    </row>
    <row r="1768" spans="1:15" x14ac:dyDescent="0.25">
      <c r="A1768" t="s">
        <v>3575</v>
      </c>
      <c r="B1768" s="2">
        <v>44980</v>
      </c>
      <c r="C1768" t="s">
        <v>49</v>
      </c>
      <c r="D1768" t="s">
        <v>50</v>
      </c>
      <c r="E1768">
        <v>289.94</v>
      </c>
      <c r="F1768">
        <v>0</v>
      </c>
      <c r="G1768" t="s">
        <v>13</v>
      </c>
      <c r="H1768" t="s">
        <v>51</v>
      </c>
      <c r="I1768" t="s">
        <v>3576</v>
      </c>
      <c r="J1768" t="s">
        <v>45</v>
      </c>
      <c r="K1768" s="4">
        <f>VLOOKUP(J1768,Exchange_Rates!A:B,2,FALSE)</f>
        <v>1</v>
      </c>
      <c r="L1768" s="4">
        <f t="shared" si="108"/>
        <v>289.94</v>
      </c>
      <c r="M1768" s="4">
        <f t="shared" si="109"/>
        <v>0</v>
      </c>
      <c r="N1768" s="4">
        <f t="shared" si="110"/>
        <v>2023</v>
      </c>
      <c r="O1768" s="4">
        <f t="shared" si="111"/>
        <v>1</v>
      </c>
    </row>
    <row r="1769" spans="1:15" x14ac:dyDescent="0.25">
      <c r="A1769" t="s">
        <v>3577</v>
      </c>
      <c r="B1769" s="2">
        <v>45156</v>
      </c>
      <c r="C1769" t="s">
        <v>49</v>
      </c>
      <c r="D1769" t="s">
        <v>50</v>
      </c>
      <c r="E1769">
        <v>1061.21</v>
      </c>
      <c r="F1769">
        <v>0</v>
      </c>
      <c r="G1769" t="s">
        <v>8</v>
      </c>
      <c r="H1769" t="s">
        <v>40</v>
      </c>
      <c r="I1769" t="s">
        <v>3578</v>
      </c>
      <c r="J1769" t="s">
        <v>45</v>
      </c>
      <c r="K1769" s="4">
        <f>VLOOKUP(J1769,Exchange_Rates!A:B,2,FALSE)</f>
        <v>1</v>
      </c>
      <c r="L1769" s="4">
        <f t="shared" si="108"/>
        <v>1061.21</v>
      </c>
      <c r="M1769" s="4">
        <f t="shared" si="109"/>
        <v>0</v>
      </c>
      <c r="N1769" s="4">
        <f t="shared" si="110"/>
        <v>2023</v>
      </c>
      <c r="O1769" s="4">
        <f t="shared" si="111"/>
        <v>3</v>
      </c>
    </row>
    <row r="1770" spans="1:15" x14ac:dyDescent="0.25">
      <c r="A1770" t="s">
        <v>3579</v>
      </c>
      <c r="B1770" s="2">
        <v>44983</v>
      </c>
      <c r="C1770" t="s">
        <v>24</v>
      </c>
      <c r="D1770" t="s">
        <v>25</v>
      </c>
      <c r="E1770">
        <v>0</v>
      </c>
      <c r="F1770">
        <v>2682.77</v>
      </c>
      <c r="G1770" t="s">
        <v>9</v>
      </c>
      <c r="H1770" t="s">
        <v>51</v>
      </c>
      <c r="I1770" t="s">
        <v>3580</v>
      </c>
      <c r="J1770" t="s">
        <v>28</v>
      </c>
      <c r="K1770" s="4">
        <f>VLOOKUP(J1770,Exchange_Rates!A:B,2,FALSE)</f>
        <v>1.27</v>
      </c>
      <c r="L1770" s="4">
        <f t="shared" si="108"/>
        <v>0</v>
      </c>
      <c r="M1770" s="4">
        <f t="shared" si="109"/>
        <v>3407.1179000000002</v>
      </c>
      <c r="N1770" s="4">
        <f t="shared" si="110"/>
        <v>2023</v>
      </c>
      <c r="O1770" s="4">
        <f t="shared" si="111"/>
        <v>1</v>
      </c>
    </row>
    <row r="1771" spans="1:15" x14ac:dyDescent="0.25">
      <c r="A1771" t="s">
        <v>3581</v>
      </c>
      <c r="B1771" s="2">
        <v>45808</v>
      </c>
      <c r="C1771" t="s">
        <v>60</v>
      </c>
      <c r="D1771" t="s">
        <v>61</v>
      </c>
      <c r="E1771">
        <v>0</v>
      </c>
      <c r="F1771">
        <v>250.7</v>
      </c>
      <c r="G1771" t="s">
        <v>8</v>
      </c>
      <c r="H1771" t="s">
        <v>51</v>
      </c>
      <c r="I1771" t="s">
        <v>3582</v>
      </c>
      <c r="J1771" t="s">
        <v>64</v>
      </c>
      <c r="K1771" s="4">
        <f>VLOOKUP(J1771,Exchange_Rates!A:B,2,FALSE)</f>
        <v>0.73</v>
      </c>
      <c r="L1771" s="4">
        <f t="shared" si="108"/>
        <v>0</v>
      </c>
      <c r="M1771" s="4">
        <f t="shared" si="109"/>
        <v>183.011</v>
      </c>
      <c r="N1771" s="4">
        <f t="shared" si="110"/>
        <v>2025</v>
      </c>
      <c r="O1771" s="4">
        <f t="shared" si="111"/>
        <v>2</v>
      </c>
    </row>
    <row r="1772" spans="1:15" x14ac:dyDescent="0.25">
      <c r="A1772" t="s">
        <v>3583</v>
      </c>
      <c r="B1772" s="2">
        <v>45699</v>
      </c>
      <c r="C1772" t="s">
        <v>30</v>
      </c>
      <c r="D1772" t="s">
        <v>31</v>
      </c>
      <c r="E1772">
        <v>1995.64</v>
      </c>
      <c r="F1772">
        <v>0</v>
      </c>
      <c r="G1772" t="s">
        <v>12</v>
      </c>
      <c r="H1772" t="s">
        <v>26</v>
      </c>
      <c r="I1772" t="s">
        <v>3584</v>
      </c>
      <c r="J1772" t="s">
        <v>45</v>
      </c>
      <c r="K1772" s="4">
        <f>VLOOKUP(J1772,Exchange_Rates!A:B,2,FALSE)</f>
        <v>1</v>
      </c>
      <c r="L1772" s="4">
        <f t="shared" si="108"/>
        <v>1995.64</v>
      </c>
      <c r="M1772" s="4">
        <f t="shared" si="109"/>
        <v>0</v>
      </c>
      <c r="N1772" s="4">
        <f t="shared" si="110"/>
        <v>2025</v>
      </c>
      <c r="O1772" s="4">
        <f t="shared" si="111"/>
        <v>1</v>
      </c>
    </row>
    <row r="1773" spans="1:15" x14ac:dyDescent="0.25">
      <c r="A1773" t="s">
        <v>3585</v>
      </c>
      <c r="B1773" s="2">
        <v>45098</v>
      </c>
      <c r="C1773" t="s">
        <v>49</v>
      </c>
      <c r="D1773" t="s">
        <v>50</v>
      </c>
      <c r="E1773">
        <v>1268.68</v>
      </c>
      <c r="F1773">
        <v>0</v>
      </c>
      <c r="G1773" t="s">
        <v>9</v>
      </c>
      <c r="H1773" t="s">
        <v>26</v>
      </c>
      <c r="I1773" t="s">
        <v>3586</v>
      </c>
      <c r="J1773" t="s">
        <v>36</v>
      </c>
      <c r="K1773" s="4">
        <f>VLOOKUP(J1773,Exchange_Rates!A:B,2,FALSE)</f>
        <v>1.08</v>
      </c>
      <c r="L1773" s="4">
        <f t="shared" si="108"/>
        <v>1370.1744000000001</v>
      </c>
      <c r="M1773" s="4">
        <f t="shared" si="109"/>
        <v>0</v>
      </c>
      <c r="N1773" s="4">
        <f t="shared" si="110"/>
        <v>2023</v>
      </c>
      <c r="O1773" s="4">
        <f t="shared" si="111"/>
        <v>2</v>
      </c>
    </row>
    <row r="1774" spans="1:15" x14ac:dyDescent="0.25">
      <c r="A1774" t="s">
        <v>3587</v>
      </c>
      <c r="B1774" s="2">
        <v>45069</v>
      </c>
      <c r="C1774" t="s">
        <v>30</v>
      </c>
      <c r="D1774" t="s">
        <v>31</v>
      </c>
      <c r="E1774">
        <v>1700.66</v>
      </c>
      <c r="F1774">
        <v>0</v>
      </c>
      <c r="G1774" t="s">
        <v>11</v>
      </c>
      <c r="H1774" t="s">
        <v>26</v>
      </c>
      <c r="I1774" t="s">
        <v>3588</v>
      </c>
      <c r="J1774" t="s">
        <v>64</v>
      </c>
      <c r="K1774" s="4">
        <f>VLOOKUP(J1774,Exchange_Rates!A:B,2,FALSE)</f>
        <v>0.73</v>
      </c>
      <c r="L1774" s="4">
        <f t="shared" si="108"/>
        <v>1241.4818</v>
      </c>
      <c r="M1774" s="4">
        <f t="shared" si="109"/>
        <v>0</v>
      </c>
      <c r="N1774" s="4">
        <f t="shared" si="110"/>
        <v>2023</v>
      </c>
      <c r="O1774" s="4">
        <f t="shared" si="111"/>
        <v>2</v>
      </c>
    </row>
    <row r="1775" spans="1:15" x14ac:dyDescent="0.25">
      <c r="A1775" t="s">
        <v>3589</v>
      </c>
      <c r="B1775" s="2">
        <v>45826</v>
      </c>
      <c r="C1775" t="s">
        <v>38</v>
      </c>
      <c r="D1775" t="s">
        <v>39</v>
      </c>
      <c r="E1775">
        <v>335.24</v>
      </c>
      <c r="F1775">
        <v>0</v>
      </c>
      <c r="G1775" t="s">
        <v>8</v>
      </c>
      <c r="H1775" t="s">
        <v>34</v>
      </c>
      <c r="I1775" t="s">
        <v>3590</v>
      </c>
      <c r="J1775" t="s">
        <v>28</v>
      </c>
      <c r="K1775" s="4">
        <f>VLOOKUP(J1775,Exchange_Rates!A:B,2,FALSE)</f>
        <v>1.27</v>
      </c>
      <c r="L1775" s="4">
        <f t="shared" si="108"/>
        <v>425.75480000000005</v>
      </c>
      <c r="M1775" s="4">
        <f t="shared" si="109"/>
        <v>0</v>
      </c>
      <c r="N1775" s="4">
        <f t="shared" si="110"/>
        <v>2025</v>
      </c>
      <c r="O1775" s="4">
        <f t="shared" si="111"/>
        <v>2</v>
      </c>
    </row>
    <row r="1776" spans="1:15" x14ac:dyDescent="0.25">
      <c r="A1776" t="s">
        <v>3591</v>
      </c>
      <c r="B1776" s="2">
        <v>45454</v>
      </c>
      <c r="C1776" t="s">
        <v>38</v>
      </c>
      <c r="D1776" t="s">
        <v>39</v>
      </c>
      <c r="E1776">
        <v>705.25</v>
      </c>
      <c r="F1776">
        <v>0</v>
      </c>
      <c r="G1776" t="s">
        <v>9</v>
      </c>
      <c r="H1776" t="s">
        <v>40</v>
      </c>
      <c r="I1776" t="s">
        <v>3592</v>
      </c>
      <c r="J1776" t="s">
        <v>42</v>
      </c>
      <c r="K1776" s="4">
        <f>VLOOKUP(J1776,Exchange_Rates!A:B,2,FALSE)</f>
        <v>0.66</v>
      </c>
      <c r="L1776" s="4">
        <f t="shared" si="108"/>
        <v>465.46500000000003</v>
      </c>
      <c r="M1776" s="4">
        <f t="shared" si="109"/>
        <v>0</v>
      </c>
      <c r="N1776" s="4">
        <f t="shared" si="110"/>
        <v>2024</v>
      </c>
      <c r="O1776" s="4">
        <f t="shared" si="111"/>
        <v>2</v>
      </c>
    </row>
    <row r="1777" spans="1:15" x14ac:dyDescent="0.25">
      <c r="A1777" t="s">
        <v>3593</v>
      </c>
      <c r="B1777" s="2">
        <v>45141</v>
      </c>
      <c r="C1777" t="s">
        <v>30</v>
      </c>
      <c r="D1777" t="s">
        <v>31</v>
      </c>
      <c r="E1777">
        <v>1859.77</v>
      </c>
      <c r="F1777">
        <v>0</v>
      </c>
      <c r="G1777" t="s">
        <v>13</v>
      </c>
      <c r="H1777" t="s">
        <v>62</v>
      </c>
      <c r="I1777" t="s">
        <v>3594</v>
      </c>
      <c r="J1777" t="s">
        <v>42</v>
      </c>
      <c r="K1777" s="4">
        <f>VLOOKUP(J1777,Exchange_Rates!A:B,2,FALSE)</f>
        <v>0.66</v>
      </c>
      <c r="L1777" s="4">
        <f t="shared" si="108"/>
        <v>1227.4482</v>
      </c>
      <c r="M1777" s="4">
        <f t="shared" si="109"/>
        <v>0</v>
      </c>
      <c r="N1777" s="4">
        <f t="shared" si="110"/>
        <v>2023</v>
      </c>
      <c r="O1777" s="4">
        <f t="shared" si="111"/>
        <v>3</v>
      </c>
    </row>
    <row r="1778" spans="1:15" x14ac:dyDescent="0.25">
      <c r="A1778" t="s">
        <v>3595</v>
      </c>
      <c r="B1778" s="2">
        <v>45270</v>
      </c>
      <c r="C1778" t="s">
        <v>38</v>
      </c>
      <c r="D1778" t="s">
        <v>39</v>
      </c>
      <c r="E1778">
        <v>1672.52</v>
      </c>
      <c r="F1778">
        <v>0</v>
      </c>
      <c r="G1778" t="s">
        <v>11</v>
      </c>
      <c r="H1778" t="s">
        <v>34</v>
      </c>
      <c r="I1778" t="s">
        <v>3596</v>
      </c>
      <c r="J1778" t="s">
        <v>36</v>
      </c>
      <c r="K1778" s="4">
        <f>VLOOKUP(J1778,Exchange_Rates!A:B,2,FALSE)</f>
        <v>1.08</v>
      </c>
      <c r="L1778" s="4">
        <f t="shared" si="108"/>
        <v>1806.3216</v>
      </c>
      <c r="M1778" s="4">
        <f t="shared" si="109"/>
        <v>0</v>
      </c>
      <c r="N1778" s="4">
        <f t="shared" si="110"/>
        <v>2023</v>
      </c>
      <c r="O1778" s="4">
        <f t="shared" si="111"/>
        <v>4</v>
      </c>
    </row>
    <row r="1779" spans="1:15" x14ac:dyDescent="0.25">
      <c r="A1779" t="s">
        <v>3597</v>
      </c>
      <c r="B1779" s="2">
        <v>45442</v>
      </c>
      <c r="C1779" t="s">
        <v>38</v>
      </c>
      <c r="D1779" t="s">
        <v>39</v>
      </c>
      <c r="E1779">
        <v>692.89</v>
      </c>
      <c r="F1779">
        <v>0</v>
      </c>
      <c r="G1779" t="s">
        <v>9</v>
      </c>
      <c r="H1779" t="s">
        <v>40</v>
      </c>
      <c r="I1779" t="s">
        <v>3598</v>
      </c>
      <c r="J1779" t="s">
        <v>28</v>
      </c>
      <c r="K1779" s="4">
        <f>VLOOKUP(J1779,Exchange_Rates!A:B,2,FALSE)</f>
        <v>1.27</v>
      </c>
      <c r="L1779" s="4">
        <f t="shared" si="108"/>
        <v>879.97029999999995</v>
      </c>
      <c r="M1779" s="4">
        <f t="shared" si="109"/>
        <v>0</v>
      </c>
      <c r="N1779" s="4">
        <f t="shared" si="110"/>
        <v>2024</v>
      </c>
      <c r="O1779" s="4">
        <f t="shared" si="111"/>
        <v>2</v>
      </c>
    </row>
    <row r="1780" spans="1:15" x14ac:dyDescent="0.25">
      <c r="A1780" t="s">
        <v>3599</v>
      </c>
      <c r="B1780" s="2">
        <v>44997</v>
      </c>
      <c r="C1780" t="s">
        <v>49</v>
      </c>
      <c r="D1780" t="s">
        <v>50</v>
      </c>
      <c r="E1780">
        <v>324.08</v>
      </c>
      <c r="F1780">
        <v>0</v>
      </c>
      <c r="G1780" t="s">
        <v>11</v>
      </c>
      <c r="H1780" t="s">
        <v>51</v>
      </c>
      <c r="I1780" t="s">
        <v>3600</v>
      </c>
      <c r="J1780" t="s">
        <v>64</v>
      </c>
      <c r="K1780" s="4">
        <f>VLOOKUP(J1780,Exchange_Rates!A:B,2,FALSE)</f>
        <v>0.73</v>
      </c>
      <c r="L1780" s="4">
        <f t="shared" si="108"/>
        <v>236.57839999999999</v>
      </c>
      <c r="M1780" s="4">
        <f t="shared" si="109"/>
        <v>0</v>
      </c>
      <c r="N1780" s="4">
        <f t="shared" si="110"/>
        <v>2023</v>
      </c>
      <c r="O1780" s="4">
        <f t="shared" si="111"/>
        <v>1</v>
      </c>
    </row>
    <row r="1781" spans="1:15" x14ac:dyDescent="0.25">
      <c r="A1781" t="s">
        <v>3601</v>
      </c>
      <c r="B1781" s="2">
        <v>45542</v>
      </c>
      <c r="C1781" t="s">
        <v>38</v>
      </c>
      <c r="D1781" t="s">
        <v>39</v>
      </c>
      <c r="E1781">
        <v>1164.05</v>
      </c>
      <c r="F1781">
        <v>0</v>
      </c>
      <c r="G1781" t="s">
        <v>13</v>
      </c>
      <c r="H1781" t="s">
        <v>26</v>
      </c>
      <c r="I1781" t="s">
        <v>3602</v>
      </c>
      <c r="J1781" t="s">
        <v>45</v>
      </c>
      <c r="K1781" s="4">
        <f>VLOOKUP(J1781,Exchange_Rates!A:B,2,FALSE)</f>
        <v>1</v>
      </c>
      <c r="L1781" s="4">
        <f t="shared" si="108"/>
        <v>1164.05</v>
      </c>
      <c r="M1781" s="4">
        <f t="shared" si="109"/>
        <v>0</v>
      </c>
      <c r="N1781" s="4">
        <f t="shared" si="110"/>
        <v>2024</v>
      </c>
      <c r="O1781" s="4">
        <f t="shared" si="111"/>
        <v>3</v>
      </c>
    </row>
    <row r="1782" spans="1:15" x14ac:dyDescent="0.25">
      <c r="A1782" t="s">
        <v>3603</v>
      </c>
      <c r="B1782" s="2">
        <v>45413</v>
      </c>
      <c r="C1782" t="s">
        <v>24</v>
      </c>
      <c r="D1782" t="s">
        <v>25</v>
      </c>
      <c r="E1782">
        <v>0</v>
      </c>
      <c r="F1782">
        <v>778.57</v>
      </c>
      <c r="G1782" t="s">
        <v>12</v>
      </c>
      <c r="H1782" t="s">
        <v>62</v>
      </c>
      <c r="I1782" t="s">
        <v>3604</v>
      </c>
      <c r="J1782" t="s">
        <v>42</v>
      </c>
      <c r="K1782" s="4">
        <f>VLOOKUP(J1782,Exchange_Rates!A:B,2,FALSE)</f>
        <v>0.66</v>
      </c>
      <c r="L1782" s="4">
        <f t="shared" si="108"/>
        <v>0</v>
      </c>
      <c r="M1782" s="4">
        <f t="shared" si="109"/>
        <v>513.85620000000006</v>
      </c>
      <c r="N1782" s="4">
        <f t="shared" si="110"/>
        <v>2024</v>
      </c>
      <c r="O1782" s="4">
        <f t="shared" si="111"/>
        <v>2</v>
      </c>
    </row>
    <row r="1783" spans="1:15" x14ac:dyDescent="0.25">
      <c r="A1783" t="s">
        <v>3605</v>
      </c>
      <c r="B1783" s="2">
        <v>45161</v>
      </c>
      <c r="C1783" t="s">
        <v>38</v>
      </c>
      <c r="D1783" t="s">
        <v>39</v>
      </c>
      <c r="E1783">
        <v>670.62</v>
      </c>
      <c r="F1783">
        <v>0</v>
      </c>
      <c r="G1783" t="s">
        <v>9</v>
      </c>
      <c r="H1783" t="s">
        <v>40</v>
      </c>
      <c r="I1783" t="s">
        <v>3606</v>
      </c>
      <c r="J1783" t="s">
        <v>28</v>
      </c>
      <c r="K1783" s="4">
        <f>VLOOKUP(J1783,Exchange_Rates!A:B,2,FALSE)</f>
        <v>1.27</v>
      </c>
      <c r="L1783" s="4">
        <f t="shared" si="108"/>
        <v>851.68740000000003</v>
      </c>
      <c r="M1783" s="4">
        <f t="shared" si="109"/>
        <v>0</v>
      </c>
      <c r="N1783" s="4">
        <f t="shared" si="110"/>
        <v>2023</v>
      </c>
      <c r="O1783" s="4">
        <f t="shared" si="111"/>
        <v>3</v>
      </c>
    </row>
    <row r="1784" spans="1:15" x14ac:dyDescent="0.25">
      <c r="A1784" t="s">
        <v>3607</v>
      </c>
      <c r="B1784" s="2">
        <v>45545</v>
      </c>
      <c r="C1784" t="s">
        <v>38</v>
      </c>
      <c r="D1784" t="s">
        <v>39</v>
      </c>
      <c r="E1784">
        <v>887.17</v>
      </c>
      <c r="F1784">
        <v>0</v>
      </c>
      <c r="G1784" t="s">
        <v>10</v>
      </c>
      <c r="H1784" t="s">
        <v>26</v>
      </c>
      <c r="I1784" t="s">
        <v>3608</v>
      </c>
      <c r="J1784" t="s">
        <v>36</v>
      </c>
      <c r="K1784" s="4">
        <f>VLOOKUP(J1784,Exchange_Rates!A:B,2,FALSE)</f>
        <v>1.08</v>
      </c>
      <c r="L1784" s="4">
        <f t="shared" si="108"/>
        <v>958.14359999999999</v>
      </c>
      <c r="M1784" s="4">
        <f t="shared" si="109"/>
        <v>0</v>
      </c>
      <c r="N1784" s="4">
        <f t="shared" si="110"/>
        <v>2024</v>
      </c>
      <c r="O1784" s="4">
        <f t="shared" si="111"/>
        <v>3</v>
      </c>
    </row>
    <row r="1785" spans="1:15" x14ac:dyDescent="0.25">
      <c r="A1785" t="s">
        <v>3609</v>
      </c>
      <c r="B1785" s="2">
        <v>45365</v>
      </c>
      <c r="C1785" t="s">
        <v>49</v>
      </c>
      <c r="D1785" t="s">
        <v>50</v>
      </c>
      <c r="E1785">
        <v>680.13</v>
      </c>
      <c r="F1785">
        <v>0</v>
      </c>
      <c r="G1785" t="s">
        <v>10</v>
      </c>
      <c r="H1785" t="s">
        <v>51</v>
      </c>
      <c r="I1785" t="s">
        <v>3610</v>
      </c>
      <c r="J1785" t="s">
        <v>42</v>
      </c>
      <c r="K1785" s="4">
        <f>VLOOKUP(J1785,Exchange_Rates!A:B,2,FALSE)</f>
        <v>0.66</v>
      </c>
      <c r="L1785" s="4">
        <f t="shared" si="108"/>
        <v>448.88580000000002</v>
      </c>
      <c r="M1785" s="4">
        <f t="shared" si="109"/>
        <v>0</v>
      </c>
      <c r="N1785" s="4">
        <f t="shared" si="110"/>
        <v>2024</v>
      </c>
      <c r="O1785" s="4">
        <f t="shared" si="111"/>
        <v>1</v>
      </c>
    </row>
    <row r="1786" spans="1:15" x14ac:dyDescent="0.25">
      <c r="A1786" t="s">
        <v>3611</v>
      </c>
      <c r="B1786" s="2">
        <v>45415</v>
      </c>
      <c r="C1786" t="s">
        <v>60</v>
      </c>
      <c r="D1786" t="s">
        <v>61</v>
      </c>
      <c r="E1786">
        <v>0</v>
      </c>
      <c r="F1786">
        <v>841.83</v>
      </c>
      <c r="G1786" t="s">
        <v>11</v>
      </c>
      <c r="H1786" t="s">
        <v>26</v>
      </c>
      <c r="I1786" t="s">
        <v>3612</v>
      </c>
      <c r="J1786" t="s">
        <v>42</v>
      </c>
      <c r="K1786" s="4">
        <f>VLOOKUP(J1786,Exchange_Rates!A:B,2,FALSE)</f>
        <v>0.66</v>
      </c>
      <c r="L1786" s="4">
        <f t="shared" si="108"/>
        <v>0</v>
      </c>
      <c r="M1786" s="4">
        <f t="shared" si="109"/>
        <v>555.6078</v>
      </c>
      <c r="N1786" s="4">
        <f t="shared" si="110"/>
        <v>2024</v>
      </c>
      <c r="O1786" s="4">
        <f t="shared" si="111"/>
        <v>2</v>
      </c>
    </row>
    <row r="1787" spans="1:15" x14ac:dyDescent="0.25">
      <c r="A1787" t="s">
        <v>3613</v>
      </c>
      <c r="B1787" s="2">
        <v>45818</v>
      </c>
      <c r="C1787" t="s">
        <v>60</v>
      </c>
      <c r="D1787" t="s">
        <v>61</v>
      </c>
      <c r="E1787">
        <v>0</v>
      </c>
      <c r="F1787">
        <v>302.97000000000003</v>
      </c>
      <c r="G1787" t="s">
        <v>10</v>
      </c>
      <c r="H1787" t="s">
        <v>34</v>
      </c>
      <c r="I1787" t="s">
        <v>3614</v>
      </c>
      <c r="J1787" t="s">
        <v>45</v>
      </c>
      <c r="K1787" s="4">
        <f>VLOOKUP(J1787,Exchange_Rates!A:B,2,FALSE)</f>
        <v>1</v>
      </c>
      <c r="L1787" s="4">
        <f t="shared" si="108"/>
        <v>0</v>
      </c>
      <c r="M1787" s="4">
        <f t="shared" si="109"/>
        <v>302.97000000000003</v>
      </c>
      <c r="N1787" s="4">
        <f t="shared" si="110"/>
        <v>2025</v>
      </c>
      <c r="O1787" s="4">
        <f t="shared" si="111"/>
        <v>2</v>
      </c>
    </row>
    <row r="1788" spans="1:15" x14ac:dyDescent="0.25">
      <c r="A1788" t="s">
        <v>3615</v>
      </c>
      <c r="B1788" s="2">
        <v>45648</v>
      </c>
      <c r="C1788" t="s">
        <v>30</v>
      </c>
      <c r="D1788" t="s">
        <v>31</v>
      </c>
      <c r="E1788">
        <v>80.23</v>
      </c>
      <c r="F1788">
        <v>0</v>
      </c>
      <c r="G1788" t="s">
        <v>9</v>
      </c>
      <c r="H1788" t="s">
        <v>51</v>
      </c>
      <c r="I1788" t="s">
        <v>3616</v>
      </c>
      <c r="J1788" t="s">
        <v>64</v>
      </c>
      <c r="K1788" s="4">
        <f>VLOOKUP(J1788,Exchange_Rates!A:B,2,FALSE)</f>
        <v>0.73</v>
      </c>
      <c r="L1788" s="4">
        <f t="shared" si="108"/>
        <v>58.567900000000002</v>
      </c>
      <c r="M1788" s="4">
        <f t="shared" si="109"/>
        <v>0</v>
      </c>
      <c r="N1788" s="4">
        <f t="shared" si="110"/>
        <v>2024</v>
      </c>
      <c r="O1788" s="4">
        <f t="shared" si="111"/>
        <v>4</v>
      </c>
    </row>
    <row r="1789" spans="1:15" x14ac:dyDescent="0.25">
      <c r="A1789" t="s">
        <v>3617</v>
      </c>
      <c r="B1789" s="2">
        <v>45385</v>
      </c>
      <c r="C1789" t="s">
        <v>30</v>
      </c>
      <c r="D1789" t="s">
        <v>31</v>
      </c>
      <c r="E1789">
        <v>338.61</v>
      </c>
      <c r="F1789">
        <v>0</v>
      </c>
      <c r="G1789" t="s">
        <v>8</v>
      </c>
      <c r="H1789" t="s">
        <v>40</v>
      </c>
      <c r="I1789" t="s">
        <v>3618</v>
      </c>
      <c r="J1789" t="s">
        <v>45</v>
      </c>
      <c r="K1789" s="4">
        <f>VLOOKUP(J1789,Exchange_Rates!A:B,2,FALSE)</f>
        <v>1</v>
      </c>
      <c r="L1789" s="4">
        <f t="shared" si="108"/>
        <v>338.61</v>
      </c>
      <c r="M1789" s="4">
        <f t="shared" si="109"/>
        <v>0</v>
      </c>
      <c r="N1789" s="4">
        <f t="shared" si="110"/>
        <v>2024</v>
      </c>
      <c r="O1789" s="4">
        <f t="shared" si="111"/>
        <v>2</v>
      </c>
    </row>
    <row r="1790" spans="1:15" x14ac:dyDescent="0.25">
      <c r="A1790" t="s">
        <v>3619</v>
      </c>
      <c r="B1790" s="2">
        <v>45014</v>
      </c>
      <c r="C1790" t="s">
        <v>30</v>
      </c>
      <c r="D1790" t="s">
        <v>31</v>
      </c>
      <c r="E1790">
        <v>1098.3699999999999</v>
      </c>
      <c r="F1790">
        <v>0</v>
      </c>
      <c r="G1790" t="s">
        <v>8</v>
      </c>
      <c r="H1790" t="s">
        <v>62</v>
      </c>
      <c r="I1790" t="s">
        <v>3620</v>
      </c>
      <c r="J1790" t="s">
        <v>45</v>
      </c>
      <c r="K1790" s="4">
        <f>VLOOKUP(J1790,Exchange_Rates!A:B,2,FALSE)</f>
        <v>1</v>
      </c>
      <c r="L1790" s="4">
        <f t="shared" si="108"/>
        <v>1098.3699999999999</v>
      </c>
      <c r="M1790" s="4">
        <f t="shared" si="109"/>
        <v>0</v>
      </c>
      <c r="N1790" s="4">
        <f t="shared" si="110"/>
        <v>2023</v>
      </c>
      <c r="O1790" s="4">
        <f t="shared" si="111"/>
        <v>1</v>
      </c>
    </row>
    <row r="1791" spans="1:15" x14ac:dyDescent="0.25">
      <c r="A1791" t="s">
        <v>3621</v>
      </c>
      <c r="B1791" s="2">
        <v>45818</v>
      </c>
      <c r="C1791" t="s">
        <v>24</v>
      </c>
      <c r="D1791" t="s">
        <v>25</v>
      </c>
      <c r="E1791">
        <v>0</v>
      </c>
      <c r="F1791">
        <v>2290.62</v>
      </c>
      <c r="G1791" t="s">
        <v>11</v>
      </c>
      <c r="H1791" t="s">
        <v>51</v>
      </c>
      <c r="I1791" t="s">
        <v>3622</v>
      </c>
      <c r="J1791" t="s">
        <v>64</v>
      </c>
      <c r="K1791" s="4">
        <f>VLOOKUP(J1791,Exchange_Rates!A:B,2,FALSE)</f>
        <v>0.73</v>
      </c>
      <c r="L1791" s="4">
        <f t="shared" si="108"/>
        <v>0</v>
      </c>
      <c r="M1791" s="4">
        <f t="shared" si="109"/>
        <v>1672.1525999999999</v>
      </c>
      <c r="N1791" s="4">
        <f t="shared" si="110"/>
        <v>2025</v>
      </c>
      <c r="O1791" s="4">
        <f t="shared" si="111"/>
        <v>2</v>
      </c>
    </row>
    <row r="1792" spans="1:15" x14ac:dyDescent="0.25">
      <c r="A1792" t="s">
        <v>3623</v>
      </c>
      <c r="B1792" s="2">
        <v>45150</v>
      </c>
      <c r="C1792" t="s">
        <v>49</v>
      </c>
      <c r="D1792" t="s">
        <v>50</v>
      </c>
      <c r="E1792">
        <v>1294.49</v>
      </c>
      <c r="F1792">
        <v>0</v>
      </c>
      <c r="G1792" t="s">
        <v>9</v>
      </c>
      <c r="H1792" t="s">
        <v>62</v>
      </c>
      <c r="I1792" t="s">
        <v>3624</v>
      </c>
      <c r="J1792" t="s">
        <v>64</v>
      </c>
      <c r="K1792" s="4">
        <f>VLOOKUP(J1792,Exchange_Rates!A:B,2,FALSE)</f>
        <v>0.73</v>
      </c>
      <c r="L1792" s="4">
        <f t="shared" si="108"/>
        <v>944.97770000000003</v>
      </c>
      <c r="M1792" s="4">
        <f t="shared" si="109"/>
        <v>0</v>
      </c>
      <c r="N1792" s="4">
        <f t="shared" si="110"/>
        <v>2023</v>
      </c>
      <c r="O1792" s="4">
        <f t="shared" si="111"/>
        <v>3</v>
      </c>
    </row>
    <row r="1793" spans="1:15" x14ac:dyDescent="0.25">
      <c r="A1793" t="s">
        <v>3625</v>
      </c>
      <c r="B1793" s="2">
        <v>45729</v>
      </c>
      <c r="C1793" t="s">
        <v>49</v>
      </c>
      <c r="D1793" t="s">
        <v>50</v>
      </c>
      <c r="E1793">
        <v>877.51</v>
      </c>
      <c r="F1793">
        <v>0</v>
      </c>
      <c r="G1793" t="s">
        <v>8</v>
      </c>
      <c r="H1793" t="s">
        <v>62</v>
      </c>
      <c r="I1793" t="s">
        <v>3626</v>
      </c>
      <c r="J1793" t="s">
        <v>64</v>
      </c>
      <c r="K1793" s="4">
        <f>VLOOKUP(J1793,Exchange_Rates!A:B,2,FALSE)</f>
        <v>0.73</v>
      </c>
      <c r="L1793" s="4">
        <f t="shared" si="108"/>
        <v>640.58230000000003</v>
      </c>
      <c r="M1793" s="4">
        <f t="shared" si="109"/>
        <v>0</v>
      </c>
      <c r="N1793" s="4">
        <f t="shared" si="110"/>
        <v>2025</v>
      </c>
      <c r="O1793" s="4">
        <f t="shared" si="111"/>
        <v>1</v>
      </c>
    </row>
    <row r="1794" spans="1:15" x14ac:dyDescent="0.25">
      <c r="A1794" t="s">
        <v>3627</v>
      </c>
      <c r="B1794" s="2">
        <v>45624</v>
      </c>
      <c r="C1794" t="s">
        <v>24</v>
      </c>
      <c r="D1794" t="s">
        <v>25</v>
      </c>
      <c r="E1794">
        <v>0</v>
      </c>
      <c r="F1794">
        <v>2987.63</v>
      </c>
      <c r="G1794" t="s">
        <v>9</v>
      </c>
      <c r="H1794" t="s">
        <v>40</v>
      </c>
      <c r="I1794" t="s">
        <v>3628</v>
      </c>
      <c r="J1794" t="s">
        <v>36</v>
      </c>
      <c r="K1794" s="4">
        <f>VLOOKUP(J1794,Exchange_Rates!A:B,2,FALSE)</f>
        <v>1.08</v>
      </c>
      <c r="L1794" s="4">
        <f t="shared" si="108"/>
        <v>0</v>
      </c>
      <c r="M1794" s="4">
        <f t="shared" si="109"/>
        <v>3226.6404000000002</v>
      </c>
      <c r="N1794" s="4">
        <f t="shared" si="110"/>
        <v>2024</v>
      </c>
      <c r="O1794" s="4">
        <f t="shared" si="111"/>
        <v>4</v>
      </c>
    </row>
    <row r="1795" spans="1:15" x14ac:dyDescent="0.25">
      <c r="A1795" t="s">
        <v>3629</v>
      </c>
      <c r="B1795" s="2">
        <v>45322</v>
      </c>
      <c r="C1795" t="s">
        <v>30</v>
      </c>
      <c r="D1795" t="s">
        <v>31</v>
      </c>
      <c r="E1795">
        <v>1925.26</v>
      </c>
      <c r="F1795">
        <v>0</v>
      </c>
      <c r="G1795" t="s">
        <v>8</v>
      </c>
      <c r="H1795" t="s">
        <v>34</v>
      </c>
      <c r="I1795" t="s">
        <v>3630</v>
      </c>
      <c r="J1795" t="s">
        <v>28</v>
      </c>
      <c r="K1795" s="4">
        <f>VLOOKUP(J1795,Exchange_Rates!A:B,2,FALSE)</f>
        <v>1.27</v>
      </c>
      <c r="L1795" s="4">
        <f t="shared" ref="L1795:L1858" si="112">E1795*K1795</f>
        <v>2445.0801999999999</v>
      </c>
      <c r="M1795" s="4">
        <f t="shared" ref="M1795:M1858" si="113">F1795*K1795</f>
        <v>0</v>
      </c>
      <c r="N1795" s="4">
        <f t="shared" ref="N1795:N1858" si="114">YEAR(B1795)</f>
        <v>2024</v>
      </c>
      <c r="O1795" s="4">
        <f t="shared" ref="O1795:O1858" si="115">ROUNDUP(MONTH(B1795)/3,0)</f>
        <v>1</v>
      </c>
    </row>
    <row r="1796" spans="1:15" x14ac:dyDescent="0.25">
      <c r="A1796" t="s">
        <v>3631</v>
      </c>
      <c r="B1796" s="2">
        <v>45358</v>
      </c>
      <c r="C1796" t="s">
        <v>24</v>
      </c>
      <c r="D1796" t="s">
        <v>25</v>
      </c>
      <c r="E1796">
        <v>0</v>
      </c>
      <c r="F1796">
        <v>1216.3499999999999</v>
      </c>
      <c r="G1796" t="s">
        <v>8</v>
      </c>
      <c r="H1796" t="s">
        <v>51</v>
      </c>
      <c r="I1796" t="s">
        <v>3632</v>
      </c>
      <c r="J1796" t="s">
        <v>64</v>
      </c>
      <c r="K1796" s="4">
        <f>VLOOKUP(J1796,Exchange_Rates!A:B,2,FALSE)</f>
        <v>0.73</v>
      </c>
      <c r="L1796" s="4">
        <f t="shared" si="112"/>
        <v>0</v>
      </c>
      <c r="M1796" s="4">
        <f t="shared" si="113"/>
        <v>887.93549999999993</v>
      </c>
      <c r="N1796" s="4">
        <f t="shared" si="114"/>
        <v>2024</v>
      </c>
      <c r="O1796" s="4">
        <f t="shared" si="115"/>
        <v>1</v>
      </c>
    </row>
    <row r="1797" spans="1:15" x14ac:dyDescent="0.25">
      <c r="A1797" t="s">
        <v>3633</v>
      </c>
      <c r="B1797" s="2">
        <v>45756</v>
      </c>
      <c r="C1797" t="s">
        <v>49</v>
      </c>
      <c r="D1797" t="s">
        <v>50</v>
      </c>
      <c r="E1797">
        <v>1553.28</v>
      </c>
      <c r="F1797">
        <v>0</v>
      </c>
      <c r="G1797" t="s">
        <v>12</v>
      </c>
      <c r="H1797" t="s">
        <v>34</v>
      </c>
      <c r="I1797" t="s">
        <v>3634</v>
      </c>
      <c r="J1797" t="s">
        <v>45</v>
      </c>
      <c r="K1797" s="4">
        <f>VLOOKUP(J1797,Exchange_Rates!A:B,2,FALSE)</f>
        <v>1</v>
      </c>
      <c r="L1797" s="4">
        <f t="shared" si="112"/>
        <v>1553.28</v>
      </c>
      <c r="M1797" s="4">
        <f t="shared" si="113"/>
        <v>0</v>
      </c>
      <c r="N1797" s="4">
        <f t="shared" si="114"/>
        <v>2025</v>
      </c>
      <c r="O1797" s="4">
        <f t="shared" si="115"/>
        <v>2</v>
      </c>
    </row>
    <row r="1798" spans="1:15" x14ac:dyDescent="0.25">
      <c r="A1798" t="s">
        <v>3635</v>
      </c>
      <c r="B1798" s="2">
        <v>45494</v>
      </c>
      <c r="C1798" t="s">
        <v>24</v>
      </c>
      <c r="D1798" t="s">
        <v>25</v>
      </c>
      <c r="E1798">
        <v>0</v>
      </c>
      <c r="F1798">
        <v>1122.51</v>
      </c>
      <c r="G1798" t="s">
        <v>12</v>
      </c>
      <c r="H1798" t="s">
        <v>62</v>
      </c>
      <c r="I1798" t="s">
        <v>3636</v>
      </c>
      <c r="J1798" t="s">
        <v>45</v>
      </c>
      <c r="K1798" s="4">
        <f>VLOOKUP(J1798,Exchange_Rates!A:B,2,FALSE)</f>
        <v>1</v>
      </c>
      <c r="L1798" s="4">
        <f t="shared" si="112"/>
        <v>0</v>
      </c>
      <c r="M1798" s="4">
        <f t="shared" si="113"/>
        <v>1122.51</v>
      </c>
      <c r="N1798" s="4">
        <f t="shared" si="114"/>
        <v>2024</v>
      </c>
      <c r="O1798" s="4">
        <f t="shared" si="115"/>
        <v>3</v>
      </c>
    </row>
    <row r="1799" spans="1:15" x14ac:dyDescent="0.25">
      <c r="A1799" t="s">
        <v>3637</v>
      </c>
      <c r="B1799" s="2">
        <v>44969</v>
      </c>
      <c r="C1799" t="s">
        <v>38</v>
      </c>
      <c r="D1799" t="s">
        <v>39</v>
      </c>
      <c r="E1799">
        <v>1893.28</v>
      </c>
      <c r="F1799">
        <v>0</v>
      </c>
      <c r="G1799" t="s">
        <v>12</v>
      </c>
      <c r="H1799" t="s">
        <v>40</v>
      </c>
      <c r="I1799" t="s">
        <v>3638</v>
      </c>
      <c r="J1799" t="s">
        <v>42</v>
      </c>
      <c r="K1799" s="4">
        <f>VLOOKUP(J1799,Exchange_Rates!A:B,2,FALSE)</f>
        <v>0.66</v>
      </c>
      <c r="L1799" s="4">
        <f t="shared" si="112"/>
        <v>1249.5648000000001</v>
      </c>
      <c r="M1799" s="4">
        <f t="shared" si="113"/>
        <v>0</v>
      </c>
      <c r="N1799" s="4">
        <f t="shared" si="114"/>
        <v>2023</v>
      </c>
      <c r="O1799" s="4">
        <f t="shared" si="115"/>
        <v>1</v>
      </c>
    </row>
    <row r="1800" spans="1:15" x14ac:dyDescent="0.25">
      <c r="A1800" t="s">
        <v>3639</v>
      </c>
      <c r="B1800" s="2">
        <v>45551</v>
      </c>
      <c r="C1800" t="s">
        <v>30</v>
      </c>
      <c r="D1800" t="s">
        <v>31</v>
      </c>
      <c r="E1800">
        <v>1667.55</v>
      </c>
      <c r="F1800">
        <v>0</v>
      </c>
      <c r="G1800" t="s">
        <v>9</v>
      </c>
      <c r="H1800" t="s">
        <v>26</v>
      </c>
      <c r="I1800" t="s">
        <v>3640</v>
      </c>
      <c r="J1800" t="s">
        <v>36</v>
      </c>
      <c r="K1800" s="4">
        <f>VLOOKUP(J1800,Exchange_Rates!A:B,2,FALSE)</f>
        <v>1.08</v>
      </c>
      <c r="L1800" s="4">
        <f t="shared" si="112"/>
        <v>1800.9540000000002</v>
      </c>
      <c r="M1800" s="4">
        <f t="shared" si="113"/>
        <v>0</v>
      </c>
      <c r="N1800" s="4">
        <f t="shared" si="114"/>
        <v>2024</v>
      </c>
      <c r="O1800" s="4">
        <f t="shared" si="115"/>
        <v>3</v>
      </c>
    </row>
    <row r="1801" spans="1:15" x14ac:dyDescent="0.25">
      <c r="A1801" t="s">
        <v>3641</v>
      </c>
      <c r="B1801" s="2">
        <v>45280</v>
      </c>
      <c r="C1801" t="s">
        <v>30</v>
      </c>
      <c r="D1801" t="s">
        <v>31</v>
      </c>
      <c r="E1801">
        <v>1448.96</v>
      </c>
      <c r="F1801">
        <v>0</v>
      </c>
      <c r="G1801" t="s">
        <v>11</v>
      </c>
      <c r="H1801" t="s">
        <v>62</v>
      </c>
      <c r="I1801" t="s">
        <v>3642</v>
      </c>
      <c r="J1801" t="s">
        <v>45</v>
      </c>
      <c r="K1801" s="4">
        <f>VLOOKUP(J1801,Exchange_Rates!A:B,2,FALSE)</f>
        <v>1</v>
      </c>
      <c r="L1801" s="4">
        <f t="shared" si="112"/>
        <v>1448.96</v>
      </c>
      <c r="M1801" s="4">
        <f t="shared" si="113"/>
        <v>0</v>
      </c>
      <c r="N1801" s="4">
        <f t="shared" si="114"/>
        <v>2023</v>
      </c>
      <c r="O1801" s="4">
        <f t="shared" si="115"/>
        <v>4</v>
      </c>
    </row>
    <row r="1802" spans="1:15" x14ac:dyDescent="0.25">
      <c r="A1802" t="s">
        <v>3643</v>
      </c>
      <c r="B1802" s="2">
        <v>45318</v>
      </c>
      <c r="C1802" t="s">
        <v>49</v>
      </c>
      <c r="D1802" t="s">
        <v>50</v>
      </c>
      <c r="E1802">
        <v>292.83999999999997</v>
      </c>
      <c r="F1802">
        <v>0</v>
      </c>
      <c r="G1802" t="s">
        <v>12</v>
      </c>
      <c r="H1802" t="s">
        <v>51</v>
      </c>
      <c r="I1802" t="s">
        <v>3644</v>
      </c>
      <c r="J1802" t="s">
        <v>45</v>
      </c>
      <c r="K1802" s="4">
        <f>VLOOKUP(J1802,Exchange_Rates!A:B,2,FALSE)</f>
        <v>1</v>
      </c>
      <c r="L1802" s="4">
        <f t="shared" si="112"/>
        <v>292.83999999999997</v>
      </c>
      <c r="M1802" s="4">
        <f t="shared" si="113"/>
        <v>0</v>
      </c>
      <c r="N1802" s="4">
        <f t="shared" si="114"/>
        <v>2024</v>
      </c>
      <c r="O1802" s="4">
        <f t="shared" si="115"/>
        <v>1</v>
      </c>
    </row>
    <row r="1803" spans="1:15" x14ac:dyDescent="0.25">
      <c r="A1803" t="s">
        <v>3645</v>
      </c>
      <c r="B1803" s="2">
        <v>45245</v>
      </c>
      <c r="C1803" t="s">
        <v>30</v>
      </c>
      <c r="D1803" t="s">
        <v>31</v>
      </c>
      <c r="E1803">
        <v>1746.92</v>
      </c>
      <c r="F1803">
        <v>0</v>
      </c>
      <c r="G1803" t="s">
        <v>10</v>
      </c>
      <c r="H1803" t="s">
        <v>34</v>
      </c>
      <c r="I1803" t="s">
        <v>3646</v>
      </c>
      <c r="J1803" t="s">
        <v>45</v>
      </c>
      <c r="K1803" s="4">
        <f>VLOOKUP(J1803,Exchange_Rates!A:B,2,FALSE)</f>
        <v>1</v>
      </c>
      <c r="L1803" s="4">
        <f t="shared" si="112"/>
        <v>1746.92</v>
      </c>
      <c r="M1803" s="4">
        <f t="shared" si="113"/>
        <v>0</v>
      </c>
      <c r="N1803" s="4">
        <f t="shared" si="114"/>
        <v>2023</v>
      </c>
      <c r="O1803" s="4">
        <f t="shared" si="115"/>
        <v>4</v>
      </c>
    </row>
    <row r="1804" spans="1:15" x14ac:dyDescent="0.25">
      <c r="A1804" t="s">
        <v>3647</v>
      </c>
      <c r="B1804" s="2">
        <v>45172</v>
      </c>
      <c r="C1804" t="s">
        <v>38</v>
      </c>
      <c r="D1804" t="s">
        <v>39</v>
      </c>
      <c r="E1804">
        <v>870.1</v>
      </c>
      <c r="F1804">
        <v>0</v>
      </c>
      <c r="G1804" t="s">
        <v>8</v>
      </c>
      <c r="H1804" t="s">
        <v>40</v>
      </c>
      <c r="I1804" t="s">
        <v>3648</v>
      </c>
      <c r="J1804" t="s">
        <v>64</v>
      </c>
      <c r="K1804" s="4">
        <f>VLOOKUP(J1804,Exchange_Rates!A:B,2,FALSE)</f>
        <v>0.73</v>
      </c>
      <c r="L1804" s="4">
        <f t="shared" si="112"/>
        <v>635.173</v>
      </c>
      <c r="M1804" s="4">
        <f t="shared" si="113"/>
        <v>0</v>
      </c>
      <c r="N1804" s="4">
        <f t="shared" si="114"/>
        <v>2023</v>
      </c>
      <c r="O1804" s="4">
        <f t="shared" si="115"/>
        <v>3</v>
      </c>
    </row>
    <row r="1805" spans="1:15" x14ac:dyDescent="0.25">
      <c r="A1805" t="s">
        <v>3649</v>
      </c>
      <c r="B1805" s="2">
        <v>44986</v>
      </c>
      <c r="C1805" t="s">
        <v>30</v>
      </c>
      <c r="D1805" t="s">
        <v>31</v>
      </c>
      <c r="E1805">
        <v>1451.54</v>
      </c>
      <c r="F1805">
        <v>0</v>
      </c>
      <c r="G1805" t="s">
        <v>10</v>
      </c>
      <c r="H1805" t="s">
        <v>51</v>
      </c>
      <c r="I1805" t="s">
        <v>3650</v>
      </c>
      <c r="J1805" t="s">
        <v>45</v>
      </c>
      <c r="K1805" s="4">
        <f>VLOOKUP(J1805,Exchange_Rates!A:B,2,FALSE)</f>
        <v>1</v>
      </c>
      <c r="L1805" s="4">
        <f t="shared" si="112"/>
        <v>1451.54</v>
      </c>
      <c r="M1805" s="4">
        <f t="shared" si="113"/>
        <v>0</v>
      </c>
      <c r="N1805" s="4">
        <f t="shared" si="114"/>
        <v>2023</v>
      </c>
      <c r="O1805" s="4">
        <f t="shared" si="115"/>
        <v>1</v>
      </c>
    </row>
    <row r="1806" spans="1:15" x14ac:dyDescent="0.25">
      <c r="A1806" t="s">
        <v>3651</v>
      </c>
      <c r="B1806" s="2">
        <v>45060</v>
      </c>
      <c r="C1806" t="s">
        <v>60</v>
      </c>
      <c r="D1806" t="s">
        <v>61</v>
      </c>
      <c r="E1806">
        <v>0</v>
      </c>
      <c r="F1806">
        <v>905.45</v>
      </c>
      <c r="G1806" t="s">
        <v>11</v>
      </c>
      <c r="H1806" t="s">
        <v>26</v>
      </c>
      <c r="I1806" t="s">
        <v>3652</v>
      </c>
      <c r="J1806" t="s">
        <v>42</v>
      </c>
      <c r="K1806" s="4">
        <f>VLOOKUP(J1806,Exchange_Rates!A:B,2,FALSE)</f>
        <v>0.66</v>
      </c>
      <c r="L1806" s="4">
        <f t="shared" si="112"/>
        <v>0</v>
      </c>
      <c r="M1806" s="4">
        <f t="shared" si="113"/>
        <v>597.59700000000009</v>
      </c>
      <c r="N1806" s="4">
        <f t="shared" si="114"/>
        <v>2023</v>
      </c>
      <c r="O1806" s="4">
        <f t="shared" si="115"/>
        <v>2</v>
      </c>
    </row>
    <row r="1807" spans="1:15" x14ac:dyDescent="0.25">
      <c r="A1807" t="s">
        <v>3653</v>
      </c>
      <c r="B1807" s="2">
        <v>45288</v>
      </c>
      <c r="C1807" t="s">
        <v>30</v>
      </c>
      <c r="D1807" t="s">
        <v>31</v>
      </c>
      <c r="E1807">
        <v>435.57</v>
      </c>
      <c r="F1807">
        <v>0</v>
      </c>
      <c r="G1807" t="s">
        <v>10</v>
      </c>
      <c r="H1807" t="s">
        <v>51</v>
      </c>
      <c r="I1807" t="s">
        <v>3654</v>
      </c>
      <c r="J1807" t="s">
        <v>45</v>
      </c>
      <c r="K1807" s="4">
        <f>VLOOKUP(J1807,Exchange_Rates!A:B,2,FALSE)</f>
        <v>1</v>
      </c>
      <c r="L1807" s="4">
        <f t="shared" si="112"/>
        <v>435.57</v>
      </c>
      <c r="M1807" s="4">
        <f t="shared" si="113"/>
        <v>0</v>
      </c>
      <c r="N1807" s="4">
        <f t="shared" si="114"/>
        <v>2023</v>
      </c>
      <c r="O1807" s="4">
        <f t="shared" si="115"/>
        <v>4</v>
      </c>
    </row>
    <row r="1808" spans="1:15" x14ac:dyDescent="0.25">
      <c r="A1808" t="s">
        <v>3655</v>
      </c>
      <c r="B1808" s="2">
        <v>45728</v>
      </c>
      <c r="C1808" t="s">
        <v>60</v>
      </c>
      <c r="D1808" t="s">
        <v>61</v>
      </c>
      <c r="E1808">
        <v>0</v>
      </c>
      <c r="F1808">
        <v>1129.92</v>
      </c>
      <c r="G1808" t="s">
        <v>13</v>
      </c>
      <c r="H1808" t="s">
        <v>62</v>
      </c>
      <c r="I1808" t="s">
        <v>3656</v>
      </c>
      <c r="J1808" t="s">
        <v>36</v>
      </c>
      <c r="K1808" s="4">
        <f>VLOOKUP(J1808,Exchange_Rates!A:B,2,FALSE)</f>
        <v>1.08</v>
      </c>
      <c r="L1808" s="4">
        <f t="shared" si="112"/>
        <v>0</v>
      </c>
      <c r="M1808" s="4">
        <f t="shared" si="113"/>
        <v>1220.3136000000002</v>
      </c>
      <c r="N1808" s="4">
        <f t="shared" si="114"/>
        <v>2025</v>
      </c>
      <c r="O1808" s="4">
        <f t="shared" si="115"/>
        <v>1</v>
      </c>
    </row>
    <row r="1809" spans="1:15" x14ac:dyDescent="0.25">
      <c r="A1809" t="s">
        <v>3657</v>
      </c>
      <c r="B1809" s="2">
        <v>45008</v>
      </c>
      <c r="C1809" t="s">
        <v>30</v>
      </c>
      <c r="D1809" t="s">
        <v>31</v>
      </c>
      <c r="E1809">
        <v>956.25</v>
      </c>
      <c r="F1809">
        <v>0</v>
      </c>
      <c r="G1809" t="s">
        <v>11</v>
      </c>
      <c r="H1809" t="s">
        <v>51</v>
      </c>
      <c r="I1809" t="s">
        <v>3658</v>
      </c>
      <c r="J1809" t="s">
        <v>36</v>
      </c>
      <c r="K1809" s="4">
        <f>VLOOKUP(J1809,Exchange_Rates!A:B,2,FALSE)</f>
        <v>1.08</v>
      </c>
      <c r="L1809" s="4">
        <f t="shared" si="112"/>
        <v>1032.75</v>
      </c>
      <c r="M1809" s="4">
        <f t="shared" si="113"/>
        <v>0</v>
      </c>
      <c r="N1809" s="4">
        <f t="shared" si="114"/>
        <v>2023</v>
      </c>
      <c r="O1809" s="4">
        <f t="shared" si="115"/>
        <v>1</v>
      </c>
    </row>
    <row r="1810" spans="1:15" x14ac:dyDescent="0.25">
      <c r="A1810" t="s">
        <v>3659</v>
      </c>
      <c r="B1810" s="2">
        <v>45573</v>
      </c>
      <c r="C1810" t="s">
        <v>30</v>
      </c>
      <c r="D1810" t="s">
        <v>31</v>
      </c>
      <c r="E1810">
        <v>1866.55</v>
      </c>
      <c r="F1810">
        <v>0</v>
      </c>
      <c r="G1810" t="s">
        <v>9</v>
      </c>
      <c r="H1810" t="s">
        <v>26</v>
      </c>
      <c r="I1810" t="s">
        <v>3660</v>
      </c>
      <c r="J1810" t="s">
        <v>36</v>
      </c>
      <c r="K1810" s="4">
        <f>VLOOKUP(J1810,Exchange_Rates!A:B,2,FALSE)</f>
        <v>1.08</v>
      </c>
      <c r="L1810" s="4">
        <f t="shared" si="112"/>
        <v>2015.874</v>
      </c>
      <c r="M1810" s="4">
        <f t="shared" si="113"/>
        <v>0</v>
      </c>
      <c r="N1810" s="4">
        <f t="shared" si="114"/>
        <v>2024</v>
      </c>
      <c r="O1810" s="4">
        <f t="shared" si="115"/>
        <v>4</v>
      </c>
    </row>
    <row r="1811" spans="1:15" x14ac:dyDescent="0.25">
      <c r="A1811" t="s">
        <v>3661</v>
      </c>
      <c r="B1811" s="2">
        <v>45815</v>
      </c>
      <c r="C1811" t="s">
        <v>30</v>
      </c>
      <c r="D1811" t="s">
        <v>31</v>
      </c>
      <c r="E1811">
        <v>1920.83</v>
      </c>
      <c r="F1811">
        <v>0</v>
      </c>
      <c r="G1811" t="s">
        <v>12</v>
      </c>
      <c r="H1811" t="s">
        <v>51</v>
      </c>
      <c r="I1811" t="s">
        <v>3662</v>
      </c>
      <c r="J1811" t="s">
        <v>64</v>
      </c>
      <c r="K1811" s="4">
        <f>VLOOKUP(J1811,Exchange_Rates!A:B,2,FALSE)</f>
        <v>0.73</v>
      </c>
      <c r="L1811" s="4">
        <f t="shared" si="112"/>
        <v>1402.2058999999999</v>
      </c>
      <c r="M1811" s="4">
        <f t="shared" si="113"/>
        <v>0</v>
      </c>
      <c r="N1811" s="4">
        <f t="shared" si="114"/>
        <v>2025</v>
      </c>
      <c r="O1811" s="4">
        <f t="shared" si="115"/>
        <v>2</v>
      </c>
    </row>
    <row r="1812" spans="1:15" x14ac:dyDescent="0.25">
      <c r="A1812" t="s">
        <v>3663</v>
      </c>
      <c r="B1812" s="2">
        <v>45603</v>
      </c>
      <c r="C1812" t="s">
        <v>24</v>
      </c>
      <c r="D1812" t="s">
        <v>25</v>
      </c>
      <c r="E1812">
        <v>0</v>
      </c>
      <c r="F1812">
        <v>4953.79</v>
      </c>
      <c r="G1812" t="s">
        <v>13</v>
      </c>
      <c r="H1812" t="s">
        <v>34</v>
      </c>
      <c r="I1812" t="s">
        <v>3664</v>
      </c>
      <c r="J1812" t="s">
        <v>64</v>
      </c>
      <c r="K1812" s="4">
        <f>VLOOKUP(J1812,Exchange_Rates!A:B,2,FALSE)</f>
        <v>0.73</v>
      </c>
      <c r="L1812" s="4">
        <f t="shared" si="112"/>
        <v>0</v>
      </c>
      <c r="M1812" s="4">
        <f t="shared" si="113"/>
        <v>3616.2666999999997</v>
      </c>
      <c r="N1812" s="4">
        <f t="shared" si="114"/>
        <v>2024</v>
      </c>
      <c r="O1812" s="4">
        <f t="shared" si="115"/>
        <v>4</v>
      </c>
    </row>
    <row r="1813" spans="1:15" x14ac:dyDescent="0.25">
      <c r="A1813" t="s">
        <v>3665</v>
      </c>
      <c r="B1813" s="2">
        <v>45423</v>
      </c>
      <c r="C1813" t="s">
        <v>30</v>
      </c>
      <c r="D1813" t="s">
        <v>31</v>
      </c>
      <c r="E1813">
        <v>1790.29</v>
      </c>
      <c r="F1813">
        <v>0</v>
      </c>
      <c r="G1813" t="s">
        <v>13</v>
      </c>
      <c r="H1813" t="s">
        <v>34</v>
      </c>
      <c r="I1813" t="s">
        <v>3666</v>
      </c>
      <c r="J1813" t="s">
        <v>28</v>
      </c>
      <c r="K1813" s="4">
        <f>VLOOKUP(J1813,Exchange_Rates!A:B,2,FALSE)</f>
        <v>1.27</v>
      </c>
      <c r="L1813" s="4">
        <f t="shared" si="112"/>
        <v>2273.6682999999998</v>
      </c>
      <c r="M1813" s="4">
        <f t="shared" si="113"/>
        <v>0</v>
      </c>
      <c r="N1813" s="4">
        <f t="shared" si="114"/>
        <v>2024</v>
      </c>
      <c r="O1813" s="4">
        <f t="shared" si="115"/>
        <v>2</v>
      </c>
    </row>
    <row r="1814" spans="1:15" x14ac:dyDescent="0.25">
      <c r="A1814" t="s">
        <v>3667</v>
      </c>
      <c r="B1814" s="2">
        <v>45802</v>
      </c>
      <c r="C1814" t="s">
        <v>24</v>
      </c>
      <c r="D1814" t="s">
        <v>25</v>
      </c>
      <c r="E1814">
        <v>0</v>
      </c>
      <c r="F1814">
        <v>523.59</v>
      </c>
      <c r="G1814" t="s">
        <v>9</v>
      </c>
      <c r="H1814" t="s">
        <v>51</v>
      </c>
      <c r="I1814" t="s">
        <v>3668</v>
      </c>
      <c r="J1814" t="s">
        <v>64</v>
      </c>
      <c r="K1814" s="4">
        <f>VLOOKUP(J1814,Exchange_Rates!A:B,2,FALSE)</f>
        <v>0.73</v>
      </c>
      <c r="L1814" s="4">
        <f t="shared" si="112"/>
        <v>0</v>
      </c>
      <c r="M1814" s="4">
        <f t="shared" si="113"/>
        <v>382.22070000000002</v>
      </c>
      <c r="N1814" s="4">
        <f t="shared" si="114"/>
        <v>2025</v>
      </c>
      <c r="O1814" s="4">
        <f t="shared" si="115"/>
        <v>2</v>
      </c>
    </row>
    <row r="1815" spans="1:15" x14ac:dyDescent="0.25">
      <c r="A1815" t="s">
        <v>3669</v>
      </c>
      <c r="B1815" s="2">
        <v>45298</v>
      </c>
      <c r="C1815" t="s">
        <v>49</v>
      </c>
      <c r="D1815" t="s">
        <v>50</v>
      </c>
      <c r="E1815">
        <v>200.91</v>
      </c>
      <c r="F1815">
        <v>0</v>
      </c>
      <c r="G1815" t="s">
        <v>8</v>
      </c>
      <c r="H1815" t="s">
        <v>51</v>
      </c>
      <c r="I1815" t="s">
        <v>3670</v>
      </c>
      <c r="J1815" t="s">
        <v>45</v>
      </c>
      <c r="K1815" s="4">
        <f>VLOOKUP(J1815,Exchange_Rates!A:B,2,FALSE)</f>
        <v>1</v>
      </c>
      <c r="L1815" s="4">
        <f t="shared" si="112"/>
        <v>200.91</v>
      </c>
      <c r="M1815" s="4">
        <f t="shared" si="113"/>
        <v>0</v>
      </c>
      <c r="N1815" s="4">
        <f t="shared" si="114"/>
        <v>2024</v>
      </c>
      <c r="O1815" s="4">
        <f t="shared" si="115"/>
        <v>1</v>
      </c>
    </row>
    <row r="1816" spans="1:15" x14ac:dyDescent="0.25">
      <c r="A1816" t="s">
        <v>3671</v>
      </c>
      <c r="B1816" s="2">
        <v>45612</v>
      </c>
      <c r="C1816" t="s">
        <v>38</v>
      </c>
      <c r="D1816" t="s">
        <v>39</v>
      </c>
      <c r="E1816">
        <v>219.39</v>
      </c>
      <c r="F1816">
        <v>0</v>
      </c>
      <c r="G1816" t="s">
        <v>9</v>
      </c>
      <c r="H1816" t="s">
        <v>62</v>
      </c>
      <c r="I1816" t="s">
        <v>3672</v>
      </c>
      <c r="J1816" t="s">
        <v>64</v>
      </c>
      <c r="K1816" s="4">
        <f>VLOOKUP(J1816,Exchange_Rates!A:B,2,FALSE)</f>
        <v>0.73</v>
      </c>
      <c r="L1816" s="4">
        <f t="shared" si="112"/>
        <v>160.15469999999999</v>
      </c>
      <c r="M1816" s="4">
        <f t="shared" si="113"/>
        <v>0</v>
      </c>
      <c r="N1816" s="4">
        <f t="shared" si="114"/>
        <v>2024</v>
      </c>
      <c r="O1816" s="4">
        <f t="shared" si="115"/>
        <v>4</v>
      </c>
    </row>
    <row r="1817" spans="1:15" x14ac:dyDescent="0.25">
      <c r="A1817" t="s">
        <v>3673</v>
      </c>
      <c r="B1817" s="2">
        <v>45000</v>
      </c>
      <c r="C1817" t="s">
        <v>49</v>
      </c>
      <c r="D1817" t="s">
        <v>50</v>
      </c>
      <c r="E1817">
        <v>1274.73</v>
      </c>
      <c r="F1817">
        <v>0</v>
      </c>
      <c r="G1817" t="s">
        <v>13</v>
      </c>
      <c r="H1817" t="s">
        <v>62</v>
      </c>
      <c r="I1817" t="s">
        <v>3674</v>
      </c>
      <c r="J1817" t="s">
        <v>64</v>
      </c>
      <c r="K1817" s="4">
        <f>VLOOKUP(J1817,Exchange_Rates!A:B,2,FALSE)</f>
        <v>0.73</v>
      </c>
      <c r="L1817" s="4">
        <f t="shared" si="112"/>
        <v>930.55290000000002</v>
      </c>
      <c r="M1817" s="4">
        <f t="shared" si="113"/>
        <v>0</v>
      </c>
      <c r="N1817" s="4">
        <f t="shared" si="114"/>
        <v>2023</v>
      </c>
      <c r="O1817" s="4">
        <f t="shared" si="115"/>
        <v>1</v>
      </c>
    </row>
    <row r="1818" spans="1:15" x14ac:dyDescent="0.25">
      <c r="A1818" t="s">
        <v>3675</v>
      </c>
      <c r="B1818" s="2">
        <v>45775</v>
      </c>
      <c r="C1818" t="s">
        <v>30</v>
      </c>
      <c r="D1818" t="s">
        <v>31</v>
      </c>
      <c r="E1818">
        <v>692.56</v>
      </c>
      <c r="F1818">
        <v>0</v>
      </c>
      <c r="G1818" t="s">
        <v>11</v>
      </c>
      <c r="H1818" t="s">
        <v>26</v>
      </c>
      <c r="I1818" t="s">
        <v>3676</v>
      </c>
      <c r="J1818" t="s">
        <v>42</v>
      </c>
      <c r="K1818" s="4">
        <f>VLOOKUP(J1818,Exchange_Rates!A:B,2,FALSE)</f>
        <v>0.66</v>
      </c>
      <c r="L1818" s="4">
        <f t="shared" si="112"/>
        <v>457.08959999999996</v>
      </c>
      <c r="M1818" s="4">
        <f t="shared" si="113"/>
        <v>0</v>
      </c>
      <c r="N1818" s="4">
        <f t="shared" si="114"/>
        <v>2025</v>
      </c>
      <c r="O1818" s="4">
        <f t="shared" si="115"/>
        <v>2</v>
      </c>
    </row>
    <row r="1819" spans="1:15" x14ac:dyDescent="0.25">
      <c r="A1819" t="s">
        <v>3677</v>
      </c>
      <c r="B1819" s="2">
        <v>45704</v>
      </c>
      <c r="C1819" t="s">
        <v>30</v>
      </c>
      <c r="D1819" t="s">
        <v>31</v>
      </c>
      <c r="E1819">
        <v>1914.11</v>
      </c>
      <c r="F1819">
        <v>0</v>
      </c>
      <c r="G1819" t="s">
        <v>13</v>
      </c>
      <c r="H1819" t="s">
        <v>51</v>
      </c>
      <c r="I1819" t="s">
        <v>3678</v>
      </c>
      <c r="J1819" t="s">
        <v>36</v>
      </c>
      <c r="K1819" s="4">
        <f>VLOOKUP(J1819,Exchange_Rates!A:B,2,FALSE)</f>
        <v>1.08</v>
      </c>
      <c r="L1819" s="4">
        <f t="shared" si="112"/>
        <v>2067.2388000000001</v>
      </c>
      <c r="M1819" s="4">
        <f t="shared" si="113"/>
        <v>0</v>
      </c>
      <c r="N1819" s="4">
        <f t="shared" si="114"/>
        <v>2025</v>
      </c>
      <c r="O1819" s="4">
        <f t="shared" si="115"/>
        <v>1</v>
      </c>
    </row>
    <row r="1820" spans="1:15" x14ac:dyDescent="0.25">
      <c r="A1820" t="s">
        <v>3679</v>
      </c>
      <c r="B1820" s="2">
        <v>45027</v>
      </c>
      <c r="C1820" t="s">
        <v>49</v>
      </c>
      <c r="D1820" t="s">
        <v>50</v>
      </c>
      <c r="E1820">
        <v>1033.2</v>
      </c>
      <c r="F1820">
        <v>0</v>
      </c>
      <c r="G1820" t="s">
        <v>9</v>
      </c>
      <c r="H1820" t="s">
        <v>26</v>
      </c>
      <c r="I1820" t="s">
        <v>3680</v>
      </c>
      <c r="J1820" t="s">
        <v>42</v>
      </c>
      <c r="K1820" s="4">
        <f>VLOOKUP(J1820,Exchange_Rates!A:B,2,FALSE)</f>
        <v>0.66</v>
      </c>
      <c r="L1820" s="4">
        <f t="shared" si="112"/>
        <v>681.91200000000003</v>
      </c>
      <c r="M1820" s="4">
        <f t="shared" si="113"/>
        <v>0</v>
      </c>
      <c r="N1820" s="4">
        <f t="shared" si="114"/>
        <v>2023</v>
      </c>
      <c r="O1820" s="4">
        <f t="shared" si="115"/>
        <v>2</v>
      </c>
    </row>
    <row r="1821" spans="1:15" x14ac:dyDescent="0.25">
      <c r="A1821" t="s">
        <v>3681</v>
      </c>
      <c r="B1821" s="2">
        <v>44958</v>
      </c>
      <c r="C1821" t="s">
        <v>60</v>
      </c>
      <c r="D1821" t="s">
        <v>61</v>
      </c>
      <c r="E1821">
        <v>0</v>
      </c>
      <c r="F1821">
        <v>2648.51</v>
      </c>
      <c r="G1821" t="s">
        <v>12</v>
      </c>
      <c r="H1821" t="s">
        <v>34</v>
      </c>
      <c r="I1821" t="s">
        <v>3682</v>
      </c>
      <c r="J1821" t="s">
        <v>64</v>
      </c>
      <c r="K1821" s="4">
        <f>VLOOKUP(J1821,Exchange_Rates!A:B,2,FALSE)</f>
        <v>0.73</v>
      </c>
      <c r="L1821" s="4">
        <f t="shared" si="112"/>
        <v>0</v>
      </c>
      <c r="M1821" s="4">
        <f t="shared" si="113"/>
        <v>1933.4123000000002</v>
      </c>
      <c r="N1821" s="4">
        <f t="shared" si="114"/>
        <v>2023</v>
      </c>
      <c r="O1821" s="4">
        <f t="shared" si="115"/>
        <v>1</v>
      </c>
    </row>
    <row r="1822" spans="1:15" x14ac:dyDescent="0.25">
      <c r="A1822" t="s">
        <v>3683</v>
      </c>
      <c r="B1822" s="2">
        <v>45118</v>
      </c>
      <c r="C1822" t="s">
        <v>24</v>
      </c>
      <c r="D1822" t="s">
        <v>25</v>
      </c>
      <c r="E1822">
        <v>0</v>
      </c>
      <c r="F1822">
        <v>737.9</v>
      </c>
      <c r="G1822" t="s">
        <v>13</v>
      </c>
      <c r="H1822" t="s">
        <v>34</v>
      </c>
      <c r="I1822" t="s">
        <v>3684</v>
      </c>
      <c r="J1822" t="s">
        <v>36</v>
      </c>
      <c r="K1822" s="4">
        <f>VLOOKUP(J1822,Exchange_Rates!A:B,2,FALSE)</f>
        <v>1.08</v>
      </c>
      <c r="L1822" s="4">
        <f t="shared" si="112"/>
        <v>0</v>
      </c>
      <c r="M1822" s="4">
        <f t="shared" si="113"/>
        <v>796.93200000000002</v>
      </c>
      <c r="N1822" s="4">
        <f t="shared" si="114"/>
        <v>2023</v>
      </c>
      <c r="O1822" s="4">
        <f t="shared" si="115"/>
        <v>3</v>
      </c>
    </row>
    <row r="1823" spans="1:15" x14ac:dyDescent="0.25">
      <c r="A1823" t="s">
        <v>3685</v>
      </c>
      <c r="B1823" s="2">
        <v>45289</v>
      </c>
      <c r="C1823" t="s">
        <v>38</v>
      </c>
      <c r="D1823" t="s">
        <v>39</v>
      </c>
      <c r="E1823">
        <v>323.47000000000003</v>
      </c>
      <c r="F1823">
        <v>0</v>
      </c>
      <c r="G1823" t="s">
        <v>12</v>
      </c>
      <c r="H1823" t="s">
        <v>40</v>
      </c>
      <c r="I1823" t="s">
        <v>3686</v>
      </c>
      <c r="J1823" t="s">
        <v>45</v>
      </c>
      <c r="K1823" s="4">
        <f>VLOOKUP(J1823,Exchange_Rates!A:B,2,FALSE)</f>
        <v>1</v>
      </c>
      <c r="L1823" s="4">
        <f t="shared" si="112"/>
        <v>323.47000000000003</v>
      </c>
      <c r="M1823" s="4">
        <f t="shared" si="113"/>
        <v>0</v>
      </c>
      <c r="N1823" s="4">
        <f t="shared" si="114"/>
        <v>2023</v>
      </c>
      <c r="O1823" s="4">
        <f t="shared" si="115"/>
        <v>4</v>
      </c>
    </row>
    <row r="1824" spans="1:15" x14ac:dyDescent="0.25">
      <c r="A1824" t="s">
        <v>3687</v>
      </c>
      <c r="B1824" s="2">
        <v>45410</v>
      </c>
      <c r="C1824" t="s">
        <v>49</v>
      </c>
      <c r="D1824" t="s">
        <v>50</v>
      </c>
      <c r="E1824">
        <v>728.68</v>
      </c>
      <c r="F1824">
        <v>0</v>
      </c>
      <c r="G1824" t="s">
        <v>9</v>
      </c>
      <c r="H1824" t="s">
        <v>34</v>
      </c>
      <c r="I1824" t="s">
        <v>3688</v>
      </c>
      <c r="J1824" t="s">
        <v>64</v>
      </c>
      <c r="K1824" s="4">
        <f>VLOOKUP(J1824,Exchange_Rates!A:B,2,FALSE)</f>
        <v>0.73</v>
      </c>
      <c r="L1824" s="4">
        <f t="shared" si="112"/>
        <v>531.93639999999994</v>
      </c>
      <c r="M1824" s="4">
        <f t="shared" si="113"/>
        <v>0</v>
      </c>
      <c r="N1824" s="4">
        <f t="shared" si="114"/>
        <v>2024</v>
      </c>
      <c r="O1824" s="4">
        <f t="shared" si="115"/>
        <v>2</v>
      </c>
    </row>
    <row r="1825" spans="1:15" x14ac:dyDescent="0.25">
      <c r="A1825" t="s">
        <v>3689</v>
      </c>
      <c r="B1825" s="2">
        <v>45374</v>
      </c>
      <c r="C1825" t="s">
        <v>30</v>
      </c>
      <c r="D1825" t="s">
        <v>31</v>
      </c>
      <c r="E1825">
        <v>1625.93</v>
      </c>
      <c r="F1825">
        <v>0</v>
      </c>
      <c r="G1825" t="s">
        <v>12</v>
      </c>
      <c r="H1825" t="s">
        <v>26</v>
      </c>
      <c r="I1825" t="s">
        <v>3690</v>
      </c>
      <c r="J1825" t="s">
        <v>36</v>
      </c>
      <c r="K1825" s="4">
        <f>VLOOKUP(J1825,Exchange_Rates!A:B,2,FALSE)</f>
        <v>1.08</v>
      </c>
      <c r="L1825" s="4">
        <f t="shared" si="112"/>
        <v>1756.0044000000003</v>
      </c>
      <c r="M1825" s="4">
        <f t="shared" si="113"/>
        <v>0</v>
      </c>
      <c r="N1825" s="4">
        <f t="shared" si="114"/>
        <v>2024</v>
      </c>
      <c r="O1825" s="4">
        <f t="shared" si="115"/>
        <v>1</v>
      </c>
    </row>
    <row r="1826" spans="1:15" x14ac:dyDescent="0.25">
      <c r="A1826" t="s">
        <v>3691</v>
      </c>
      <c r="B1826" s="2">
        <v>45474</v>
      </c>
      <c r="C1826" t="s">
        <v>24</v>
      </c>
      <c r="D1826" t="s">
        <v>25</v>
      </c>
      <c r="E1826">
        <v>0</v>
      </c>
      <c r="F1826">
        <v>166.02</v>
      </c>
      <c r="G1826" t="s">
        <v>10</v>
      </c>
      <c r="H1826" t="s">
        <v>26</v>
      </c>
      <c r="I1826" t="s">
        <v>3692</v>
      </c>
      <c r="J1826" t="s">
        <v>36</v>
      </c>
      <c r="K1826" s="4">
        <f>VLOOKUP(J1826,Exchange_Rates!A:B,2,FALSE)</f>
        <v>1.08</v>
      </c>
      <c r="L1826" s="4">
        <f t="shared" si="112"/>
        <v>0</v>
      </c>
      <c r="M1826" s="4">
        <f t="shared" si="113"/>
        <v>179.30160000000004</v>
      </c>
      <c r="N1826" s="4">
        <f t="shared" si="114"/>
        <v>2024</v>
      </c>
      <c r="O1826" s="4">
        <f t="shared" si="115"/>
        <v>3</v>
      </c>
    </row>
    <row r="1827" spans="1:15" x14ac:dyDescent="0.25">
      <c r="A1827" t="s">
        <v>3693</v>
      </c>
      <c r="B1827" s="2">
        <v>45492</v>
      </c>
      <c r="C1827" t="s">
        <v>30</v>
      </c>
      <c r="D1827" t="s">
        <v>31</v>
      </c>
      <c r="E1827">
        <v>510</v>
      </c>
      <c r="F1827">
        <v>0</v>
      </c>
      <c r="G1827" t="s">
        <v>10</v>
      </c>
      <c r="H1827" t="s">
        <v>40</v>
      </c>
      <c r="I1827" t="s">
        <v>3694</v>
      </c>
      <c r="J1827" t="s">
        <v>42</v>
      </c>
      <c r="K1827" s="4">
        <f>VLOOKUP(J1827,Exchange_Rates!A:B,2,FALSE)</f>
        <v>0.66</v>
      </c>
      <c r="L1827" s="4">
        <f t="shared" si="112"/>
        <v>336.6</v>
      </c>
      <c r="M1827" s="4">
        <f t="shared" si="113"/>
        <v>0</v>
      </c>
      <c r="N1827" s="4">
        <f t="shared" si="114"/>
        <v>2024</v>
      </c>
      <c r="O1827" s="4">
        <f t="shared" si="115"/>
        <v>3</v>
      </c>
    </row>
    <row r="1828" spans="1:15" x14ac:dyDescent="0.25">
      <c r="A1828" t="s">
        <v>3695</v>
      </c>
      <c r="B1828" s="2">
        <v>45574</v>
      </c>
      <c r="C1828" t="s">
        <v>60</v>
      </c>
      <c r="D1828" t="s">
        <v>61</v>
      </c>
      <c r="E1828">
        <v>0</v>
      </c>
      <c r="F1828">
        <v>1743.21</v>
      </c>
      <c r="G1828" t="s">
        <v>13</v>
      </c>
      <c r="H1828" t="s">
        <v>40</v>
      </c>
      <c r="I1828" t="s">
        <v>3696</v>
      </c>
      <c r="J1828" t="s">
        <v>28</v>
      </c>
      <c r="K1828" s="4">
        <f>VLOOKUP(J1828,Exchange_Rates!A:B,2,FALSE)</f>
        <v>1.27</v>
      </c>
      <c r="L1828" s="4">
        <f t="shared" si="112"/>
        <v>0</v>
      </c>
      <c r="M1828" s="4">
        <f t="shared" si="113"/>
        <v>2213.8767000000003</v>
      </c>
      <c r="N1828" s="4">
        <f t="shared" si="114"/>
        <v>2024</v>
      </c>
      <c r="O1828" s="4">
        <f t="shared" si="115"/>
        <v>4</v>
      </c>
    </row>
    <row r="1829" spans="1:15" x14ac:dyDescent="0.25">
      <c r="A1829" t="s">
        <v>3697</v>
      </c>
      <c r="B1829" s="2">
        <v>45488</v>
      </c>
      <c r="C1829" t="s">
        <v>49</v>
      </c>
      <c r="D1829" t="s">
        <v>50</v>
      </c>
      <c r="E1829">
        <v>652.48</v>
      </c>
      <c r="F1829">
        <v>0</v>
      </c>
      <c r="G1829" t="s">
        <v>11</v>
      </c>
      <c r="H1829" t="s">
        <v>26</v>
      </c>
      <c r="I1829" t="s">
        <v>3698</v>
      </c>
      <c r="J1829" t="s">
        <v>42</v>
      </c>
      <c r="K1829" s="4">
        <f>VLOOKUP(J1829,Exchange_Rates!A:B,2,FALSE)</f>
        <v>0.66</v>
      </c>
      <c r="L1829" s="4">
        <f t="shared" si="112"/>
        <v>430.63680000000005</v>
      </c>
      <c r="M1829" s="4">
        <f t="shared" si="113"/>
        <v>0</v>
      </c>
      <c r="N1829" s="4">
        <f t="shared" si="114"/>
        <v>2024</v>
      </c>
      <c r="O1829" s="4">
        <f t="shared" si="115"/>
        <v>3</v>
      </c>
    </row>
    <row r="1830" spans="1:15" x14ac:dyDescent="0.25">
      <c r="A1830" t="s">
        <v>3699</v>
      </c>
      <c r="B1830" s="2">
        <v>45247</v>
      </c>
      <c r="C1830" t="s">
        <v>30</v>
      </c>
      <c r="D1830" t="s">
        <v>31</v>
      </c>
      <c r="E1830">
        <v>710.38</v>
      </c>
      <c r="F1830">
        <v>0</v>
      </c>
      <c r="G1830" t="s">
        <v>11</v>
      </c>
      <c r="H1830" t="s">
        <v>62</v>
      </c>
      <c r="I1830" t="s">
        <v>3700</v>
      </c>
      <c r="J1830" t="s">
        <v>36</v>
      </c>
      <c r="K1830" s="4">
        <f>VLOOKUP(J1830,Exchange_Rates!A:B,2,FALSE)</f>
        <v>1.08</v>
      </c>
      <c r="L1830" s="4">
        <f t="shared" si="112"/>
        <v>767.21040000000005</v>
      </c>
      <c r="M1830" s="4">
        <f t="shared" si="113"/>
        <v>0</v>
      </c>
      <c r="N1830" s="4">
        <f t="shared" si="114"/>
        <v>2023</v>
      </c>
      <c r="O1830" s="4">
        <f t="shared" si="115"/>
        <v>4</v>
      </c>
    </row>
    <row r="1831" spans="1:15" x14ac:dyDescent="0.25">
      <c r="A1831" t="s">
        <v>3701</v>
      </c>
      <c r="B1831" s="2">
        <v>45717</v>
      </c>
      <c r="C1831" t="s">
        <v>60</v>
      </c>
      <c r="D1831" t="s">
        <v>61</v>
      </c>
      <c r="E1831">
        <v>0</v>
      </c>
      <c r="F1831">
        <v>4569.3500000000004</v>
      </c>
      <c r="G1831" t="s">
        <v>11</v>
      </c>
      <c r="H1831" t="s">
        <v>51</v>
      </c>
      <c r="I1831" t="s">
        <v>3702</v>
      </c>
      <c r="J1831" t="s">
        <v>36</v>
      </c>
      <c r="K1831" s="4">
        <f>VLOOKUP(J1831,Exchange_Rates!A:B,2,FALSE)</f>
        <v>1.08</v>
      </c>
      <c r="L1831" s="4">
        <f t="shared" si="112"/>
        <v>0</v>
      </c>
      <c r="M1831" s="4">
        <f t="shared" si="113"/>
        <v>4934.898000000001</v>
      </c>
      <c r="N1831" s="4">
        <f t="shared" si="114"/>
        <v>2025</v>
      </c>
      <c r="O1831" s="4">
        <f t="shared" si="115"/>
        <v>1</v>
      </c>
    </row>
    <row r="1832" spans="1:15" x14ac:dyDescent="0.25">
      <c r="A1832" t="s">
        <v>3703</v>
      </c>
      <c r="B1832" s="2">
        <v>45596</v>
      </c>
      <c r="C1832" t="s">
        <v>30</v>
      </c>
      <c r="D1832" t="s">
        <v>31</v>
      </c>
      <c r="E1832">
        <v>1247.49</v>
      </c>
      <c r="F1832">
        <v>0</v>
      </c>
      <c r="G1832" t="s">
        <v>8</v>
      </c>
      <c r="H1832" t="s">
        <v>40</v>
      </c>
      <c r="I1832" t="s">
        <v>3704</v>
      </c>
      <c r="J1832" t="s">
        <v>42</v>
      </c>
      <c r="K1832" s="4">
        <f>VLOOKUP(J1832,Exchange_Rates!A:B,2,FALSE)</f>
        <v>0.66</v>
      </c>
      <c r="L1832" s="4">
        <f t="shared" si="112"/>
        <v>823.34340000000009</v>
      </c>
      <c r="M1832" s="4">
        <f t="shared" si="113"/>
        <v>0</v>
      </c>
      <c r="N1832" s="4">
        <f t="shared" si="114"/>
        <v>2024</v>
      </c>
      <c r="O1832" s="4">
        <f t="shared" si="115"/>
        <v>4</v>
      </c>
    </row>
    <row r="1833" spans="1:15" x14ac:dyDescent="0.25">
      <c r="A1833" t="s">
        <v>3705</v>
      </c>
      <c r="B1833" s="2">
        <v>45467</v>
      </c>
      <c r="C1833" t="s">
        <v>38</v>
      </c>
      <c r="D1833" t="s">
        <v>39</v>
      </c>
      <c r="E1833">
        <v>153.35</v>
      </c>
      <c r="F1833">
        <v>0</v>
      </c>
      <c r="G1833" t="s">
        <v>8</v>
      </c>
      <c r="H1833" t="s">
        <v>40</v>
      </c>
      <c r="I1833" t="s">
        <v>3706</v>
      </c>
      <c r="J1833" t="s">
        <v>64</v>
      </c>
      <c r="K1833" s="4">
        <f>VLOOKUP(J1833,Exchange_Rates!A:B,2,FALSE)</f>
        <v>0.73</v>
      </c>
      <c r="L1833" s="4">
        <f t="shared" si="112"/>
        <v>111.9455</v>
      </c>
      <c r="M1833" s="4">
        <f t="shared" si="113"/>
        <v>0</v>
      </c>
      <c r="N1833" s="4">
        <f t="shared" si="114"/>
        <v>2024</v>
      </c>
      <c r="O1833" s="4">
        <f t="shared" si="115"/>
        <v>2</v>
      </c>
    </row>
    <row r="1834" spans="1:15" x14ac:dyDescent="0.25">
      <c r="A1834" t="s">
        <v>3707</v>
      </c>
      <c r="B1834" s="2">
        <v>45711</v>
      </c>
      <c r="C1834" t="s">
        <v>60</v>
      </c>
      <c r="D1834" t="s">
        <v>61</v>
      </c>
      <c r="E1834">
        <v>0</v>
      </c>
      <c r="F1834">
        <v>432.36</v>
      </c>
      <c r="G1834" t="s">
        <v>11</v>
      </c>
      <c r="H1834" t="s">
        <v>40</v>
      </c>
      <c r="I1834" t="s">
        <v>3708</v>
      </c>
      <c r="J1834" t="s">
        <v>42</v>
      </c>
      <c r="K1834" s="4">
        <f>VLOOKUP(J1834,Exchange_Rates!A:B,2,FALSE)</f>
        <v>0.66</v>
      </c>
      <c r="L1834" s="4">
        <f t="shared" si="112"/>
        <v>0</v>
      </c>
      <c r="M1834" s="4">
        <f t="shared" si="113"/>
        <v>285.35760000000005</v>
      </c>
      <c r="N1834" s="4">
        <f t="shared" si="114"/>
        <v>2025</v>
      </c>
      <c r="O1834" s="4">
        <f t="shared" si="115"/>
        <v>1</v>
      </c>
    </row>
    <row r="1835" spans="1:15" x14ac:dyDescent="0.25">
      <c r="A1835" t="s">
        <v>3709</v>
      </c>
      <c r="B1835" s="2">
        <v>45712</v>
      </c>
      <c r="C1835" t="s">
        <v>49</v>
      </c>
      <c r="D1835" t="s">
        <v>50</v>
      </c>
      <c r="E1835">
        <v>283.95999999999998</v>
      </c>
      <c r="F1835">
        <v>0</v>
      </c>
      <c r="G1835" t="s">
        <v>9</v>
      </c>
      <c r="H1835" t="s">
        <v>26</v>
      </c>
      <c r="I1835" t="s">
        <v>3710</v>
      </c>
      <c r="J1835" t="s">
        <v>45</v>
      </c>
      <c r="K1835" s="4">
        <f>VLOOKUP(J1835,Exchange_Rates!A:B,2,FALSE)</f>
        <v>1</v>
      </c>
      <c r="L1835" s="4">
        <f t="shared" si="112"/>
        <v>283.95999999999998</v>
      </c>
      <c r="M1835" s="4">
        <f t="shared" si="113"/>
        <v>0</v>
      </c>
      <c r="N1835" s="4">
        <f t="shared" si="114"/>
        <v>2025</v>
      </c>
      <c r="O1835" s="4">
        <f t="shared" si="115"/>
        <v>1</v>
      </c>
    </row>
    <row r="1836" spans="1:15" x14ac:dyDescent="0.25">
      <c r="A1836" t="s">
        <v>3711</v>
      </c>
      <c r="B1836" s="2">
        <v>44966</v>
      </c>
      <c r="C1836" t="s">
        <v>30</v>
      </c>
      <c r="D1836" t="s">
        <v>31</v>
      </c>
      <c r="E1836">
        <v>1915.58</v>
      </c>
      <c r="F1836">
        <v>0</v>
      </c>
      <c r="G1836" t="s">
        <v>8</v>
      </c>
      <c r="H1836" t="s">
        <v>62</v>
      </c>
      <c r="I1836" t="s">
        <v>3712</v>
      </c>
      <c r="J1836" t="s">
        <v>45</v>
      </c>
      <c r="K1836" s="4">
        <f>VLOOKUP(J1836,Exchange_Rates!A:B,2,FALSE)</f>
        <v>1</v>
      </c>
      <c r="L1836" s="4">
        <f t="shared" si="112"/>
        <v>1915.58</v>
      </c>
      <c r="M1836" s="4">
        <f t="shared" si="113"/>
        <v>0</v>
      </c>
      <c r="N1836" s="4">
        <f t="shared" si="114"/>
        <v>2023</v>
      </c>
      <c r="O1836" s="4">
        <f t="shared" si="115"/>
        <v>1</v>
      </c>
    </row>
    <row r="1837" spans="1:15" x14ac:dyDescent="0.25">
      <c r="A1837" t="s">
        <v>3713</v>
      </c>
      <c r="B1837" s="2">
        <v>45025</v>
      </c>
      <c r="C1837" t="s">
        <v>30</v>
      </c>
      <c r="D1837" t="s">
        <v>31</v>
      </c>
      <c r="E1837">
        <v>229.78</v>
      </c>
      <c r="F1837">
        <v>0</v>
      </c>
      <c r="G1837" t="s">
        <v>12</v>
      </c>
      <c r="H1837" t="s">
        <v>51</v>
      </c>
      <c r="I1837" t="s">
        <v>3714</v>
      </c>
      <c r="J1837" t="s">
        <v>28</v>
      </c>
      <c r="K1837" s="4">
        <f>VLOOKUP(J1837,Exchange_Rates!A:B,2,FALSE)</f>
        <v>1.27</v>
      </c>
      <c r="L1837" s="4">
        <f t="shared" si="112"/>
        <v>291.82060000000001</v>
      </c>
      <c r="M1837" s="4">
        <f t="shared" si="113"/>
        <v>0</v>
      </c>
      <c r="N1837" s="4">
        <f t="shared" si="114"/>
        <v>2023</v>
      </c>
      <c r="O1837" s="4">
        <f t="shared" si="115"/>
        <v>2</v>
      </c>
    </row>
    <row r="1838" spans="1:15" x14ac:dyDescent="0.25">
      <c r="A1838" t="s">
        <v>3715</v>
      </c>
      <c r="B1838" s="2">
        <v>45651</v>
      </c>
      <c r="C1838" t="s">
        <v>38</v>
      </c>
      <c r="D1838" t="s">
        <v>39</v>
      </c>
      <c r="E1838">
        <v>1583.41</v>
      </c>
      <c r="F1838">
        <v>0</v>
      </c>
      <c r="G1838" t="s">
        <v>9</v>
      </c>
      <c r="H1838" t="s">
        <v>26</v>
      </c>
      <c r="I1838" t="s">
        <v>3716</v>
      </c>
      <c r="J1838" t="s">
        <v>36</v>
      </c>
      <c r="K1838" s="4">
        <f>VLOOKUP(J1838,Exchange_Rates!A:B,2,FALSE)</f>
        <v>1.08</v>
      </c>
      <c r="L1838" s="4">
        <f t="shared" si="112"/>
        <v>1710.0828000000001</v>
      </c>
      <c r="M1838" s="4">
        <f t="shared" si="113"/>
        <v>0</v>
      </c>
      <c r="N1838" s="4">
        <f t="shared" si="114"/>
        <v>2024</v>
      </c>
      <c r="O1838" s="4">
        <f t="shared" si="115"/>
        <v>4</v>
      </c>
    </row>
    <row r="1839" spans="1:15" x14ac:dyDescent="0.25">
      <c r="A1839" t="s">
        <v>3717</v>
      </c>
      <c r="B1839" s="2">
        <v>44978</v>
      </c>
      <c r="C1839" t="s">
        <v>60</v>
      </c>
      <c r="D1839" t="s">
        <v>61</v>
      </c>
      <c r="E1839">
        <v>0</v>
      </c>
      <c r="F1839">
        <v>4316.26</v>
      </c>
      <c r="G1839" t="s">
        <v>9</v>
      </c>
      <c r="H1839" t="s">
        <v>62</v>
      </c>
      <c r="I1839" t="s">
        <v>3718</v>
      </c>
      <c r="J1839" t="s">
        <v>28</v>
      </c>
      <c r="K1839" s="4">
        <f>VLOOKUP(J1839,Exchange_Rates!A:B,2,FALSE)</f>
        <v>1.27</v>
      </c>
      <c r="L1839" s="4">
        <f t="shared" si="112"/>
        <v>0</v>
      </c>
      <c r="M1839" s="4">
        <f t="shared" si="113"/>
        <v>5481.6502</v>
      </c>
      <c r="N1839" s="4">
        <f t="shared" si="114"/>
        <v>2023</v>
      </c>
      <c r="O1839" s="4">
        <f t="shared" si="115"/>
        <v>1</v>
      </c>
    </row>
    <row r="1840" spans="1:15" x14ac:dyDescent="0.25">
      <c r="A1840" t="s">
        <v>3719</v>
      </c>
      <c r="B1840" s="2">
        <v>45460</v>
      </c>
      <c r="C1840" t="s">
        <v>24</v>
      </c>
      <c r="D1840" t="s">
        <v>25</v>
      </c>
      <c r="E1840">
        <v>0</v>
      </c>
      <c r="F1840">
        <v>887.28</v>
      </c>
      <c r="G1840" t="s">
        <v>11</v>
      </c>
      <c r="H1840" t="s">
        <v>51</v>
      </c>
      <c r="I1840" t="s">
        <v>3720</v>
      </c>
      <c r="J1840" t="s">
        <v>36</v>
      </c>
      <c r="K1840" s="4">
        <f>VLOOKUP(J1840,Exchange_Rates!A:B,2,FALSE)</f>
        <v>1.08</v>
      </c>
      <c r="L1840" s="4">
        <f t="shared" si="112"/>
        <v>0</v>
      </c>
      <c r="M1840" s="4">
        <f t="shared" si="113"/>
        <v>958.26240000000007</v>
      </c>
      <c r="N1840" s="4">
        <f t="shared" si="114"/>
        <v>2024</v>
      </c>
      <c r="O1840" s="4">
        <f t="shared" si="115"/>
        <v>2</v>
      </c>
    </row>
    <row r="1841" spans="1:15" x14ac:dyDescent="0.25">
      <c r="A1841" t="s">
        <v>3721</v>
      </c>
      <c r="B1841" s="2">
        <v>45831</v>
      </c>
      <c r="C1841" t="s">
        <v>60</v>
      </c>
      <c r="D1841" t="s">
        <v>61</v>
      </c>
      <c r="E1841">
        <v>0</v>
      </c>
      <c r="F1841">
        <v>1446.64</v>
      </c>
      <c r="G1841" t="s">
        <v>9</v>
      </c>
      <c r="H1841" t="s">
        <v>40</v>
      </c>
      <c r="I1841" t="s">
        <v>3722</v>
      </c>
      <c r="J1841" t="s">
        <v>36</v>
      </c>
      <c r="K1841" s="4">
        <f>VLOOKUP(J1841,Exchange_Rates!A:B,2,FALSE)</f>
        <v>1.08</v>
      </c>
      <c r="L1841" s="4">
        <f t="shared" si="112"/>
        <v>0</v>
      </c>
      <c r="M1841" s="4">
        <f t="shared" si="113"/>
        <v>1562.3712000000003</v>
      </c>
      <c r="N1841" s="4">
        <f t="shared" si="114"/>
        <v>2025</v>
      </c>
      <c r="O1841" s="4">
        <f t="shared" si="115"/>
        <v>2</v>
      </c>
    </row>
    <row r="1842" spans="1:15" x14ac:dyDescent="0.25">
      <c r="A1842" t="s">
        <v>3723</v>
      </c>
      <c r="B1842" s="2">
        <v>45615</v>
      </c>
      <c r="C1842" t="s">
        <v>49</v>
      </c>
      <c r="D1842" t="s">
        <v>50</v>
      </c>
      <c r="E1842">
        <v>794.56</v>
      </c>
      <c r="F1842">
        <v>0</v>
      </c>
      <c r="G1842" t="s">
        <v>13</v>
      </c>
      <c r="H1842" t="s">
        <v>62</v>
      </c>
      <c r="I1842" t="s">
        <v>3724</v>
      </c>
      <c r="J1842" t="s">
        <v>45</v>
      </c>
      <c r="K1842" s="4">
        <f>VLOOKUP(J1842,Exchange_Rates!A:B,2,FALSE)</f>
        <v>1</v>
      </c>
      <c r="L1842" s="4">
        <f t="shared" si="112"/>
        <v>794.56</v>
      </c>
      <c r="M1842" s="4">
        <f t="shared" si="113"/>
        <v>0</v>
      </c>
      <c r="N1842" s="4">
        <f t="shared" si="114"/>
        <v>2024</v>
      </c>
      <c r="O1842" s="4">
        <f t="shared" si="115"/>
        <v>4</v>
      </c>
    </row>
    <row r="1843" spans="1:15" x14ac:dyDescent="0.25">
      <c r="A1843" t="s">
        <v>3725</v>
      </c>
      <c r="B1843" s="2">
        <v>44993</v>
      </c>
      <c r="C1843" t="s">
        <v>24</v>
      </c>
      <c r="D1843" t="s">
        <v>25</v>
      </c>
      <c r="E1843">
        <v>0</v>
      </c>
      <c r="F1843">
        <v>1094.51</v>
      </c>
      <c r="G1843" t="s">
        <v>9</v>
      </c>
      <c r="H1843" t="s">
        <v>40</v>
      </c>
      <c r="I1843" t="s">
        <v>3726</v>
      </c>
      <c r="J1843" t="s">
        <v>45</v>
      </c>
      <c r="K1843" s="4">
        <f>VLOOKUP(J1843,Exchange_Rates!A:B,2,FALSE)</f>
        <v>1</v>
      </c>
      <c r="L1843" s="4">
        <f t="shared" si="112"/>
        <v>0</v>
      </c>
      <c r="M1843" s="4">
        <f t="shared" si="113"/>
        <v>1094.51</v>
      </c>
      <c r="N1843" s="4">
        <f t="shared" si="114"/>
        <v>2023</v>
      </c>
      <c r="O1843" s="4">
        <f t="shared" si="115"/>
        <v>1</v>
      </c>
    </row>
    <row r="1844" spans="1:15" x14ac:dyDescent="0.25">
      <c r="A1844" t="s">
        <v>3727</v>
      </c>
      <c r="B1844" s="2">
        <v>45421</v>
      </c>
      <c r="C1844" t="s">
        <v>60</v>
      </c>
      <c r="D1844" t="s">
        <v>61</v>
      </c>
      <c r="E1844">
        <v>0</v>
      </c>
      <c r="F1844">
        <v>1492.82</v>
      </c>
      <c r="G1844" t="s">
        <v>10</v>
      </c>
      <c r="H1844" t="s">
        <v>51</v>
      </c>
      <c r="I1844" t="s">
        <v>3728</v>
      </c>
      <c r="J1844" t="s">
        <v>45</v>
      </c>
      <c r="K1844" s="4">
        <f>VLOOKUP(J1844,Exchange_Rates!A:B,2,FALSE)</f>
        <v>1</v>
      </c>
      <c r="L1844" s="4">
        <f t="shared" si="112"/>
        <v>0</v>
      </c>
      <c r="M1844" s="4">
        <f t="shared" si="113"/>
        <v>1492.82</v>
      </c>
      <c r="N1844" s="4">
        <f t="shared" si="114"/>
        <v>2024</v>
      </c>
      <c r="O1844" s="4">
        <f t="shared" si="115"/>
        <v>2</v>
      </c>
    </row>
    <row r="1845" spans="1:15" x14ac:dyDescent="0.25">
      <c r="A1845" t="s">
        <v>3729</v>
      </c>
      <c r="B1845" s="2">
        <v>45660</v>
      </c>
      <c r="C1845" t="s">
        <v>24</v>
      </c>
      <c r="D1845" t="s">
        <v>25</v>
      </c>
      <c r="E1845">
        <v>0</v>
      </c>
      <c r="F1845">
        <v>1521.98</v>
      </c>
      <c r="G1845" t="s">
        <v>12</v>
      </c>
      <c r="H1845" t="s">
        <v>40</v>
      </c>
      <c r="I1845" t="s">
        <v>3730</v>
      </c>
      <c r="J1845" t="s">
        <v>28</v>
      </c>
      <c r="K1845" s="4">
        <f>VLOOKUP(J1845,Exchange_Rates!A:B,2,FALSE)</f>
        <v>1.27</v>
      </c>
      <c r="L1845" s="4">
        <f t="shared" si="112"/>
        <v>0</v>
      </c>
      <c r="M1845" s="4">
        <f t="shared" si="113"/>
        <v>1932.9146000000001</v>
      </c>
      <c r="N1845" s="4">
        <f t="shared" si="114"/>
        <v>2025</v>
      </c>
      <c r="O1845" s="4">
        <f t="shared" si="115"/>
        <v>1</v>
      </c>
    </row>
    <row r="1846" spans="1:15" x14ac:dyDescent="0.25">
      <c r="A1846" t="s">
        <v>3731</v>
      </c>
      <c r="B1846" s="2">
        <v>45527</v>
      </c>
      <c r="C1846" t="s">
        <v>49</v>
      </c>
      <c r="D1846" t="s">
        <v>50</v>
      </c>
      <c r="E1846">
        <v>597.86</v>
      </c>
      <c r="F1846">
        <v>0</v>
      </c>
      <c r="G1846" t="s">
        <v>12</v>
      </c>
      <c r="H1846" t="s">
        <v>62</v>
      </c>
      <c r="I1846" t="s">
        <v>3732</v>
      </c>
      <c r="J1846" t="s">
        <v>36</v>
      </c>
      <c r="K1846" s="4">
        <f>VLOOKUP(J1846,Exchange_Rates!A:B,2,FALSE)</f>
        <v>1.08</v>
      </c>
      <c r="L1846" s="4">
        <f t="shared" si="112"/>
        <v>645.68880000000001</v>
      </c>
      <c r="M1846" s="4">
        <f t="shared" si="113"/>
        <v>0</v>
      </c>
      <c r="N1846" s="4">
        <f t="shared" si="114"/>
        <v>2024</v>
      </c>
      <c r="O1846" s="4">
        <f t="shared" si="115"/>
        <v>3</v>
      </c>
    </row>
    <row r="1847" spans="1:15" x14ac:dyDescent="0.25">
      <c r="A1847" t="s">
        <v>3733</v>
      </c>
      <c r="B1847" s="2">
        <v>45312</v>
      </c>
      <c r="C1847" t="s">
        <v>38</v>
      </c>
      <c r="D1847" t="s">
        <v>39</v>
      </c>
      <c r="E1847">
        <v>106.18</v>
      </c>
      <c r="F1847">
        <v>0</v>
      </c>
      <c r="G1847" t="s">
        <v>12</v>
      </c>
      <c r="H1847" t="s">
        <v>51</v>
      </c>
      <c r="I1847" t="s">
        <v>3734</v>
      </c>
      <c r="J1847" t="s">
        <v>45</v>
      </c>
      <c r="K1847" s="4">
        <f>VLOOKUP(J1847,Exchange_Rates!A:B,2,FALSE)</f>
        <v>1</v>
      </c>
      <c r="L1847" s="4">
        <f t="shared" si="112"/>
        <v>106.18</v>
      </c>
      <c r="M1847" s="4">
        <f t="shared" si="113"/>
        <v>0</v>
      </c>
      <c r="N1847" s="4">
        <f t="shared" si="114"/>
        <v>2024</v>
      </c>
      <c r="O1847" s="4">
        <f t="shared" si="115"/>
        <v>1</v>
      </c>
    </row>
    <row r="1848" spans="1:15" x14ac:dyDescent="0.25">
      <c r="A1848" t="s">
        <v>3735</v>
      </c>
      <c r="B1848" s="2">
        <v>45118</v>
      </c>
      <c r="C1848" t="s">
        <v>49</v>
      </c>
      <c r="D1848" t="s">
        <v>50</v>
      </c>
      <c r="E1848">
        <v>446.48</v>
      </c>
      <c r="F1848">
        <v>0</v>
      </c>
      <c r="G1848" t="s">
        <v>11</v>
      </c>
      <c r="H1848" t="s">
        <v>51</v>
      </c>
      <c r="I1848" t="s">
        <v>3736</v>
      </c>
      <c r="J1848" t="s">
        <v>28</v>
      </c>
      <c r="K1848" s="4">
        <f>VLOOKUP(J1848,Exchange_Rates!A:B,2,FALSE)</f>
        <v>1.27</v>
      </c>
      <c r="L1848" s="4">
        <f t="shared" si="112"/>
        <v>567.02960000000007</v>
      </c>
      <c r="M1848" s="4">
        <f t="shared" si="113"/>
        <v>0</v>
      </c>
      <c r="N1848" s="4">
        <f t="shared" si="114"/>
        <v>2023</v>
      </c>
      <c r="O1848" s="4">
        <f t="shared" si="115"/>
        <v>3</v>
      </c>
    </row>
    <row r="1849" spans="1:15" x14ac:dyDescent="0.25">
      <c r="A1849" t="s">
        <v>3737</v>
      </c>
      <c r="B1849" s="2">
        <v>45645</v>
      </c>
      <c r="C1849" t="s">
        <v>38</v>
      </c>
      <c r="D1849" t="s">
        <v>39</v>
      </c>
      <c r="E1849">
        <v>405.28</v>
      </c>
      <c r="F1849">
        <v>0</v>
      </c>
      <c r="G1849" t="s">
        <v>9</v>
      </c>
      <c r="H1849" t="s">
        <v>40</v>
      </c>
      <c r="I1849" t="s">
        <v>3738</v>
      </c>
      <c r="J1849" t="s">
        <v>28</v>
      </c>
      <c r="K1849" s="4">
        <f>VLOOKUP(J1849,Exchange_Rates!A:B,2,FALSE)</f>
        <v>1.27</v>
      </c>
      <c r="L1849" s="4">
        <f t="shared" si="112"/>
        <v>514.7056</v>
      </c>
      <c r="M1849" s="4">
        <f t="shared" si="113"/>
        <v>0</v>
      </c>
      <c r="N1849" s="4">
        <f t="shared" si="114"/>
        <v>2024</v>
      </c>
      <c r="O1849" s="4">
        <f t="shared" si="115"/>
        <v>4</v>
      </c>
    </row>
    <row r="1850" spans="1:15" x14ac:dyDescent="0.25">
      <c r="A1850" t="s">
        <v>3739</v>
      </c>
      <c r="B1850" s="2">
        <v>45120</v>
      </c>
      <c r="C1850" t="s">
        <v>30</v>
      </c>
      <c r="D1850" t="s">
        <v>31</v>
      </c>
      <c r="E1850">
        <v>1418.69</v>
      </c>
      <c r="F1850">
        <v>0</v>
      </c>
      <c r="G1850" t="s">
        <v>9</v>
      </c>
      <c r="H1850" t="s">
        <v>34</v>
      </c>
      <c r="I1850" t="s">
        <v>3740</v>
      </c>
      <c r="J1850" t="s">
        <v>45</v>
      </c>
      <c r="K1850" s="4">
        <f>VLOOKUP(J1850,Exchange_Rates!A:B,2,FALSE)</f>
        <v>1</v>
      </c>
      <c r="L1850" s="4">
        <f t="shared" si="112"/>
        <v>1418.69</v>
      </c>
      <c r="M1850" s="4">
        <f t="shared" si="113"/>
        <v>0</v>
      </c>
      <c r="N1850" s="4">
        <f t="shared" si="114"/>
        <v>2023</v>
      </c>
      <c r="O1850" s="4">
        <f t="shared" si="115"/>
        <v>3</v>
      </c>
    </row>
    <row r="1851" spans="1:15" x14ac:dyDescent="0.25">
      <c r="A1851" t="s">
        <v>3741</v>
      </c>
      <c r="B1851" s="2">
        <v>45714</v>
      </c>
      <c r="C1851" t="s">
        <v>38</v>
      </c>
      <c r="D1851" t="s">
        <v>39</v>
      </c>
      <c r="E1851">
        <v>622.67999999999995</v>
      </c>
      <c r="F1851">
        <v>0</v>
      </c>
      <c r="G1851" t="s">
        <v>9</v>
      </c>
      <c r="H1851" t="s">
        <v>51</v>
      </c>
      <c r="I1851" t="s">
        <v>3742</v>
      </c>
      <c r="J1851" t="s">
        <v>45</v>
      </c>
      <c r="K1851" s="4">
        <f>VLOOKUP(J1851,Exchange_Rates!A:B,2,FALSE)</f>
        <v>1</v>
      </c>
      <c r="L1851" s="4">
        <f t="shared" si="112"/>
        <v>622.67999999999995</v>
      </c>
      <c r="M1851" s="4">
        <f t="shared" si="113"/>
        <v>0</v>
      </c>
      <c r="N1851" s="4">
        <f t="shared" si="114"/>
        <v>2025</v>
      </c>
      <c r="O1851" s="4">
        <f t="shared" si="115"/>
        <v>1</v>
      </c>
    </row>
    <row r="1852" spans="1:15" x14ac:dyDescent="0.25">
      <c r="A1852" t="s">
        <v>3743</v>
      </c>
      <c r="B1852" s="2">
        <v>45536</v>
      </c>
      <c r="C1852" t="s">
        <v>38</v>
      </c>
      <c r="D1852" t="s">
        <v>39</v>
      </c>
      <c r="E1852">
        <v>568.46</v>
      </c>
      <c r="F1852">
        <v>0</v>
      </c>
      <c r="G1852" t="s">
        <v>9</v>
      </c>
      <c r="H1852" t="s">
        <v>26</v>
      </c>
      <c r="I1852" t="s">
        <v>3744</v>
      </c>
      <c r="J1852" t="s">
        <v>42</v>
      </c>
      <c r="K1852" s="4">
        <f>VLOOKUP(J1852,Exchange_Rates!A:B,2,FALSE)</f>
        <v>0.66</v>
      </c>
      <c r="L1852" s="4">
        <f t="shared" si="112"/>
        <v>375.18360000000007</v>
      </c>
      <c r="M1852" s="4">
        <f t="shared" si="113"/>
        <v>0</v>
      </c>
      <c r="N1852" s="4">
        <f t="shared" si="114"/>
        <v>2024</v>
      </c>
      <c r="O1852" s="4">
        <f t="shared" si="115"/>
        <v>3</v>
      </c>
    </row>
    <row r="1853" spans="1:15" x14ac:dyDescent="0.25">
      <c r="A1853" t="s">
        <v>3745</v>
      </c>
      <c r="B1853" s="2">
        <v>45151</v>
      </c>
      <c r="C1853" t="s">
        <v>30</v>
      </c>
      <c r="D1853" t="s">
        <v>31</v>
      </c>
      <c r="E1853">
        <v>544.71</v>
      </c>
      <c r="F1853">
        <v>0</v>
      </c>
      <c r="G1853" t="s">
        <v>13</v>
      </c>
      <c r="H1853" t="s">
        <v>62</v>
      </c>
      <c r="I1853" t="s">
        <v>3746</v>
      </c>
      <c r="J1853" t="s">
        <v>64</v>
      </c>
      <c r="K1853" s="4">
        <f>VLOOKUP(J1853,Exchange_Rates!A:B,2,FALSE)</f>
        <v>0.73</v>
      </c>
      <c r="L1853" s="4">
        <f t="shared" si="112"/>
        <v>397.63830000000002</v>
      </c>
      <c r="M1853" s="4">
        <f t="shared" si="113"/>
        <v>0</v>
      </c>
      <c r="N1853" s="4">
        <f t="shared" si="114"/>
        <v>2023</v>
      </c>
      <c r="O1853" s="4">
        <f t="shared" si="115"/>
        <v>3</v>
      </c>
    </row>
    <row r="1854" spans="1:15" x14ac:dyDescent="0.25">
      <c r="A1854" t="s">
        <v>3747</v>
      </c>
      <c r="B1854" s="2">
        <v>44945</v>
      </c>
      <c r="C1854" t="s">
        <v>30</v>
      </c>
      <c r="D1854" t="s">
        <v>31</v>
      </c>
      <c r="E1854">
        <v>1849.24</v>
      </c>
      <c r="F1854">
        <v>0</v>
      </c>
      <c r="G1854" t="s">
        <v>12</v>
      </c>
      <c r="H1854" t="s">
        <v>40</v>
      </c>
      <c r="I1854" t="s">
        <v>3748</v>
      </c>
      <c r="J1854" t="s">
        <v>45</v>
      </c>
      <c r="K1854" s="4">
        <f>VLOOKUP(J1854,Exchange_Rates!A:B,2,FALSE)</f>
        <v>1</v>
      </c>
      <c r="L1854" s="4">
        <f t="shared" si="112"/>
        <v>1849.24</v>
      </c>
      <c r="M1854" s="4">
        <f t="shared" si="113"/>
        <v>0</v>
      </c>
      <c r="N1854" s="4">
        <f t="shared" si="114"/>
        <v>2023</v>
      </c>
      <c r="O1854" s="4">
        <f t="shared" si="115"/>
        <v>1</v>
      </c>
    </row>
    <row r="1855" spans="1:15" x14ac:dyDescent="0.25">
      <c r="A1855" t="s">
        <v>3749</v>
      </c>
      <c r="B1855" s="2">
        <v>45533</v>
      </c>
      <c r="C1855" t="s">
        <v>38</v>
      </c>
      <c r="D1855" t="s">
        <v>39</v>
      </c>
      <c r="E1855">
        <v>499.11</v>
      </c>
      <c r="F1855">
        <v>0</v>
      </c>
      <c r="G1855" t="s">
        <v>11</v>
      </c>
      <c r="H1855" t="s">
        <v>62</v>
      </c>
      <c r="I1855" t="s">
        <v>3750</v>
      </c>
      <c r="J1855" t="s">
        <v>64</v>
      </c>
      <c r="K1855" s="4">
        <f>VLOOKUP(J1855,Exchange_Rates!A:B,2,FALSE)</f>
        <v>0.73</v>
      </c>
      <c r="L1855" s="4">
        <f t="shared" si="112"/>
        <v>364.3503</v>
      </c>
      <c r="M1855" s="4">
        <f t="shared" si="113"/>
        <v>0</v>
      </c>
      <c r="N1855" s="4">
        <f t="shared" si="114"/>
        <v>2024</v>
      </c>
      <c r="O1855" s="4">
        <f t="shared" si="115"/>
        <v>3</v>
      </c>
    </row>
    <row r="1856" spans="1:15" x14ac:dyDescent="0.25">
      <c r="A1856" t="s">
        <v>3751</v>
      </c>
      <c r="B1856" s="2">
        <v>45440</v>
      </c>
      <c r="C1856" t="s">
        <v>38</v>
      </c>
      <c r="D1856" t="s">
        <v>39</v>
      </c>
      <c r="E1856">
        <v>288.41000000000003</v>
      </c>
      <c r="F1856">
        <v>0</v>
      </c>
      <c r="G1856" t="s">
        <v>12</v>
      </c>
      <c r="H1856" t="s">
        <v>26</v>
      </c>
      <c r="I1856" t="s">
        <v>3752</v>
      </c>
      <c r="J1856" t="s">
        <v>28</v>
      </c>
      <c r="K1856" s="4">
        <f>VLOOKUP(J1856,Exchange_Rates!A:B,2,FALSE)</f>
        <v>1.27</v>
      </c>
      <c r="L1856" s="4">
        <f t="shared" si="112"/>
        <v>366.28070000000002</v>
      </c>
      <c r="M1856" s="4">
        <f t="shared" si="113"/>
        <v>0</v>
      </c>
      <c r="N1856" s="4">
        <f t="shared" si="114"/>
        <v>2024</v>
      </c>
      <c r="O1856" s="4">
        <f t="shared" si="115"/>
        <v>2</v>
      </c>
    </row>
    <row r="1857" spans="1:15" x14ac:dyDescent="0.25">
      <c r="A1857" t="s">
        <v>3753</v>
      </c>
      <c r="B1857" s="2">
        <v>45033</v>
      </c>
      <c r="C1857" t="s">
        <v>60</v>
      </c>
      <c r="D1857" t="s">
        <v>61</v>
      </c>
      <c r="E1857">
        <v>0</v>
      </c>
      <c r="F1857">
        <v>4589.42</v>
      </c>
      <c r="G1857" t="s">
        <v>11</v>
      </c>
      <c r="H1857" t="s">
        <v>40</v>
      </c>
      <c r="I1857" t="s">
        <v>3754</v>
      </c>
      <c r="J1857" t="s">
        <v>36</v>
      </c>
      <c r="K1857" s="4">
        <f>VLOOKUP(J1857,Exchange_Rates!A:B,2,FALSE)</f>
        <v>1.08</v>
      </c>
      <c r="L1857" s="4">
        <f t="shared" si="112"/>
        <v>0</v>
      </c>
      <c r="M1857" s="4">
        <f t="shared" si="113"/>
        <v>4956.5736000000006</v>
      </c>
      <c r="N1857" s="4">
        <f t="shared" si="114"/>
        <v>2023</v>
      </c>
      <c r="O1857" s="4">
        <f t="shared" si="115"/>
        <v>2</v>
      </c>
    </row>
    <row r="1858" spans="1:15" x14ac:dyDescent="0.25">
      <c r="A1858" t="s">
        <v>3755</v>
      </c>
      <c r="B1858" s="2">
        <v>45613</v>
      </c>
      <c r="C1858" t="s">
        <v>60</v>
      </c>
      <c r="D1858" t="s">
        <v>61</v>
      </c>
      <c r="E1858">
        <v>0</v>
      </c>
      <c r="F1858">
        <v>4897.2299999999996</v>
      </c>
      <c r="G1858" t="s">
        <v>12</v>
      </c>
      <c r="H1858" t="s">
        <v>40</v>
      </c>
      <c r="I1858" t="s">
        <v>3756</v>
      </c>
      <c r="J1858" t="s">
        <v>64</v>
      </c>
      <c r="K1858" s="4">
        <f>VLOOKUP(J1858,Exchange_Rates!A:B,2,FALSE)</f>
        <v>0.73</v>
      </c>
      <c r="L1858" s="4">
        <f t="shared" si="112"/>
        <v>0</v>
      </c>
      <c r="M1858" s="4">
        <f t="shared" si="113"/>
        <v>3574.9778999999994</v>
      </c>
      <c r="N1858" s="4">
        <f t="shared" si="114"/>
        <v>2024</v>
      </c>
      <c r="O1858" s="4">
        <f t="shared" si="115"/>
        <v>4</v>
      </c>
    </row>
    <row r="1859" spans="1:15" x14ac:dyDescent="0.25">
      <c r="A1859" t="s">
        <v>3757</v>
      </c>
      <c r="B1859" s="2">
        <v>45417</v>
      </c>
      <c r="C1859" t="s">
        <v>60</v>
      </c>
      <c r="D1859" t="s">
        <v>61</v>
      </c>
      <c r="E1859">
        <v>0</v>
      </c>
      <c r="F1859">
        <v>4365.5600000000004</v>
      </c>
      <c r="G1859" t="s">
        <v>13</v>
      </c>
      <c r="H1859" t="s">
        <v>34</v>
      </c>
      <c r="I1859" t="s">
        <v>3758</v>
      </c>
      <c r="J1859" t="s">
        <v>28</v>
      </c>
      <c r="K1859" s="4">
        <f>VLOOKUP(J1859,Exchange_Rates!A:B,2,FALSE)</f>
        <v>1.27</v>
      </c>
      <c r="L1859" s="4">
        <f t="shared" ref="L1859:L1922" si="116">E1859*K1859</f>
        <v>0</v>
      </c>
      <c r="M1859" s="4">
        <f t="shared" ref="M1859:M1922" si="117">F1859*K1859</f>
        <v>5544.2612000000008</v>
      </c>
      <c r="N1859" s="4">
        <f t="shared" ref="N1859:N1922" si="118">YEAR(B1859)</f>
        <v>2024</v>
      </c>
      <c r="O1859" s="4">
        <f t="shared" ref="O1859:O1922" si="119">ROUNDUP(MONTH(B1859)/3,0)</f>
        <v>2</v>
      </c>
    </row>
    <row r="1860" spans="1:15" x14ac:dyDescent="0.25">
      <c r="A1860" t="s">
        <v>3759</v>
      </c>
      <c r="B1860" s="2">
        <v>45663</v>
      </c>
      <c r="C1860" t="s">
        <v>49</v>
      </c>
      <c r="D1860" t="s">
        <v>50</v>
      </c>
      <c r="E1860">
        <v>1569.69</v>
      </c>
      <c r="F1860">
        <v>0</v>
      </c>
      <c r="G1860" t="s">
        <v>9</v>
      </c>
      <c r="H1860" t="s">
        <v>40</v>
      </c>
      <c r="I1860" t="s">
        <v>3760</v>
      </c>
      <c r="J1860" t="s">
        <v>45</v>
      </c>
      <c r="K1860" s="4">
        <f>VLOOKUP(J1860,Exchange_Rates!A:B,2,FALSE)</f>
        <v>1</v>
      </c>
      <c r="L1860" s="4">
        <f t="shared" si="116"/>
        <v>1569.69</v>
      </c>
      <c r="M1860" s="4">
        <f t="shared" si="117"/>
        <v>0</v>
      </c>
      <c r="N1860" s="4">
        <f t="shared" si="118"/>
        <v>2025</v>
      </c>
      <c r="O1860" s="4">
        <f t="shared" si="119"/>
        <v>1</v>
      </c>
    </row>
    <row r="1861" spans="1:15" x14ac:dyDescent="0.25">
      <c r="A1861" t="s">
        <v>3761</v>
      </c>
      <c r="B1861" s="2">
        <v>45827</v>
      </c>
      <c r="C1861" t="s">
        <v>38</v>
      </c>
      <c r="D1861" t="s">
        <v>39</v>
      </c>
      <c r="E1861">
        <v>1592.97</v>
      </c>
      <c r="F1861">
        <v>0</v>
      </c>
      <c r="G1861" t="s">
        <v>9</v>
      </c>
      <c r="H1861" t="s">
        <v>51</v>
      </c>
      <c r="I1861" t="s">
        <v>3762</v>
      </c>
      <c r="J1861" t="s">
        <v>28</v>
      </c>
      <c r="K1861" s="4">
        <f>VLOOKUP(J1861,Exchange_Rates!A:B,2,FALSE)</f>
        <v>1.27</v>
      </c>
      <c r="L1861" s="4">
        <f t="shared" si="116"/>
        <v>2023.0719000000001</v>
      </c>
      <c r="M1861" s="4">
        <f t="shared" si="117"/>
        <v>0</v>
      </c>
      <c r="N1861" s="4">
        <f t="shared" si="118"/>
        <v>2025</v>
      </c>
      <c r="O1861" s="4">
        <f t="shared" si="119"/>
        <v>2</v>
      </c>
    </row>
    <row r="1862" spans="1:15" x14ac:dyDescent="0.25">
      <c r="A1862" t="s">
        <v>3763</v>
      </c>
      <c r="B1862" s="2">
        <v>45270</v>
      </c>
      <c r="C1862" t="s">
        <v>60</v>
      </c>
      <c r="D1862" t="s">
        <v>61</v>
      </c>
      <c r="E1862">
        <v>0</v>
      </c>
      <c r="F1862">
        <v>871.59</v>
      </c>
      <c r="G1862" t="s">
        <v>8</v>
      </c>
      <c r="H1862" t="s">
        <v>51</v>
      </c>
      <c r="I1862" t="s">
        <v>3764</v>
      </c>
      <c r="J1862" t="s">
        <v>45</v>
      </c>
      <c r="K1862" s="4">
        <f>VLOOKUP(J1862,Exchange_Rates!A:B,2,FALSE)</f>
        <v>1</v>
      </c>
      <c r="L1862" s="4">
        <f t="shared" si="116"/>
        <v>0</v>
      </c>
      <c r="M1862" s="4">
        <f t="shared" si="117"/>
        <v>871.59</v>
      </c>
      <c r="N1862" s="4">
        <f t="shared" si="118"/>
        <v>2023</v>
      </c>
      <c r="O1862" s="4">
        <f t="shared" si="119"/>
        <v>4</v>
      </c>
    </row>
    <row r="1863" spans="1:15" x14ac:dyDescent="0.25">
      <c r="A1863" t="s">
        <v>3765</v>
      </c>
      <c r="B1863" s="2">
        <v>45022</v>
      </c>
      <c r="C1863" t="s">
        <v>30</v>
      </c>
      <c r="D1863" t="s">
        <v>31</v>
      </c>
      <c r="E1863">
        <v>585.89</v>
      </c>
      <c r="F1863">
        <v>0</v>
      </c>
      <c r="G1863" t="s">
        <v>9</v>
      </c>
      <c r="H1863" t="s">
        <v>34</v>
      </c>
      <c r="I1863" t="s">
        <v>3766</v>
      </c>
      <c r="J1863" t="s">
        <v>36</v>
      </c>
      <c r="K1863" s="4">
        <f>VLOOKUP(J1863,Exchange_Rates!A:B,2,FALSE)</f>
        <v>1.08</v>
      </c>
      <c r="L1863" s="4">
        <f t="shared" si="116"/>
        <v>632.76120000000003</v>
      </c>
      <c r="M1863" s="4">
        <f t="shared" si="117"/>
        <v>0</v>
      </c>
      <c r="N1863" s="4">
        <f t="shared" si="118"/>
        <v>2023</v>
      </c>
      <c r="O1863" s="4">
        <f t="shared" si="119"/>
        <v>2</v>
      </c>
    </row>
    <row r="1864" spans="1:15" x14ac:dyDescent="0.25">
      <c r="A1864" t="s">
        <v>3767</v>
      </c>
      <c r="B1864" s="2">
        <v>45075</v>
      </c>
      <c r="C1864" t="s">
        <v>30</v>
      </c>
      <c r="D1864" t="s">
        <v>31</v>
      </c>
      <c r="E1864">
        <v>1221.74</v>
      </c>
      <c r="F1864">
        <v>0</v>
      </c>
      <c r="G1864" t="s">
        <v>13</v>
      </c>
      <c r="H1864" t="s">
        <v>26</v>
      </c>
      <c r="I1864" t="s">
        <v>3768</v>
      </c>
      <c r="J1864" t="s">
        <v>36</v>
      </c>
      <c r="K1864" s="4">
        <f>VLOOKUP(J1864,Exchange_Rates!A:B,2,FALSE)</f>
        <v>1.08</v>
      </c>
      <c r="L1864" s="4">
        <f t="shared" si="116"/>
        <v>1319.4792</v>
      </c>
      <c r="M1864" s="4">
        <f t="shared" si="117"/>
        <v>0</v>
      </c>
      <c r="N1864" s="4">
        <f t="shared" si="118"/>
        <v>2023</v>
      </c>
      <c r="O1864" s="4">
        <f t="shared" si="119"/>
        <v>2</v>
      </c>
    </row>
    <row r="1865" spans="1:15" x14ac:dyDescent="0.25">
      <c r="A1865" t="s">
        <v>3769</v>
      </c>
      <c r="B1865" s="2">
        <v>45347</v>
      </c>
      <c r="C1865" t="s">
        <v>24</v>
      </c>
      <c r="D1865" t="s">
        <v>25</v>
      </c>
      <c r="E1865">
        <v>0</v>
      </c>
      <c r="F1865">
        <v>4982.43</v>
      </c>
      <c r="G1865" t="s">
        <v>12</v>
      </c>
      <c r="H1865" t="s">
        <v>34</v>
      </c>
      <c r="I1865" t="s">
        <v>3770</v>
      </c>
      <c r="J1865" t="s">
        <v>28</v>
      </c>
      <c r="K1865" s="4">
        <f>VLOOKUP(J1865,Exchange_Rates!A:B,2,FALSE)</f>
        <v>1.27</v>
      </c>
      <c r="L1865" s="4">
        <f t="shared" si="116"/>
        <v>0</v>
      </c>
      <c r="M1865" s="4">
        <f t="shared" si="117"/>
        <v>6327.6861000000008</v>
      </c>
      <c r="N1865" s="4">
        <f t="shared" si="118"/>
        <v>2024</v>
      </c>
      <c r="O1865" s="4">
        <f t="shared" si="119"/>
        <v>1</v>
      </c>
    </row>
    <row r="1866" spans="1:15" x14ac:dyDescent="0.25">
      <c r="A1866" t="s">
        <v>3771</v>
      </c>
      <c r="B1866" s="2">
        <v>45617</v>
      </c>
      <c r="C1866" t="s">
        <v>30</v>
      </c>
      <c r="D1866" t="s">
        <v>31</v>
      </c>
      <c r="E1866">
        <v>1723.01</v>
      </c>
      <c r="F1866">
        <v>0</v>
      </c>
      <c r="G1866" t="s">
        <v>10</v>
      </c>
      <c r="H1866" t="s">
        <v>62</v>
      </c>
      <c r="I1866" t="s">
        <v>3772</v>
      </c>
      <c r="J1866" t="s">
        <v>42</v>
      </c>
      <c r="K1866" s="4">
        <f>VLOOKUP(J1866,Exchange_Rates!A:B,2,FALSE)</f>
        <v>0.66</v>
      </c>
      <c r="L1866" s="4">
        <f t="shared" si="116"/>
        <v>1137.1866</v>
      </c>
      <c r="M1866" s="4">
        <f t="shared" si="117"/>
        <v>0</v>
      </c>
      <c r="N1866" s="4">
        <f t="shared" si="118"/>
        <v>2024</v>
      </c>
      <c r="O1866" s="4">
        <f t="shared" si="119"/>
        <v>4</v>
      </c>
    </row>
    <row r="1867" spans="1:15" x14ac:dyDescent="0.25">
      <c r="A1867" t="s">
        <v>3773</v>
      </c>
      <c r="B1867" s="2">
        <v>45636</v>
      </c>
      <c r="C1867" t="s">
        <v>49</v>
      </c>
      <c r="D1867" t="s">
        <v>50</v>
      </c>
      <c r="E1867">
        <v>1741.23</v>
      </c>
      <c r="F1867">
        <v>0</v>
      </c>
      <c r="G1867" t="s">
        <v>9</v>
      </c>
      <c r="H1867" t="s">
        <v>40</v>
      </c>
      <c r="I1867" t="s">
        <v>3774</v>
      </c>
      <c r="J1867" t="s">
        <v>28</v>
      </c>
      <c r="K1867" s="4">
        <f>VLOOKUP(J1867,Exchange_Rates!A:B,2,FALSE)</f>
        <v>1.27</v>
      </c>
      <c r="L1867" s="4">
        <f t="shared" si="116"/>
        <v>2211.3620999999998</v>
      </c>
      <c r="M1867" s="4">
        <f t="shared" si="117"/>
        <v>0</v>
      </c>
      <c r="N1867" s="4">
        <f t="shared" si="118"/>
        <v>2024</v>
      </c>
      <c r="O1867" s="4">
        <f t="shared" si="119"/>
        <v>4</v>
      </c>
    </row>
    <row r="1868" spans="1:15" x14ac:dyDescent="0.25">
      <c r="A1868" t="s">
        <v>3775</v>
      </c>
      <c r="B1868" s="2">
        <v>45326</v>
      </c>
      <c r="C1868" t="s">
        <v>38</v>
      </c>
      <c r="D1868" t="s">
        <v>39</v>
      </c>
      <c r="E1868">
        <v>1055.53</v>
      </c>
      <c r="F1868">
        <v>0</v>
      </c>
      <c r="G1868" t="s">
        <v>10</v>
      </c>
      <c r="H1868" t="s">
        <v>51</v>
      </c>
      <c r="I1868" t="s">
        <v>3776</v>
      </c>
      <c r="J1868" t="s">
        <v>28</v>
      </c>
      <c r="K1868" s="4">
        <f>VLOOKUP(J1868,Exchange_Rates!A:B,2,FALSE)</f>
        <v>1.27</v>
      </c>
      <c r="L1868" s="4">
        <f t="shared" si="116"/>
        <v>1340.5230999999999</v>
      </c>
      <c r="M1868" s="4">
        <f t="shared" si="117"/>
        <v>0</v>
      </c>
      <c r="N1868" s="4">
        <f t="shared" si="118"/>
        <v>2024</v>
      </c>
      <c r="O1868" s="4">
        <f t="shared" si="119"/>
        <v>1</v>
      </c>
    </row>
    <row r="1869" spans="1:15" x14ac:dyDescent="0.25">
      <c r="A1869" t="s">
        <v>3777</v>
      </c>
      <c r="B1869" s="2">
        <v>45684</v>
      </c>
      <c r="C1869" t="s">
        <v>38</v>
      </c>
      <c r="D1869" t="s">
        <v>39</v>
      </c>
      <c r="E1869">
        <v>349.69</v>
      </c>
      <c r="F1869">
        <v>0</v>
      </c>
      <c r="G1869" t="s">
        <v>8</v>
      </c>
      <c r="H1869" t="s">
        <v>62</v>
      </c>
      <c r="I1869" t="s">
        <v>3778</v>
      </c>
      <c r="J1869" t="s">
        <v>28</v>
      </c>
      <c r="K1869" s="4">
        <f>VLOOKUP(J1869,Exchange_Rates!A:B,2,FALSE)</f>
        <v>1.27</v>
      </c>
      <c r="L1869" s="4">
        <f t="shared" si="116"/>
        <v>444.10629999999998</v>
      </c>
      <c r="M1869" s="4">
        <f t="shared" si="117"/>
        <v>0</v>
      </c>
      <c r="N1869" s="4">
        <f t="shared" si="118"/>
        <v>2025</v>
      </c>
      <c r="O1869" s="4">
        <f t="shared" si="119"/>
        <v>1</v>
      </c>
    </row>
    <row r="1870" spans="1:15" x14ac:dyDescent="0.25">
      <c r="A1870" t="s">
        <v>3779</v>
      </c>
      <c r="B1870" s="2">
        <v>45588</v>
      </c>
      <c r="C1870" t="s">
        <v>60</v>
      </c>
      <c r="D1870" t="s">
        <v>61</v>
      </c>
      <c r="E1870">
        <v>0</v>
      </c>
      <c r="F1870">
        <v>1886.23</v>
      </c>
      <c r="G1870" t="s">
        <v>11</v>
      </c>
      <c r="H1870" t="s">
        <v>26</v>
      </c>
      <c r="I1870" t="s">
        <v>3780</v>
      </c>
      <c r="J1870" t="s">
        <v>36</v>
      </c>
      <c r="K1870" s="4">
        <f>VLOOKUP(J1870,Exchange_Rates!A:B,2,FALSE)</f>
        <v>1.08</v>
      </c>
      <c r="L1870" s="4">
        <f t="shared" si="116"/>
        <v>0</v>
      </c>
      <c r="M1870" s="4">
        <f t="shared" si="117"/>
        <v>2037.1284000000001</v>
      </c>
      <c r="N1870" s="4">
        <f t="shared" si="118"/>
        <v>2024</v>
      </c>
      <c r="O1870" s="4">
        <f t="shared" si="119"/>
        <v>4</v>
      </c>
    </row>
    <row r="1871" spans="1:15" x14ac:dyDescent="0.25">
      <c r="A1871" t="s">
        <v>3781</v>
      </c>
      <c r="B1871" s="2">
        <v>45263</v>
      </c>
      <c r="C1871" t="s">
        <v>38</v>
      </c>
      <c r="D1871" t="s">
        <v>39</v>
      </c>
      <c r="E1871">
        <v>552.91</v>
      </c>
      <c r="F1871">
        <v>0</v>
      </c>
      <c r="G1871" t="s">
        <v>12</v>
      </c>
      <c r="H1871" t="s">
        <v>51</v>
      </c>
      <c r="I1871" t="s">
        <v>3782</v>
      </c>
      <c r="J1871" t="s">
        <v>42</v>
      </c>
      <c r="K1871" s="4">
        <f>VLOOKUP(J1871,Exchange_Rates!A:B,2,FALSE)</f>
        <v>0.66</v>
      </c>
      <c r="L1871" s="4">
        <f t="shared" si="116"/>
        <v>364.92059999999998</v>
      </c>
      <c r="M1871" s="4">
        <f t="shared" si="117"/>
        <v>0</v>
      </c>
      <c r="N1871" s="4">
        <f t="shared" si="118"/>
        <v>2023</v>
      </c>
      <c r="O1871" s="4">
        <f t="shared" si="119"/>
        <v>4</v>
      </c>
    </row>
    <row r="1872" spans="1:15" x14ac:dyDescent="0.25">
      <c r="A1872" t="s">
        <v>3783</v>
      </c>
      <c r="B1872" s="2">
        <v>45620</v>
      </c>
      <c r="C1872" t="s">
        <v>60</v>
      </c>
      <c r="D1872" t="s">
        <v>61</v>
      </c>
      <c r="E1872">
        <v>0</v>
      </c>
      <c r="F1872">
        <v>258.08</v>
      </c>
      <c r="G1872" t="s">
        <v>8</v>
      </c>
      <c r="H1872" t="s">
        <v>34</v>
      </c>
      <c r="I1872" t="s">
        <v>3784</v>
      </c>
      <c r="J1872" t="s">
        <v>45</v>
      </c>
      <c r="K1872" s="4">
        <f>VLOOKUP(J1872,Exchange_Rates!A:B,2,FALSE)</f>
        <v>1</v>
      </c>
      <c r="L1872" s="4">
        <f t="shared" si="116"/>
        <v>0</v>
      </c>
      <c r="M1872" s="4">
        <f t="shared" si="117"/>
        <v>258.08</v>
      </c>
      <c r="N1872" s="4">
        <f t="shared" si="118"/>
        <v>2024</v>
      </c>
      <c r="O1872" s="4">
        <f t="shared" si="119"/>
        <v>4</v>
      </c>
    </row>
    <row r="1873" spans="1:15" x14ac:dyDescent="0.25">
      <c r="A1873" t="s">
        <v>3785</v>
      </c>
      <c r="B1873" s="2">
        <v>45795</v>
      </c>
      <c r="C1873" t="s">
        <v>49</v>
      </c>
      <c r="D1873" t="s">
        <v>50</v>
      </c>
      <c r="E1873">
        <v>1370.81</v>
      </c>
      <c r="F1873">
        <v>0</v>
      </c>
      <c r="G1873" t="s">
        <v>8</v>
      </c>
      <c r="H1873" t="s">
        <v>26</v>
      </c>
      <c r="I1873" t="s">
        <v>3786</v>
      </c>
      <c r="J1873" t="s">
        <v>42</v>
      </c>
      <c r="K1873" s="4">
        <f>VLOOKUP(J1873,Exchange_Rates!A:B,2,FALSE)</f>
        <v>0.66</v>
      </c>
      <c r="L1873" s="4">
        <f t="shared" si="116"/>
        <v>904.7346</v>
      </c>
      <c r="M1873" s="4">
        <f t="shared" si="117"/>
        <v>0</v>
      </c>
      <c r="N1873" s="4">
        <f t="shared" si="118"/>
        <v>2025</v>
      </c>
      <c r="O1873" s="4">
        <f t="shared" si="119"/>
        <v>2</v>
      </c>
    </row>
    <row r="1874" spans="1:15" x14ac:dyDescent="0.25">
      <c r="A1874" t="s">
        <v>3787</v>
      </c>
      <c r="B1874" s="2">
        <v>45382</v>
      </c>
      <c r="C1874" t="s">
        <v>38</v>
      </c>
      <c r="D1874" t="s">
        <v>39</v>
      </c>
      <c r="E1874">
        <v>1669.15</v>
      </c>
      <c r="F1874">
        <v>0</v>
      </c>
      <c r="G1874" t="s">
        <v>10</v>
      </c>
      <c r="H1874" t="s">
        <v>34</v>
      </c>
      <c r="I1874" t="s">
        <v>3788</v>
      </c>
      <c r="J1874" t="s">
        <v>45</v>
      </c>
      <c r="K1874" s="4">
        <f>VLOOKUP(J1874,Exchange_Rates!A:B,2,FALSE)</f>
        <v>1</v>
      </c>
      <c r="L1874" s="4">
        <f t="shared" si="116"/>
        <v>1669.15</v>
      </c>
      <c r="M1874" s="4">
        <f t="shared" si="117"/>
        <v>0</v>
      </c>
      <c r="N1874" s="4">
        <f t="shared" si="118"/>
        <v>2024</v>
      </c>
      <c r="O1874" s="4">
        <f t="shared" si="119"/>
        <v>1</v>
      </c>
    </row>
    <row r="1875" spans="1:15" x14ac:dyDescent="0.25">
      <c r="A1875" t="s">
        <v>3789</v>
      </c>
      <c r="B1875" s="2">
        <v>45095</v>
      </c>
      <c r="C1875" t="s">
        <v>49</v>
      </c>
      <c r="D1875" t="s">
        <v>50</v>
      </c>
      <c r="E1875">
        <v>1711.71</v>
      </c>
      <c r="F1875">
        <v>0</v>
      </c>
      <c r="G1875" t="s">
        <v>11</v>
      </c>
      <c r="H1875" t="s">
        <v>40</v>
      </c>
      <c r="I1875" t="s">
        <v>3790</v>
      </c>
      <c r="J1875" t="s">
        <v>36</v>
      </c>
      <c r="K1875" s="4">
        <f>VLOOKUP(J1875,Exchange_Rates!A:B,2,FALSE)</f>
        <v>1.08</v>
      </c>
      <c r="L1875" s="4">
        <f t="shared" si="116"/>
        <v>1848.6468000000002</v>
      </c>
      <c r="M1875" s="4">
        <f t="shared" si="117"/>
        <v>0</v>
      </c>
      <c r="N1875" s="4">
        <f t="shared" si="118"/>
        <v>2023</v>
      </c>
      <c r="O1875" s="4">
        <f t="shared" si="119"/>
        <v>2</v>
      </c>
    </row>
    <row r="1876" spans="1:15" x14ac:dyDescent="0.25">
      <c r="A1876" t="s">
        <v>3791</v>
      </c>
      <c r="B1876" s="2">
        <v>44933</v>
      </c>
      <c r="C1876" t="s">
        <v>30</v>
      </c>
      <c r="D1876" t="s">
        <v>31</v>
      </c>
      <c r="E1876">
        <v>520.70000000000005</v>
      </c>
      <c r="F1876">
        <v>0</v>
      </c>
      <c r="G1876" t="s">
        <v>9</v>
      </c>
      <c r="H1876" t="s">
        <v>62</v>
      </c>
      <c r="I1876" t="s">
        <v>3792</v>
      </c>
      <c r="J1876" t="s">
        <v>45</v>
      </c>
      <c r="K1876" s="4">
        <f>VLOOKUP(J1876,Exchange_Rates!A:B,2,FALSE)</f>
        <v>1</v>
      </c>
      <c r="L1876" s="4">
        <f t="shared" si="116"/>
        <v>520.70000000000005</v>
      </c>
      <c r="M1876" s="4">
        <f t="shared" si="117"/>
        <v>0</v>
      </c>
      <c r="N1876" s="4">
        <f t="shared" si="118"/>
        <v>2023</v>
      </c>
      <c r="O1876" s="4">
        <f t="shared" si="119"/>
        <v>1</v>
      </c>
    </row>
    <row r="1877" spans="1:15" x14ac:dyDescent="0.25">
      <c r="A1877" t="s">
        <v>3793</v>
      </c>
      <c r="B1877" s="2">
        <v>45378</v>
      </c>
      <c r="C1877" t="s">
        <v>38</v>
      </c>
      <c r="D1877" t="s">
        <v>39</v>
      </c>
      <c r="E1877">
        <v>501.53</v>
      </c>
      <c r="F1877">
        <v>0</v>
      </c>
      <c r="G1877" t="s">
        <v>11</v>
      </c>
      <c r="H1877" t="s">
        <v>62</v>
      </c>
      <c r="I1877" t="s">
        <v>3794</v>
      </c>
      <c r="J1877" t="s">
        <v>45</v>
      </c>
      <c r="K1877" s="4">
        <f>VLOOKUP(J1877,Exchange_Rates!A:B,2,FALSE)</f>
        <v>1</v>
      </c>
      <c r="L1877" s="4">
        <f t="shared" si="116"/>
        <v>501.53</v>
      </c>
      <c r="M1877" s="4">
        <f t="shared" si="117"/>
        <v>0</v>
      </c>
      <c r="N1877" s="4">
        <f t="shared" si="118"/>
        <v>2024</v>
      </c>
      <c r="O1877" s="4">
        <f t="shared" si="119"/>
        <v>1</v>
      </c>
    </row>
    <row r="1878" spans="1:15" x14ac:dyDescent="0.25">
      <c r="A1878" t="s">
        <v>3795</v>
      </c>
      <c r="B1878" s="2">
        <v>45293</v>
      </c>
      <c r="C1878" t="s">
        <v>49</v>
      </c>
      <c r="D1878" t="s">
        <v>50</v>
      </c>
      <c r="E1878">
        <v>283.45</v>
      </c>
      <c r="F1878">
        <v>0</v>
      </c>
      <c r="G1878" t="s">
        <v>9</v>
      </c>
      <c r="H1878" t="s">
        <v>34</v>
      </c>
      <c r="I1878" t="s">
        <v>3796</v>
      </c>
      <c r="J1878" t="s">
        <v>45</v>
      </c>
      <c r="K1878" s="4">
        <f>VLOOKUP(J1878,Exchange_Rates!A:B,2,FALSE)</f>
        <v>1</v>
      </c>
      <c r="L1878" s="4">
        <f t="shared" si="116"/>
        <v>283.45</v>
      </c>
      <c r="M1878" s="4">
        <f t="shared" si="117"/>
        <v>0</v>
      </c>
      <c r="N1878" s="4">
        <f t="shared" si="118"/>
        <v>2024</v>
      </c>
      <c r="O1878" s="4">
        <f t="shared" si="119"/>
        <v>1</v>
      </c>
    </row>
    <row r="1879" spans="1:15" x14ac:dyDescent="0.25">
      <c r="A1879" t="s">
        <v>3797</v>
      </c>
      <c r="B1879" s="2">
        <v>45811</v>
      </c>
      <c r="C1879" t="s">
        <v>60</v>
      </c>
      <c r="D1879" t="s">
        <v>61</v>
      </c>
      <c r="E1879">
        <v>0</v>
      </c>
      <c r="F1879">
        <v>3079.85</v>
      </c>
      <c r="G1879" t="s">
        <v>9</v>
      </c>
      <c r="H1879" t="s">
        <v>34</v>
      </c>
      <c r="I1879" t="s">
        <v>3798</v>
      </c>
      <c r="J1879" t="s">
        <v>64</v>
      </c>
      <c r="K1879" s="4">
        <f>VLOOKUP(J1879,Exchange_Rates!A:B,2,FALSE)</f>
        <v>0.73</v>
      </c>
      <c r="L1879" s="4">
        <f t="shared" si="116"/>
        <v>0</v>
      </c>
      <c r="M1879" s="4">
        <f t="shared" si="117"/>
        <v>2248.2905000000001</v>
      </c>
      <c r="N1879" s="4">
        <f t="shared" si="118"/>
        <v>2025</v>
      </c>
      <c r="O1879" s="4">
        <f t="shared" si="119"/>
        <v>2</v>
      </c>
    </row>
    <row r="1880" spans="1:15" x14ac:dyDescent="0.25">
      <c r="A1880" t="s">
        <v>3799</v>
      </c>
      <c r="B1880" s="2">
        <v>45221</v>
      </c>
      <c r="C1880" t="s">
        <v>38</v>
      </c>
      <c r="D1880" t="s">
        <v>39</v>
      </c>
      <c r="E1880">
        <v>316.08</v>
      </c>
      <c r="F1880">
        <v>0</v>
      </c>
      <c r="G1880" t="s">
        <v>9</v>
      </c>
      <c r="H1880" t="s">
        <v>26</v>
      </c>
      <c r="I1880" t="s">
        <v>3800</v>
      </c>
      <c r="J1880" t="s">
        <v>64</v>
      </c>
      <c r="K1880" s="4">
        <f>VLOOKUP(J1880,Exchange_Rates!A:B,2,FALSE)</f>
        <v>0.73</v>
      </c>
      <c r="L1880" s="4">
        <f t="shared" si="116"/>
        <v>230.73839999999998</v>
      </c>
      <c r="M1880" s="4">
        <f t="shared" si="117"/>
        <v>0</v>
      </c>
      <c r="N1880" s="4">
        <f t="shared" si="118"/>
        <v>2023</v>
      </c>
      <c r="O1880" s="4">
        <f t="shared" si="119"/>
        <v>4</v>
      </c>
    </row>
    <row r="1881" spans="1:15" x14ac:dyDescent="0.25">
      <c r="A1881" t="s">
        <v>3801</v>
      </c>
      <c r="B1881" s="2">
        <v>45334</v>
      </c>
      <c r="C1881" t="s">
        <v>49</v>
      </c>
      <c r="D1881" t="s">
        <v>50</v>
      </c>
      <c r="E1881">
        <v>1517.3</v>
      </c>
      <c r="F1881">
        <v>0</v>
      </c>
      <c r="G1881" t="s">
        <v>8</v>
      </c>
      <c r="H1881" t="s">
        <v>51</v>
      </c>
      <c r="I1881" t="s">
        <v>3802</v>
      </c>
      <c r="J1881" t="s">
        <v>42</v>
      </c>
      <c r="K1881" s="4">
        <f>VLOOKUP(J1881,Exchange_Rates!A:B,2,FALSE)</f>
        <v>0.66</v>
      </c>
      <c r="L1881" s="4">
        <f t="shared" si="116"/>
        <v>1001.418</v>
      </c>
      <c r="M1881" s="4">
        <f t="shared" si="117"/>
        <v>0</v>
      </c>
      <c r="N1881" s="4">
        <f t="shared" si="118"/>
        <v>2024</v>
      </c>
      <c r="O1881" s="4">
        <f t="shared" si="119"/>
        <v>1</v>
      </c>
    </row>
    <row r="1882" spans="1:15" x14ac:dyDescent="0.25">
      <c r="A1882" t="s">
        <v>3803</v>
      </c>
      <c r="B1882" s="2">
        <v>45493</v>
      </c>
      <c r="C1882" t="s">
        <v>30</v>
      </c>
      <c r="D1882" t="s">
        <v>31</v>
      </c>
      <c r="E1882">
        <v>1863.66</v>
      </c>
      <c r="F1882">
        <v>0</v>
      </c>
      <c r="G1882" t="s">
        <v>13</v>
      </c>
      <c r="H1882" t="s">
        <v>62</v>
      </c>
      <c r="I1882" t="s">
        <v>3804</v>
      </c>
      <c r="J1882" t="s">
        <v>64</v>
      </c>
      <c r="K1882" s="4">
        <f>VLOOKUP(J1882,Exchange_Rates!A:B,2,FALSE)</f>
        <v>0.73</v>
      </c>
      <c r="L1882" s="4">
        <f t="shared" si="116"/>
        <v>1360.4718</v>
      </c>
      <c r="M1882" s="4">
        <f t="shared" si="117"/>
        <v>0</v>
      </c>
      <c r="N1882" s="4">
        <f t="shared" si="118"/>
        <v>2024</v>
      </c>
      <c r="O1882" s="4">
        <f t="shared" si="119"/>
        <v>3</v>
      </c>
    </row>
    <row r="1883" spans="1:15" x14ac:dyDescent="0.25">
      <c r="A1883" t="s">
        <v>3805</v>
      </c>
      <c r="B1883" s="2">
        <v>45466</v>
      </c>
      <c r="C1883" t="s">
        <v>30</v>
      </c>
      <c r="D1883" t="s">
        <v>31</v>
      </c>
      <c r="E1883">
        <v>146.04</v>
      </c>
      <c r="F1883">
        <v>0</v>
      </c>
      <c r="G1883" t="s">
        <v>13</v>
      </c>
      <c r="H1883" t="s">
        <v>40</v>
      </c>
      <c r="I1883" t="s">
        <v>3806</v>
      </c>
      <c r="J1883" t="s">
        <v>42</v>
      </c>
      <c r="K1883" s="4">
        <f>VLOOKUP(J1883,Exchange_Rates!A:B,2,FALSE)</f>
        <v>0.66</v>
      </c>
      <c r="L1883" s="4">
        <f t="shared" si="116"/>
        <v>96.386399999999995</v>
      </c>
      <c r="M1883" s="4">
        <f t="shared" si="117"/>
        <v>0</v>
      </c>
      <c r="N1883" s="4">
        <f t="shared" si="118"/>
        <v>2024</v>
      </c>
      <c r="O1883" s="4">
        <f t="shared" si="119"/>
        <v>2</v>
      </c>
    </row>
    <row r="1884" spans="1:15" x14ac:dyDescent="0.25">
      <c r="A1884" t="s">
        <v>3807</v>
      </c>
      <c r="B1884" s="2">
        <v>45225</v>
      </c>
      <c r="C1884" t="s">
        <v>38</v>
      </c>
      <c r="D1884" t="s">
        <v>39</v>
      </c>
      <c r="E1884">
        <v>701.14</v>
      </c>
      <c r="F1884">
        <v>0</v>
      </c>
      <c r="G1884" t="s">
        <v>11</v>
      </c>
      <c r="H1884" t="s">
        <v>40</v>
      </c>
      <c r="I1884" t="s">
        <v>3808</v>
      </c>
      <c r="J1884" t="s">
        <v>36</v>
      </c>
      <c r="K1884" s="4">
        <f>VLOOKUP(J1884,Exchange_Rates!A:B,2,FALSE)</f>
        <v>1.08</v>
      </c>
      <c r="L1884" s="4">
        <f t="shared" si="116"/>
        <v>757.23120000000006</v>
      </c>
      <c r="M1884" s="4">
        <f t="shared" si="117"/>
        <v>0</v>
      </c>
      <c r="N1884" s="4">
        <f t="shared" si="118"/>
        <v>2023</v>
      </c>
      <c r="O1884" s="4">
        <f t="shared" si="119"/>
        <v>4</v>
      </c>
    </row>
    <row r="1885" spans="1:15" x14ac:dyDescent="0.25">
      <c r="A1885" t="s">
        <v>3809</v>
      </c>
      <c r="B1885" s="2">
        <v>45562</v>
      </c>
      <c r="C1885" t="s">
        <v>49</v>
      </c>
      <c r="D1885" t="s">
        <v>50</v>
      </c>
      <c r="E1885">
        <v>1033.6199999999999</v>
      </c>
      <c r="F1885">
        <v>0</v>
      </c>
      <c r="G1885" t="s">
        <v>10</v>
      </c>
      <c r="H1885" t="s">
        <v>40</v>
      </c>
      <c r="I1885" t="s">
        <v>3810</v>
      </c>
      <c r="J1885" t="s">
        <v>45</v>
      </c>
      <c r="K1885" s="4">
        <f>VLOOKUP(J1885,Exchange_Rates!A:B,2,FALSE)</f>
        <v>1</v>
      </c>
      <c r="L1885" s="4">
        <f t="shared" si="116"/>
        <v>1033.6199999999999</v>
      </c>
      <c r="M1885" s="4">
        <f t="shared" si="117"/>
        <v>0</v>
      </c>
      <c r="N1885" s="4">
        <f t="shared" si="118"/>
        <v>2024</v>
      </c>
      <c r="O1885" s="4">
        <f t="shared" si="119"/>
        <v>3</v>
      </c>
    </row>
    <row r="1886" spans="1:15" x14ac:dyDescent="0.25">
      <c r="A1886" t="s">
        <v>3811</v>
      </c>
      <c r="B1886" s="2">
        <v>45787</v>
      </c>
      <c r="C1886" t="s">
        <v>38</v>
      </c>
      <c r="D1886" t="s">
        <v>39</v>
      </c>
      <c r="E1886">
        <v>652.77</v>
      </c>
      <c r="F1886">
        <v>0</v>
      </c>
      <c r="G1886" t="s">
        <v>8</v>
      </c>
      <c r="H1886" t="s">
        <v>34</v>
      </c>
      <c r="I1886" t="s">
        <v>3812</v>
      </c>
      <c r="J1886" t="s">
        <v>45</v>
      </c>
      <c r="K1886" s="4">
        <f>VLOOKUP(J1886,Exchange_Rates!A:B,2,FALSE)</f>
        <v>1</v>
      </c>
      <c r="L1886" s="4">
        <f t="shared" si="116"/>
        <v>652.77</v>
      </c>
      <c r="M1886" s="4">
        <f t="shared" si="117"/>
        <v>0</v>
      </c>
      <c r="N1886" s="4">
        <f t="shared" si="118"/>
        <v>2025</v>
      </c>
      <c r="O1886" s="4">
        <f t="shared" si="119"/>
        <v>2</v>
      </c>
    </row>
    <row r="1887" spans="1:15" x14ac:dyDescent="0.25">
      <c r="A1887" t="s">
        <v>3813</v>
      </c>
      <c r="B1887" s="2">
        <v>45110</v>
      </c>
      <c r="C1887" t="s">
        <v>24</v>
      </c>
      <c r="D1887" t="s">
        <v>25</v>
      </c>
      <c r="E1887">
        <v>0</v>
      </c>
      <c r="F1887">
        <v>2202.71</v>
      </c>
      <c r="G1887" t="s">
        <v>11</v>
      </c>
      <c r="H1887" t="s">
        <v>40</v>
      </c>
      <c r="I1887" t="s">
        <v>3814</v>
      </c>
      <c r="J1887" t="s">
        <v>45</v>
      </c>
      <c r="K1887" s="4">
        <f>VLOOKUP(J1887,Exchange_Rates!A:B,2,FALSE)</f>
        <v>1</v>
      </c>
      <c r="L1887" s="4">
        <f t="shared" si="116"/>
        <v>0</v>
      </c>
      <c r="M1887" s="4">
        <f t="shared" si="117"/>
        <v>2202.71</v>
      </c>
      <c r="N1887" s="4">
        <f t="shared" si="118"/>
        <v>2023</v>
      </c>
      <c r="O1887" s="4">
        <f t="shared" si="119"/>
        <v>3</v>
      </c>
    </row>
    <row r="1888" spans="1:15" x14ac:dyDescent="0.25">
      <c r="A1888" t="s">
        <v>3815</v>
      </c>
      <c r="B1888" s="2">
        <v>45201</v>
      </c>
      <c r="C1888" t="s">
        <v>38</v>
      </c>
      <c r="D1888" t="s">
        <v>39</v>
      </c>
      <c r="E1888">
        <v>1252.73</v>
      </c>
      <c r="F1888">
        <v>0</v>
      </c>
      <c r="G1888" t="s">
        <v>8</v>
      </c>
      <c r="H1888" t="s">
        <v>51</v>
      </c>
      <c r="I1888" t="s">
        <v>3816</v>
      </c>
      <c r="J1888" t="s">
        <v>45</v>
      </c>
      <c r="K1888" s="4">
        <f>VLOOKUP(J1888,Exchange_Rates!A:B,2,FALSE)</f>
        <v>1</v>
      </c>
      <c r="L1888" s="4">
        <f t="shared" si="116"/>
        <v>1252.73</v>
      </c>
      <c r="M1888" s="4">
        <f t="shared" si="117"/>
        <v>0</v>
      </c>
      <c r="N1888" s="4">
        <f t="shared" si="118"/>
        <v>2023</v>
      </c>
      <c r="O1888" s="4">
        <f t="shared" si="119"/>
        <v>4</v>
      </c>
    </row>
    <row r="1889" spans="1:15" x14ac:dyDescent="0.25">
      <c r="A1889" t="s">
        <v>3817</v>
      </c>
      <c r="B1889" s="2">
        <v>45386</v>
      </c>
      <c r="C1889" t="s">
        <v>30</v>
      </c>
      <c r="D1889" t="s">
        <v>31</v>
      </c>
      <c r="E1889">
        <v>1422.61</v>
      </c>
      <c r="F1889">
        <v>0</v>
      </c>
      <c r="G1889" t="s">
        <v>9</v>
      </c>
      <c r="H1889" t="s">
        <v>51</v>
      </c>
      <c r="I1889" t="s">
        <v>3818</v>
      </c>
      <c r="J1889" t="s">
        <v>64</v>
      </c>
      <c r="K1889" s="4">
        <f>VLOOKUP(J1889,Exchange_Rates!A:B,2,FALSE)</f>
        <v>0.73</v>
      </c>
      <c r="L1889" s="4">
        <f t="shared" si="116"/>
        <v>1038.5052999999998</v>
      </c>
      <c r="M1889" s="4">
        <f t="shared" si="117"/>
        <v>0</v>
      </c>
      <c r="N1889" s="4">
        <f t="shared" si="118"/>
        <v>2024</v>
      </c>
      <c r="O1889" s="4">
        <f t="shared" si="119"/>
        <v>2</v>
      </c>
    </row>
    <row r="1890" spans="1:15" x14ac:dyDescent="0.25">
      <c r="A1890" t="s">
        <v>3819</v>
      </c>
      <c r="B1890" s="2">
        <v>45810</v>
      </c>
      <c r="C1890" t="s">
        <v>49</v>
      </c>
      <c r="D1890" t="s">
        <v>50</v>
      </c>
      <c r="E1890">
        <v>729.53</v>
      </c>
      <c r="F1890">
        <v>0</v>
      </c>
      <c r="G1890" t="s">
        <v>12</v>
      </c>
      <c r="H1890" t="s">
        <v>26</v>
      </c>
      <c r="I1890" t="s">
        <v>3820</v>
      </c>
      <c r="J1890" t="s">
        <v>36</v>
      </c>
      <c r="K1890" s="4">
        <f>VLOOKUP(J1890,Exchange_Rates!A:B,2,FALSE)</f>
        <v>1.08</v>
      </c>
      <c r="L1890" s="4">
        <f t="shared" si="116"/>
        <v>787.89240000000007</v>
      </c>
      <c r="M1890" s="4">
        <f t="shared" si="117"/>
        <v>0</v>
      </c>
      <c r="N1890" s="4">
        <f t="shared" si="118"/>
        <v>2025</v>
      </c>
      <c r="O1890" s="4">
        <f t="shared" si="119"/>
        <v>2</v>
      </c>
    </row>
    <row r="1891" spans="1:15" x14ac:dyDescent="0.25">
      <c r="A1891" t="s">
        <v>3821</v>
      </c>
      <c r="B1891" s="2">
        <v>44945</v>
      </c>
      <c r="C1891" t="s">
        <v>49</v>
      </c>
      <c r="D1891" t="s">
        <v>50</v>
      </c>
      <c r="E1891">
        <v>1561.21</v>
      </c>
      <c r="F1891">
        <v>0</v>
      </c>
      <c r="G1891" t="s">
        <v>9</v>
      </c>
      <c r="H1891" t="s">
        <v>51</v>
      </c>
      <c r="I1891" t="s">
        <v>3822</v>
      </c>
      <c r="J1891" t="s">
        <v>45</v>
      </c>
      <c r="K1891" s="4">
        <f>VLOOKUP(J1891,Exchange_Rates!A:B,2,FALSE)</f>
        <v>1</v>
      </c>
      <c r="L1891" s="4">
        <f t="shared" si="116"/>
        <v>1561.21</v>
      </c>
      <c r="M1891" s="4">
        <f t="shared" si="117"/>
        <v>0</v>
      </c>
      <c r="N1891" s="4">
        <f t="shared" si="118"/>
        <v>2023</v>
      </c>
      <c r="O1891" s="4">
        <f t="shared" si="119"/>
        <v>1</v>
      </c>
    </row>
    <row r="1892" spans="1:15" x14ac:dyDescent="0.25">
      <c r="A1892" t="s">
        <v>3823</v>
      </c>
      <c r="B1892" s="2">
        <v>45701</v>
      </c>
      <c r="C1892" t="s">
        <v>60</v>
      </c>
      <c r="D1892" t="s">
        <v>61</v>
      </c>
      <c r="E1892">
        <v>0</v>
      </c>
      <c r="F1892">
        <v>3774.32</v>
      </c>
      <c r="G1892" t="s">
        <v>13</v>
      </c>
      <c r="H1892" t="s">
        <v>34</v>
      </c>
      <c r="I1892" t="s">
        <v>3824</v>
      </c>
      <c r="J1892" t="s">
        <v>64</v>
      </c>
      <c r="K1892" s="4">
        <f>VLOOKUP(J1892,Exchange_Rates!A:B,2,FALSE)</f>
        <v>0.73</v>
      </c>
      <c r="L1892" s="4">
        <f t="shared" si="116"/>
        <v>0</v>
      </c>
      <c r="M1892" s="4">
        <f t="shared" si="117"/>
        <v>2755.2536</v>
      </c>
      <c r="N1892" s="4">
        <f t="shared" si="118"/>
        <v>2025</v>
      </c>
      <c r="O1892" s="4">
        <f t="shared" si="119"/>
        <v>1</v>
      </c>
    </row>
    <row r="1893" spans="1:15" x14ac:dyDescent="0.25">
      <c r="A1893" t="s">
        <v>3825</v>
      </c>
      <c r="B1893" s="2">
        <v>45159</v>
      </c>
      <c r="C1893" t="s">
        <v>38</v>
      </c>
      <c r="D1893" t="s">
        <v>39</v>
      </c>
      <c r="E1893">
        <v>503.88</v>
      </c>
      <c r="F1893">
        <v>0</v>
      </c>
      <c r="G1893" t="s">
        <v>12</v>
      </c>
      <c r="H1893" t="s">
        <v>34</v>
      </c>
      <c r="I1893" t="s">
        <v>3826</v>
      </c>
      <c r="J1893" t="s">
        <v>36</v>
      </c>
      <c r="K1893" s="4">
        <f>VLOOKUP(J1893,Exchange_Rates!A:B,2,FALSE)</f>
        <v>1.08</v>
      </c>
      <c r="L1893" s="4">
        <f t="shared" si="116"/>
        <v>544.19040000000007</v>
      </c>
      <c r="M1893" s="4">
        <f t="shared" si="117"/>
        <v>0</v>
      </c>
      <c r="N1893" s="4">
        <f t="shared" si="118"/>
        <v>2023</v>
      </c>
      <c r="O1893" s="4">
        <f t="shared" si="119"/>
        <v>3</v>
      </c>
    </row>
    <row r="1894" spans="1:15" x14ac:dyDescent="0.25">
      <c r="A1894" t="s">
        <v>3827</v>
      </c>
      <c r="B1894" s="2">
        <v>45212</v>
      </c>
      <c r="C1894" t="s">
        <v>60</v>
      </c>
      <c r="D1894" t="s">
        <v>61</v>
      </c>
      <c r="E1894">
        <v>0</v>
      </c>
      <c r="F1894">
        <v>2344.2199999999998</v>
      </c>
      <c r="G1894" t="s">
        <v>9</v>
      </c>
      <c r="H1894" t="s">
        <v>34</v>
      </c>
      <c r="I1894" t="s">
        <v>3828</v>
      </c>
      <c r="J1894" t="s">
        <v>36</v>
      </c>
      <c r="K1894" s="4">
        <f>VLOOKUP(J1894,Exchange_Rates!A:B,2,FALSE)</f>
        <v>1.08</v>
      </c>
      <c r="L1894" s="4">
        <f t="shared" si="116"/>
        <v>0</v>
      </c>
      <c r="M1894" s="4">
        <f t="shared" si="117"/>
        <v>2531.7575999999999</v>
      </c>
      <c r="N1894" s="4">
        <f t="shared" si="118"/>
        <v>2023</v>
      </c>
      <c r="O1894" s="4">
        <f t="shared" si="119"/>
        <v>4</v>
      </c>
    </row>
    <row r="1895" spans="1:15" x14ac:dyDescent="0.25">
      <c r="A1895" t="s">
        <v>3829</v>
      </c>
      <c r="B1895" s="2">
        <v>45304</v>
      </c>
      <c r="C1895" t="s">
        <v>49</v>
      </c>
      <c r="D1895" t="s">
        <v>50</v>
      </c>
      <c r="E1895">
        <v>1283.57</v>
      </c>
      <c r="F1895">
        <v>0</v>
      </c>
      <c r="G1895" t="s">
        <v>9</v>
      </c>
      <c r="H1895" t="s">
        <v>62</v>
      </c>
      <c r="I1895" t="s">
        <v>3830</v>
      </c>
      <c r="J1895" t="s">
        <v>64</v>
      </c>
      <c r="K1895" s="4">
        <f>VLOOKUP(J1895,Exchange_Rates!A:B,2,FALSE)</f>
        <v>0.73</v>
      </c>
      <c r="L1895" s="4">
        <f t="shared" si="116"/>
        <v>937.00609999999995</v>
      </c>
      <c r="M1895" s="4">
        <f t="shared" si="117"/>
        <v>0</v>
      </c>
      <c r="N1895" s="4">
        <f t="shared" si="118"/>
        <v>2024</v>
      </c>
      <c r="O1895" s="4">
        <f t="shared" si="119"/>
        <v>1</v>
      </c>
    </row>
    <row r="1896" spans="1:15" x14ac:dyDescent="0.25">
      <c r="A1896" t="s">
        <v>3831</v>
      </c>
      <c r="B1896" s="2">
        <v>45483</v>
      </c>
      <c r="C1896" t="s">
        <v>60</v>
      </c>
      <c r="D1896" t="s">
        <v>61</v>
      </c>
      <c r="E1896">
        <v>0</v>
      </c>
      <c r="F1896">
        <v>1964.79</v>
      </c>
      <c r="G1896" t="s">
        <v>13</v>
      </c>
      <c r="H1896" t="s">
        <v>34</v>
      </c>
      <c r="I1896" t="s">
        <v>3832</v>
      </c>
      <c r="J1896" t="s">
        <v>42</v>
      </c>
      <c r="K1896" s="4">
        <f>VLOOKUP(J1896,Exchange_Rates!A:B,2,FALSE)</f>
        <v>0.66</v>
      </c>
      <c r="L1896" s="4">
        <f t="shared" si="116"/>
        <v>0</v>
      </c>
      <c r="M1896" s="4">
        <f t="shared" si="117"/>
        <v>1296.7614000000001</v>
      </c>
      <c r="N1896" s="4">
        <f t="shared" si="118"/>
        <v>2024</v>
      </c>
      <c r="O1896" s="4">
        <f t="shared" si="119"/>
        <v>3</v>
      </c>
    </row>
    <row r="1897" spans="1:15" x14ac:dyDescent="0.25">
      <c r="A1897" t="s">
        <v>3833</v>
      </c>
      <c r="B1897" s="2">
        <v>45481</v>
      </c>
      <c r="C1897" t="s">
        <v>60</v>
      </c>
      <c r="D1897" t="s">
        <v>61</v>
      </c>
      <c r="E1897">
        <v>0</v>
      </c>
      <c r="F1897">
        <v>3387.63</v>
      </c>
      <c r="G1897" t="s">
        <v>8</v>
      </c>
      <c r="H1897" t="s">
        <v>51</v>
      </c>
      <c r="I1897" t="s">
        <v>3834</v>
      </c>
      <c r="J1897" t="s">
        <v>36</v>
      </c>
      <c r="K1897" s="4">
        <f>VLOOKUP(J1897,Exchange_Rates!A:B,2,FALSE)</f>
        <v>1.08</v>
      </c>
      <c r="L1897" s="4">
        <f t="shared" si="116"/>
        <v>0</v>
      </c>
      <c r="M1897" s="4">
        <f t="shared" si="117"/>
        <v>3658.6404000000002</v>
      </c>
      <c r="N1897" s="4">
        <f t="shared" si="118"/>
        <v>2024</v>
      </c>
      <c r="O1897" s="4">
        <f t="shared" si="119"/>
        <v>3</v>
      </c>
    </row>
    <row r="1898" spans="1:15" x14ac:dyDescent="0.25">
      <c r="A1898" t="s">
        <v>3835</v>
      </c>
      <c r="B1898" s="2">
        <v>45166</v>
      </c>
      <c r="C1898" t="s">
        <v>38</v>
      </c>
      <c r="D1898" t="s">
        <v>39</v>
      </c>
      <c r="E1898">
        <v>1756.28</v>
      </c>
      <c r="F1898">
        <v>0</v>
      </c>
      <c r="G1898" t="s">
        <v>10</v>
      </c>
      <c r="H1898" t="s">
        <v>62</v>
      </c>
      <c r="I1898" t="s">
        <v>3836</v>
      </c>
      <c r="J1898" t="s">
        <v>36</v>
      </c>
      <c r="K1898" s="4">
        <f>VLOOKUP(J1898,Exchange_Rates!A:B,2,FALSE)</f>
        <v>1.08</v>
      </c>
      <c r="L1898" s="4">
        <f t="shared" si="116"/>
        <v>1896.7824000000001</v>
      </c>
      <c r="M1898" s="4">
        <f t="shared" si="117"/>
        <v>0</v>
      </c>
      <c r="N1898" s="4">
        <f t="shared" si="118"/>
        <v>2023</v>
      </c>
      <c r="O1898" s="4">
        <f t="shared" si="119"/>
        <v>3</v>
      </c>
    </row>
    <row r="1899" spans="1:15" x14ac:dyDescent="0.25">
      <c r="A1899" t="s">
        <v>3837</v>
      </c>
      <c r="B1899" s="2">
        <v>45291</v>
      </c>
      <c r="C1899" t="s">
        <v>38</v>
      </c>
      <c r="D1899" t="s">
        <v>39</v>
      </c>
      <c r="E1899">
        <v>938.88</v>
      </c>
      <c r="F1899">
        <v>0</v>
      </c>
      <c r="G1899" t="s">
        <v>9</v>
      </c>
      <c r="H1899" t="s">
        <v>62</v>
      </c>
      <c r="I1899" t="s">
        <v>3838</v>
      </c>
      <c r="J1899" t="s">
        <v>28</v>
      </c>
      <c r="K1899" s="4">
        <f>VLOOKUP(J1899,Exchange_Rates!A:B,2,FALSE)</f>
        <v>1.27</v>
      </c>
      <c r="L1899" s="4">
        <f t="shared" si="116"/>
        <v>1192.3776</v>
      </c>
      <c r="M1899" s="4">
        <f t="shared" si="117"/>
        <v>0</v>
      </c>
      <c r="N1899" s="4">
        <f t="shared" si="118"/>
        <v>2023</v>
      </c>
      <c r="O1899" s="4">
        <f t="shared" si="119"/>
        <v>4</v>
      </c>
    </row>
    <row r="1900" spans="1:15" x14ac:dyDescent="0.25">
      <c r="A1900" t="s">
        <v>3839</v>
      </c>
      <c r="B1900" s="2">
        <v>45637</v>
      </c>
      <c r="C1900" t="s">
        <v>24</v>
      </c>
      <c r="D1900" t="s">
        <v>25</v>
      </c>
      <c r="E1900">
        <v>0</v>
      </c>
      <c r="F1900">
        <v>994.95</v>
      </c>
      <c r="G1900" t="s">
        <v>9</v>
      </c>
      <c r="H1900" t="s">
        <v>26</v>
      </c>
      <c r="I1900" t="s">
        <v>3840</v>
      </c>
      <c r="J1900" t="s">
        <v>64</v>
      </c>
      <c r="K1900" s="4">
        <f>VLOOKUP(J1900,Exchange_Rates!A:B,2,FALSE)</f>
        <v>0.73</v>
      </c>
      <c r="L1900" s="4">
        <f t="shared" si="116"/>
        <v>0</v>
      </c>
      <c r="M1900" s="4">
        <f t="shared" si="117"/>
        <v>726.31349999999998</v>
      </c>
      <c r="N1900" s="4">
        <f t="shared" si="118"/>
        <v>2024</v>
      </c>
      <c r="O1900" s="4">
        <f t="shared" si="119"/>
        <v>4</v>
      </c>
    </row>
    <row r="1901" spans="1:15" x14ac:dyDescent="0.25">
      <c r="A1901" t="s">
        <v>3841</v>
      </c>
      <c r="B1901" s="2">
        <v>45480</v>
      </c>
      <c r="C1901" t="s">
        <v>30</v>
      </c>
      <c r="D1901" t="s">
        <v>31</v>
      </c>
      <c r="E1901">
        <v>1619.31</v>
      </c>
      <c r="F1901">
        <v>0</v>
      </c>
      <c r="G1901" t="s">
        <v>12</v>
      </c>
      <c r="H1901" t="s">
        <v>34</v>
      </c>
      <c r="I1901" t="s">
        <v>3842</v>
      </c>
      <c r="J1901" t="s">
        <v>42</v>
      </c>
      <c r="K1901" s="4">
        <f>VLOOKUP(J1901,Exchange_Rates!A:B,2,FALSE)</f>
        <v>0.66</v>
      </c>
      <c r="L1901" s="4">
        <f t="shared" si="116"/>
        <v>1068.7446</v>
      </c>
      <c r="M1901" s="4">
        <f t="shared" si="117"/>
        <v>0</v>
      </c>
      <c r="N1901" s="4">
        <f t="shared" si="118"/>
        <v>2024</v>
      </c>
      <c r="O1901" s="4">
        <f t="shared" si="119"/>
        <v>3</v>
      </c>
    </row>
    <row r="1902" spans="1:15" x14ac:dyDescent="0.25">
      <c r="A1902" t="s">
        <v>3843</v>
      </c>
      <c r="B1902" s="2">
        <v>45413</v>
      </c>
      <c r="C1902" t="s">
        <v>60</v>
      </c>
      <c r="D1902" t="s">
        <v>61</v>
      </c>
      <c r="E1902">
        <v>0</v>
      </c>
      <c r="F1902">
        <v>2332.9299999999998</v>
      </c>
      <c r="G1902" t="s">
        <v>11</v>
      </c>
      <c r="H1902" t="s">
        <v>62</v>
      </c>
      <c r="I1902" t="s">
        <v>3844</v>
      </c>
      <c r="J1902" t="s">
        <v>45</v>
      </c>
      <c r="K1902" s="4">
        <f>VLOOKUP(J1902,Exchange_Rates!A:B,2,FALSE)</f>
        <v>1</v>
      </c>
      <c r="L1902" s="4">
        <f t="shared" si="116"/>
        <v>0</v>
      </c>
      <c r="M1902" s="4">
        <f t="shared" si="117"/>
        <v>2332.9299999999998</v>
      </c>
      <c r="N1902" s="4">
        <f t="shared" si="118"/>
        <v>2024</v>
      </c>
      <c r="O1902" s="4">
        <f t="shared" si="119"/>
        <v>2</v>
      </c>
    </row>
    <row r="1903" spans="1:15" x14ac:dyDescent="0.25">
      <c r="A1903" t="s">
        <v>3845</v>
      </c>
      <c r="B1903" s="2">
        <v>45199</v>
      </c>
      <c r="C1903" t="s">
        <v>49</v>
      </c>
      <c r="D1903" t="s">
        <v>50</v>
      </c>
      <c r="E1903">
        <v>335.2</v>
      </c>
      <c r="F1903">
        <v>0</v>
      </c>
      <c r="G1903" t="s">
        <v>12</v>
      </c>
      <c r="H1903" t="s">
        <v>34</v>
      </c>
      <c r="I1903" t="s">
        <v>3846</v>
      </c>
      <c r="J1903" t="s">
        <v>45</v>
      </c>
      <c r="K1903" s="4">
        <f>VLOOKUP(J1903,Exchange_Rates!A:B,2,FALSE)</f>
        <v>1</v>
      </c>
      <c r="L1903" s="4">
        <f t="shared" si="116"/>
        <v>335.2</v>
      </c>
      <c r="M1903" s="4">
        <f t="shared" si="117"/>
        <v>0</v>
      </c>
      <c r="N1903" s="4">
        <f t="shared" si="118"/>
        <v>2023</v>
      </c>
      <c r="O1903" s="4">
        <f t="shared" si="119"/>
        <v>3</v>
      </c>
    </row>
    <row r="1904" spans="1:15" x14ac:dyDescent="0.25">
      <c r="A1904" t="s">
        <v>3847</v>
      </c>
      <c r="B1904" s="2">
        <v>45545</v>
      </c>
      <c r="C1904" t="s">
        <v>49</v>
      </c>
      <c r="D1904" t="s">
        <v>50</v>
      </c>
      <c r="E1904">
        <v>1838.96</v>
      </c>
      <c r="F1904">
        <v>0</v>
      </c>
      <c r="G1904" t="s">
        <v>13</v>
      </c>
      <c r="H1904" t="s">
        <v>51</v>
      </c>
      <c r="I1904" t="s">
        <v>3848</v>
      </c>
      <c r="J1904" t="s">
        <v>42</v>
      </c>
      <c r="K1904" s="4">
        <f>VLOOKUP(J1904,Exchange_Rates!A:B,2,FALSE)</f>
        <v>0.66</v>
      </c>
      <c r="L1904" s="4">
        <f t="shared" si="116"/>
        <v>1213.7136</v>
      </c>
      <c r="M1904" s="4">
        <f t="shared" si="117"/>
        <v>0</v>
      </c>
      <c r="N1904" s="4">
        <f t="shared" si="118"/>
        <v>2024</v>
      </c>
      <c r="O1904" s="4">
        <f t="shared" si="119"/>
        <v>3</v>
      </c>
    </row>
    <row r="1905" spans="1:15" x14ac:dyDescent="0.25">
      <c r="A1905" t="s">
        <v>3849</v>
      </c>
      <c r="B1905" s="2">
        <v>45753</v>
      </c>
      <c r="C1905" t="s">
        <v>24</v>
      </c>
      <c r="D1905" t="s">
        <v>25</v>
      </c>
      <c r="E1905">
        <v>0</v>
      </c>
      <c r="F1905">
        <v>2599.65</v>
      </c>
      <c r="G1905" t="s">
        <v>9</v>
      </c>
      <c r="H1905" t="s">
        <v>34</v>
      </c>
      <c r="I1905" t="s">
        <v>3850</v>
      </c>
      <c r="J1905" t="s">
        <v>36</v>
      </c>
      <c r="K1905" s="4">
        <f>VLOOKUP(J1905,Exchange_Rates!A:B,2,FALSE)</f>
        <v>1.08</v>
      </c>
      <c r="L1905" s="4">
        <f t="shared" si="116"/>
        <v>0</v>
      </c>
      <c r="M1905" s="4">
        <f t="shared" si="117"/>
        <v>2807.6220000000003</v>
      </c>
      <c r="N1905" s="4">
        <f t="shared" si="118"/>
        <v>2025</v>
      </c>
      <c r="O1905" s="4">
        <f t="shared" si="119"/>
        <v>2</v>
      </c>
    </row>
    <row r="1906" spans="1:15" x14ac:dyDescent="0.25">
      <c r="A1906" t="s">
        <v>3851</v>
      </c>
      <c r="B1906" s="2">
        <v>45069</v>
      </c>
      <c r="C1906" t="s">
        <v>30</v>
      </c>
      <c r="D1906" t="s">
        <v>31</v>
      </c>
      <c r="E1906">
        <v>801.83</v>
      </c>
      <c r="F1906">
        <v>0</v>
      </c>
      <c r="G1906" t="s">
        <v>10</v>
      </c>
      <c r="H1906" t="s">
        <v>40</v>
      </c>
      <c r="I1906" t="s">
        <v>3852</v>
      </c>
      <c r="J1906" t="s">
        <v>45</v>
      </c>
      <c r="K1906" s="4">
        <f>VLOOKUP(J1906,Exchange_Rates!A:B,2,FALSE)</f>
        <v>1</v>
      </c>
      <c r="L1906" s="4">
        <f t="shared" si="116"/>
        <v>801.83</v>
      </c>
      <c r="M1906" s="4">
        <f t="shared" si="117"/>
        <v>0</v>
      </c>
      <c r="N1906" s="4">
        <f t="shared" si="118"/>
        <v>2023</v>
      </c>
      <c r="O1906" s="4">
        <f t="shared" si="119"/>
        <v>2</v>
      </c>
    </row>
    <row r="1907" spans="1:15" x14ac:dyDescent="0.25">
      <c r="A1907" t="s">
        <v>3853</v>
      </c>
      <c r="B1907" s="2">
        <v>45153</v>
      </c>
      <c r="C1907" t="s">
        <v>30</v>
      </c>
      <c r="D1907" t="s">
        <v>31</v>
      </c>
      <c r="E1907">
        <v>54.12</v>
      </c>
      <c r="F1907">
        <v>0</v>
      </c>
      <c r="G1907" t="s">
        <v>11</v>
      </c>
      <c r="H1907" t="s">
        <v>62</v>
      </c>
      <c r="I1907" t="s">
        <v>3854</v>
      </c>
      <c r="J1907" t="s">
        <v>28</v>
      </c>
      <c r="K1907" s="4">
        <f>VLOOKUP(J1907,Exchange_Rates!A:B,2,FALSE)</f>
        <v>1.27</v>
      </c>
      <c r="L1907" s="4">
        <f t="shared" si="116"/>
        <v>68.732399999999998</v>
      </c>
      <c r="M1907" s="4">
        <f t="shared" si="117"/>
        <v>0</v>
      </c>
      <c r="N1907" s="4">
        <f t="shared" si="118"/>
        <v>2023</v>
      </c>
      <c r="O1907" s="4">
        <f t="shared" si="119"/>
        <v>3</v>
      </c>
    </row>
    <row r="1908" spans="1:15" x14ac:dyDescent="0.25">
      <c r="A1908" t="s">
        <v>3855</v>
      </c>
      <c r="B1908" s="2">
        <v>44973</v>
      </c>
      <c r="C1908" t="s">
        <v>30</v>
      </c>
      <c r="D1908" t="s">
        <v>31</v>
      </c>
      <c r="E1908">
        <v>326.83</v>
      </c>
      <c r="F1908">
        <v>0</v>
      </c>
      <c r="G1908" t="s">
        <v>12</v>
      </c>
      <c r="H1908" t="s">
        <v>51</v>
      </c>
      <c r="I1908" t="s">
        <v>3856</v>
      </c>
      <c r="J1908" t="s">
        <v>64</v>
      </c>
      <c r="K1908" s="4">
        <f>VLOOKUP(J1908,Exchange_Rates!A:B,2,FALSE)</f>
        <v>0.73</v>
      </c>
      <c r="L1908" s="4">
        <f t="shared" si="116"/>
        <v>238.58589999999998</v>
      </c>
      <c r="M1908" s="4">
        <f t="shared" si="117"/>
        <v>0</v>
      </c>
      <c r="N1908" s="4">
        <f t="shared" si="118"/>
        <v>2023</v>
      </c>
      <c r="O1908" s="4">
        <f t="shared" si="119"/>
        <v>1</v>
      </c>
    </row>
    <row r="1909" spans="1:15" x14ac:dyDescent="0.25">
      <c r="A1909" t="s">
        <v>3857</v>
      </c>
      <c r="B1909" s="2">
        <v>45327</v>
      </c>
      <c r="C1909" t="s">
        <v>30</v>
      </c>
      <c r="D1909" t="s">
        <v>31</v>
      </c>
      <c r="E1909">
        <v>1868.89</v>
      </c>
      <c r="F1909">
        <v>0</v>
      </c>
      <c r="G1909" t="s">
        <v>11</v>
      </c>
      <c r="H1909" t="s">
        <v>62</v>
      </c>
      <c r="I1909" t="s">
        <v>3858</v>
      </c>
      <c r="J1909" t="s">
        <v>28</v>
      </c>
      <c r="K1909" s="4">
        <f>VLOOKUP(J1909,Exchange_Rates!A:B,2,FALSE)</f>
        <v>1.27</v>
      </c>
      <c r="L1909" s="4">
        <f t="shared" si="116"/>
        <v>2373.4902999999999</v>
      </c>
      <c r="M1909" s="4">
        <f t="shared" si="117"/>
        <v>0</v>
      </c>
      <c r="N1909" s="4">
        <f t="shared" si="118"/>
        <v>2024</v>
      </c>
      <c r="O1909" s="4">
        <f t="shared" si="119"/>
        <v>1</v>
      </c>
    </row>
    <row r="1910" spans="1:15" x14ac:dyDescent="0.25">
      <c r="A1910" t="s">
        <v>3859</v>
      </c>
      <c r="B1910" s="2">
        <v>45513</v>
      </c>
      <c r="C1910" t="s">
        <v>38</v>
      </c>
      <c r="D1910" t="s">
        <v>39</v>
      </c>
      <c r="E1910">
        <v>1572.8</v>
      </c>
      <c r="F1910">
        <v>0</v>
      </c>
      <c r="G1910" t="s">
        <v>13</v>
      </c>
      <c r="H1910" t="s">
        <v>40</v>
      </c>
      <c r="I1910" t="s">
        <v>3860</v>
      </c>
      <c r="J1910" t="s">
        <v>42</v>
      </c>
      <c r="K1910" s="4">
        <f>VLOOKUP(J1910,Exchange_Rates!A:B,2,FALSE)</f>
        <v>0.66</v>
      </c>
      <c r="L1910" s="4">
        <f t="shared" si="116"/>
        <v>1038.048</v>
      </c>
      <c r="M1910" s="4">
        <f t="shared" si="117"/>
        <v>0</v>
      </c>
      <c r="N1910" s="4">
        <f t="shared" si="118"/>
        <v>2024</v>
      </c>
      <c r="O1910" s="4">
        <f t="shared" si="119"/>
        <v>3</v>
      </c>
    </row>
    <row r="1911" spans="1:15" x14ac:dyDescent="0.25">
      <c r="A1911" t="s">
        <v>3861</v>
      </c>
      <c r="B1911" s="2">
        <v>45786</v>
      </c>
      <c r="C1911" t="s">
        <v>49</v>
      </c>
      <c r="D1911" t="s">
        <v>50</v>
      </c>
      <c r="E1911">
        <v>284.08</v>
      </c>
      <c r="F1911">
        <v>0</v>
      </c>
      <c r="G1911" t="s">
        <v>12</v>
      </c>
      <c r="H1911" t="s">
        <v>62</v>
      </c>
      <c r="I1911" t="s">
        <v>3862</v>
      </c>
      <c r="J1911" t="s">
        <v>42</v>
      </c>
      <c r="K1911" s="4">
        <f>VLOOKUP(J1911,Exchange_Rates!A:B,2,FALSE)</f>
        <v>0.66</v>
      </c>
      <c r="L1911" s="4">
        <f t="shared" si="116"/>
        <v>187.49279999999999</v>
      </c>
      <c r="M1911" s="4">
        <f t="shared" si="117"/>
        <v>0</v>
      </c>
      <c r="N1911" s="4">
        <f t="shared" si="118"/>
        <v>2025</v>
      </c>
      <c r="O1911" s="4">
        <f t="shared" si="119"/>
        <v>2</v>
      </c>
    </row>
    <row r="1912" spans="1:15" x14ac:dyDescent="0.25">
      <c r="A1912" t="s">
        <v>3863</v>
      </c>
      <c r="B1912" s="2">
        <v>45262</v>
      </c>
      <c r="C1912" t="s">
        <v>60</v>
      </c>
      <c r="D1912" t="s">
        <v>61</v>
      </c>
      <c r="E1912">
        <v>0</v>
      </c>
      <c r="F1912">
        <v>2962.29</v>
      </c>
      <c r="G1912" t="s">
        <v>11</v>
      </c>
      <c r="H1912" t="s">
        <v>34</v>
      </c>
      <c r="I1912" t="s">
        <v>3864</v>
      </c>
      <c r="J1912" t="s">
        <v>45</v>
      </c>
      <c r="K1912" s="4">
        <f>VLOOKUP(J1912,Exchange_Rates!A:B,2,FALSE)</f>
        <v>1</v>
      </c>
      <c r="L1912" s="4">
        <f t="shared" si="116"/>
        <v>0</v>
      </c>
      <c r="M1912" s="4">
        <f t="shared" si="117"/>
        <v>2962.29</v>
      </c>
      <c r="N1912" s="4">
        <f t="shared" si="118"/>
        <v>2023</v>
      </c>
      <c r="O1912" s="4">
        <f t="shared" si="119"/>
        <v>4</v>
      </c>
    </row>
    <row r="1913" spans="1:15" x14ac:dyDescent="0.25">
      <c r="A1913" t="s">
        <v>3865</v>
      </c>
      <c r="B1913" s="2">
        <v>45739</v>
      </c>
      <c r="C1913" t="s">
        <v>60</v>
      </c>
      <c r="D1913" t="s">
        <v>61</v>
      </c>
      <c r="E1913">
        <v>0</v>
      </c>
      <c r="F1913">
        <v>1937.71</v>
      </c>
      <c r="G1913" t="s">
        <v>10</v>
      </c>
      <c r="H1913" t="s">
        <v>62</v>
      </c>
      <c r="I1913" t="s">
        <v>3866</v>
      </c>
      <c r="J1913" t="s">
        <v>36</v>
      </c>
      <c r="K1913" s="4">
        <f>VLOOKUP(J1913,Exchange_Rates!A:B,2,FALSE)</f>
        <v>1.08</v>
      </c>
      <c r="L1913" s="4">
        <f t="shared" si="116"/>
        <v>0</v>
      </c>
      <c r="M1913" s="4">
        <f t="shared" si="117"/>
        <v>2092.7268000000004</v>
      </c>
      <c r="N1913" s="4">
        <f t="shared" si="118"/>
        <v>2025</v>
      </c>
      <c r="O1913" s="4">
        <f t="shared" si="119"/>
        <v>1</v>
      </c>
    </row>
    <row r="1914" spans="1:15" x14ac:dyDescent="0.25">
      <c r="A1914" t="s">
        <v>3867</v>
      </c>
      <c r="B1914" s="2">
        <v>45223</v>
      </c>
      <c r="C1914" t="s">
        <v>60</v>
      </c>
      <c r="D1914" t="s">
        <v>61</v>
      </c>
      <c r="E1914">
        <v>0</v>
      </c>
      <c r="F1914">
        <v>166.31</v>
      </c>
      <c r="G1914" t="s">
        <v>8</v>
      </c>
      <c r="H1914" t="s">
        <v>26</v>
      </c>
      <c r="I1914" t="s">
        <v>3868</v>
      </c>
      <c r="J1914" t="s">
        <v>64</v>
      </c>
      <c r="K1914" s="4">
        <f>VLOOKUP(J1914,Exchange_Rates!A:B,2,FALSE)</f>
        <v>0.73</v>
      </c>
      <c r="L1914" s="4">
        <f t="shared" si="116"/>
        <v>0</v>
      </c>
      <c r="M1914" s="4">
        <f t="shared" si="117"/>
        <v>121.4063</v>
      </c>
      <c r="N1914" s="4">
        <f t="shared" si="118"/>
        <v>2023</v>
      </c>
      <c r="O1914" s="4">
        <f t="shared" si="119"/>
        <v>4</v>
      </c>
    </row>
    <row r="1915" spans="1:15" x14ac:dyDescent="0.25">
      <c r="A1915" t="s">
        <v>3869</v>
      </c>
      <c r="B1915" s="2">
        <v>45035</v>
      </c>
      <c r="C1915" t="s">
        <v>24</v>
      </c>
      <c r="D1915" t="s">
        <v>25</v>
      </c>
      <c r="E1915">
        <v>0</v>
      </c>
      <c r="F1915">
        <v>1137.06</v>
      </c>
      <c r="G1915" t="s">
        <v>10</v>
      </c>
      <c r="H1915" t="s">
        <v>51</v>
      </c>
      <c r="I1915" t="s">
        <v>3870</v>
      </c>
      <c r="J1915" t="s">
        <v>36</v>
      </c>
      <c r="K1915" s="4">
        <f>VLOOKUP(J1915,Exchange_Rates!A:B,2,FALSE)</f>
        <v>1.08</v>
      </c>
      <c r="L1915" s="4">
        <f t="shared" si="116"/>
        <v>0</v>
      </c>
      <c r="M1915" s="4">
        <f t="shared" si="117"/>
        <v>1228.0247999999999</v>
      </c>
      <c r="N1915" s="4">
        <f t="shared" si="118"/>
        <v>2023</v>
      </c>
      <c r="O1915" s="4">
        <f t="shared" si="119"/>
        <v>2</v>
      </c>
    </row>
    <row r="1916" spans="1:15" x14ac:dyDescent="0.25">
      <c r="A1916" t="s">
        <v>3871</v>
      </c>
      <c r="B1916" s="2">
        <v>45366</v>
      </c>
      <c r="C1916" t="s">
        <v>60</v>
      </c>
      <c r="D1916" t="s">
        <v>61</v>
      </c>
      <c r="E1916">
        <v>0</v>
      </c>
      <c r="F1916">
        <v>993.38</v>
      </c>
      <c r="G1916" t="s">
        <v>8</v>
      </c>
      <c r="H1916" t="s">
        <v>62</v>
      </c>
      <c r="I1916" t="s">
        <v>3872</v>
      </c>
      <c r="J1916" t="s">
        <v>42</v>
      </c>
      <c r="K1916" s="4">
        <f>VLOOKUP(J1916,Exchange_Rates!A:B,2,FALSE)</f>
        <v>0.66</v>
      </c>
      <c r="L1916" s="4">
        <f t="shared" si="116"/>
        <v>0</v>
      </c>
      <c r="M1916" s="4">
        <f t="shared" si="117"/>
        <v>655.63080000000002</v>
      </c>
      <c r="N1916" s="4">
        <f t="shared" si="118"/>
        <v>2024</v>
      </c>
      <c r="O1916" s="4">
        <f t="shared" si="119"/>
        <v>1</v>
      </c>
    </row>
    <row r="1917" spans="1:15" x14ac:dyDescent="0.25">
      <c r="A1917" t="s">
        <v>3873</v>
      </c>
      <c r="B1917" s="2">
        <v>45445</v>
      </c>
      <c r="C1917" t="s">
        <v>49</v>
      </c>
      <c r="D1917" t="s">
        <v>50</v>
      </c>
      <c r="E1917">
        <v>1915.74</v>
      </c>
      <c r="F1917">
        <v>0</v>
      </c>
      <c r="G1917" t="s">
        <v>8</v>
      </c>
      <c r="H1917" t="s">
        <v>34</v>
      </c>
      <c r="I1917" t="s">
        <v>3874</v>
      </c>
      <c r="J1917" t="s">
        <v>28</v>
      </c>
      <c r="K1917" s="4">
        <f>VLOOKUP(J1917,Exchange_Rates!A:B,2,FALSE)</f>
        <v>1.27</v>
      </c>
      <c r="L1917" s="4">
        <f t="shared" si="116"/>
        <v>2432.9897999999998</v>
      </c>
      <c r="M1917" s="4">
        <f t="shared" si="117"/>
        <v>0</v>
      </c>
      <c r="N1917" s="4">
        <f t="shared" si="118"/>
        <v>2024</v>
      </c>
      <c r="O1917" s="4">
        <f t="shared" si="119"/>
        <v>2</v>
      </c>
    </row>
    <row r="1918" spans="1:15" x14ac:dyDescent="0.25">
      <c r="A1918" t="s">
        <v>3875</v>
      </c>
      <c r="B1918" s="2">
        <v>45145</v>
      </c>
      <c r="C1918" t="s">
        <v>49</v>
      </c>
      <c r="D1918" t="s">
        <v>50</v>
      </c>
      <c r="E1918">
        <v>1850.88</v>
      </c>
      <c r="F1918">
        <v>0</v>
      </c>
      <c r="G1918" t="s">
        <v>12</v>
      </c>
      <c r="H1918" t="s">
        <v>34</v>
      </c>
      <c r="I1918" t="s">
        <v>3876</v>
      </c>
      <c r="J1918" t="s">
        <v>28</v>
      </c>
      <c r="K1918" s="4">
        <f>VLOOKUP(J1918,Exchange_Rates!A:B,2,FALSE)</f>
        <v>1.27</v>
      </c>
      <c r="L1918" s="4">
        <f t="shared" si="116"/>
        <v>2350.6176</v>
      </c>
      <c r="M1918" s="4">
        <f t="shared" si="117"/>
        <v>0</v>
      </c>
      <c r="N1918" s="4">
        <f t="shared" si="118"/>
        <v>2023</v>
      </c>
      <c r="O1918" s="4">
        <f t="shared" si="119"/>
        <v>3</v>
      </c>
    </row>
    <row r="1919" spans="1:15" x14ac:dyDescent="0.25">
      <c r="A1919" t="s">
        <v>3877</v>
      </c>
      <c r="B1919" s="2">
        <v>45143</v>
      </c>
      <c r="C1919" t="s">
        <v>60</v>
      </c>
      <c r="D1919" t="s">
        <v>61</v>
      </c>
      <c r="E1919">
        <v>0</v>
      </c>
      <c r="F1919">
        <v>4525.68</v>
      </c>
      <c r="G1919" t="s">
        <v>11</v>
      </c>
      <c r="H1919" t="s">
        <v>62</v>
      </c>
      <c r="I1919" t="s">
        <v>3878</v>
      </c>
      <c r="J1919" t="s">
        <v>45</v>
      </c>
      <c r="K1919" s="4">
        <f>VLOOKUP(J1919,Exchange_Rates!A:B,2,FALSE)</f>
        <v>1</v>
      </c>
      <c r="L1919" s="4">
        <f t="shared" si="116"/>
        <v>0</v>
      </c>
      <c r="M1919" s="4">
        <f t="shared" si="117"/>
        <v>4525.68</v>
      </c>
      <c r="N1919" s="4">
        <f t="shared" si="118"/>
        <v>2023</v>
      </c>
      <c r="O1919" s="4">
        <f t="shared" si="119"/>
        <v>3</v>
      </c>
    </row>
    <row r="1920" spans="1:15" x14ac:dyDescent="0.25">
      <c r="A1920" t="s">
        <v>3879</v>
      </c>
      <c r="B1920" s="2">
        <v>44942</v>
      </c>
      <c r="C1920" t="s">
        <v>49</v>
      </c>
      <c r="D1920" t="s">
        <v>50</v>
      </c>
      <c r="E1920">
        <v>854.45</v>
      </c>
      <c r="F1920">
        <v>0</v>
      </c>
      <c r="G1920" t="s">
        <v>12</v>
      </c>
      <c r="H1920" t="s">
        <v>62</v>
      </c>
      <c r="I1920" t="s">
        <v>3880</v>
      </c>
      <c r="J1920" t="s">
        <v>28</v>
      </c>
      <c r="K1920" s="4">
        <f>VLOOKUP(J1920,Exchange_Rates!A:B,2,FALSE)</f>
        <v>1.27</v>
      </c>
      <c r="L1920" s="4">
        <f t="shared" si="116"/>
        <v>1085.1515000000002</v>
      </c>
      <c r="M1920" s="4">
        <f t="shared" si="117"/>
        <v>0</v>
      </c>
      <c r="N1920" s="4">
        <f t="shared" si="118"/>
        <v>2023</v>
      </c>
      <c r="O1920" s="4">
        <f t="shared" si="119"/>
        <v>1</v>
      </c>
    </row>
    <row r="1921" spans="1:15" x14ac:dyDescent="0.25">
      <c r="A1921" t="s">
        <v>3881</v>
      </c>
      <c r="B1921" s="2">
        <v>45574</v>
      </c>
      <c r="C1921" t="s">
        <v>30</v>
      </c>
      <c r="D1921" t="s">
        <v>31</v>
      </c>
      <c r="E1921">
        <v>198.43</v>
      </c>
      <c r="F1921">
        <v>0</v>
      </c>
      <c r="G1921" t="s">
        <v>10</v>
      </c>
      <c r="H1921" t="s">
        <v>40</v>
      </c>
      <c r="I1921" t="s">
        <v>3882</v>
      </c>
      <c r="J1921" t="s">
        <v>42</v>
      </c>
      <c r="K1921" s="4">
        <f>VLOOKUP(J1921,Exchange_Rates!A:B,2,FALSE)</f>
        <v>0.66</v>
      </c>
      <c r="L1921" s="4">
        <f t="shared" si="116"/>
        <v>130.96380000000002</v>
      </c>
      <c r="M1921" s="4">
        <f t="shared" si="117"/>
        <v>0</v>
      </c>
      <c r="N1921" s="4">
        <f t="shared" si="118"/>
        <v>2024</v>
      </c>
      <c r="O1921" s="4">
        <f t="shared" si="119"/>
        <v>4</v>
      </c>
    </row>
    <row r="1922" spans="1:15" x14ac:dyDescent="0.25">
      <c r="A1922" t="s">
        <v>3883</v>
      </c>
      <c r="B1922" s="2">
        <v>45720</v>
      </c>
      <c r="C1922" t="s">
        <v>38</v>
      </c>
      <c r="D1922" t="s">
        <v>39</v>
      </c>
      <c r="E1922">
        <v>1818.32</v>
      </c>
      <c r="F1922">
        <v>0</v>
      </c>
      <c r="G1922" t="s">
        <v>8</v>
      </c>
      <c r="H1922" t="s">
        <v>34</v>
      </c>
      <c r="I1922" t="s">
        <v>3884</v>
      </c>
      <c r="J1922" t="s">
        <v>64</v>
      </c>
      <c r="K1922" s="4">
        <f>VLOOKUP(J1922,Exchange_Rates!A:B,2,FALSE)</f>
        <v>0.73</v>
      </c>
      <c r="L1922" s="4">
        <f t="shared" si="116"/>
        <v>1327.3735999999999</v>
      </c>
      <c r="M1922" s="4">
        <f t="shared" si="117"/>
        <v>0</v>
      </c>
      <c r="N1922" s="4">
        <f t="shared" si="118"/>
        <v>2025</v>
      </c>
      <c r="O1922" s="4">
        <f t="shared" si="119"/>
        <v>1</v>
      </c>
    </row>
    <row r="1923" spans="1:15" x14ac:dyDescent="0.25">
      <c r="A1923" t="s">
        <v>3885</v>
      </c>
      <c r="B1923" s="2">
        <v>45384</v>
      </c>
      <c r="C1923" t="s">
        <v>60</v>
      </c>
      <c r="D1923" t="s">
        <v>61</v>
      </c>
      <c r="E1923">
        <v>0</v>
      </c>
      <c r="F1923">
        <v>2638.4</v>
      </c>
      <c r="G1923" t="s">
        <v>13</v>
      </c>
      <c r="H1923" t="s">
        <v>62</v>
      </c>
      <c r="I1923" t="s">
        <v>3886</v>
      </c>
      <c r="J1923" t="s">
        <v>45</v>
      </c>
      <c r="K1923" s="4">
        <f>VLOOKUP(J1923,Exchange_Rates!A:B,2,FALSE)</f>
        <v>1</v>
      </c>
      <c r="L1923" s="4">
        <f t="shared" ref="L1923:L1986" si="120">E1923*K1923</f>
        <v>0</v>
      </c>
      <c r="M1923" s="4">
        <f t="shared" ref="M1923:M1986" si="121">F1923*K1923</f>
        <v>2638.4</v>
      </c>
      <c r="N1923" s="4">
        <f t="shared" ref="N1923:N1986" si="122">YEAR(B1923)</f>
        <v>2024</v>
      </c>
      <c r="O1923" s="4">
        <f t="shared" ref="O1923:O1986" si="123">ROUNDUP(MONTH(B1923)/3,0)</f>
        <v>2</v>
      </c>
    </row>
    <row r="1924" spans="1:15" x14ac:dyDescent="0.25">
      <c r="A1924" t="s">
        <v>3887</v>
      </c>
      <c r="B1924" s="2">
        <v>45003</v>
      </c>
      <c r="C1924" t="s">
        <v>60</v>
      </c>
      <c r="D1924" t="s">
        <v>61</v>
      </c>
      <c r="E1924">
        <v>0</v>
      </c>
      <c r="F1924">
        <v>2791.71</v>
      </c>
      <c r="G1924" t="s">
        <v>9</v>
      </c>
      <c r="H1924" t="s">
        <v>51</v>
      </c>
      <c r="I1924" t="s">
        <v>3888</v>
      </c>
      <c r="J1924" t="s">
        <v>64</v>
      </c>
      <c r="K1924" s="4">
        <f>VLOOKUP(J1924,Exchange_Rates!A:B,2,FALSE)</f>
        <v>0.73</v>
      </c>
      <c r="L1924" s="4">
        <f t="shared" si="120"/>
        <v>0</v>
      </c>
      <c r="M1924" s="4">
        <f t="shared" si="121"/>
        <v>2037.9483</v>
      </c>
      <c r="N1924" s="4">
        <f t="shared" si="122"/>
        <v>2023</v>
      </c>
      <c r="O1924" s="4">
        <f t="shared" si="123"/>
        <v>1</v>
      </c>
    </row>
    <row r="1925" spans="1:15" x14ac:dyDescent="0.25">
      <c r="A1925" t="s">
        <v>3889</v>
      </c>
      <c r="B1925" s="2">
        <v>45320</v>
      </c>
      <c r="C1925" t="s">
        <v>30</v>
      </c>
      <c r="D1925" t="s">
        <v>31</v>
      </c>
      <c r="E1925">
        <v>726.03</v>
      </c>
      <c r="F1925">
        <v>0</v>
      </c>
      <c r="G1925" t="s">
        <v>9</v>
      </c>
      <c r="H1925" t="s">
        <v>62</v>
      </c>
      <c r="I1925" t="s">
        <v>3890</v>
      </c>
      <c r="J1925" t="s">
        <v>45</v>
      </c>
      <c r="K1925" s="4">
        <f>VLOOKUP(J1925,Exchange_Rates!A:B,2,FALSE)</f>
        <v>1</v>
      </c>
      <c r="L1925" s="4">
        <f t="shared" si="120"/>
        <v>726.03</v>
      </c>
      <c r="M1925" s="4">
        <f t="shared" si="121"/>
        <v>0</v>
      </c>
      <c r="N1925" s="4">
        <f t="shared" si="122"/>
        <v>2024</v>
      </c>
      <c r="O1925" s="4">
        <f t="shared" si="123"/>
        <v>1</v>
      </c>
    </row>
    <row r="1926" spans="1:15" x14ac:dyDescent="0.25">
      <c r="A1926" t="s">
        <v>3891</v>
      </c>
      <c r="B1926" s="2">
        <v>45055</v>
      </c>
      <c r="C1926" t="s">
        <v>30</v>
      </c>
      <c r="D1926" t="s">
        <v>31</v>
      </c>
      <c r="E1926">
        <v>1370.59</v>
      </c>
      <c r="F1926">
        <v>0</v>
      </c>
      <c r="G1926" t="s">
        <v>11</v>
      </c>
      <c r="H1926" t="s">
        <v>62</v>
      </c>
      <c r="I1926" t="s">
        <v>3892</v>
      </c>
      <c r="J1926" t="s">
        <v>42</v>
      </c>
      <c r="K1926" s="4">
        <f>VLOOKUP(J1926,Exchange_Rates!A:B,2,FALSE)</f>
        <v>0.66</v>
      </c>
      <c r="L1926" s="4">
        <f t="shared" si="120"/>
        <v>904.58939999999996</v>
      </c>
      <c r="M1926" s="4">
        <f t="shared" si="121"/>
        <v>0</v>
      </c>
      <c r="N1926" s="4">
        <f t="shared" si="122"/>
        <v>2023</v>
      </c>
      <c r="O1926" s="4">
        <f t="shared" si="123"/>
        <v>2</v>
      </c>
    </row>
    <row r="1927" spans="1:15" x14ac:dyDescent="0.25">
      <c r="A1927" t="s">
        <v>3893</v>
      </c>
      <c r="B1927" s="2">
        <v>45409</v>
      </c>
      <c r="C1927" t="s">
        <v>49</v>
      </c>
      <c r="D1927" t="s">
        <v>50</v>
      </c>
      <c r="E1927">
        <v>263.16000000000003</v>
      </c>
      <c r="F1927">
        <v>0</v>
      </c>
      <c r="G1927" t="s">
        <v>10</v>
      </c>
      <c r="H1927" t="s">
        <v>40</v>
      </c>
      <c r="I1927" t="s">
        <v>3894</v>
      </c>
      <c r="J1927" t="s">
        <v>64</v>
      </c>
      <c r="K1927" s="4">
        <f>VLOOKUP(J1927,Exchange_Rates!A:B,2,FALSE)</f>
        <v>0.73</v>
      </c>
      <c r="L1927" s="4">
        <f t="shared" si="120"/>
        <v>192.10680000000002</v>
      </c>
      <c r="M1927" s="4">
        <f t="shared" si="121"/>
        <v>0</v>
      </c>
      <c r="N1927" s="4">
        <f t="shared" si="122"/>
        <v>2024</v>
      </c>
      <c r="O1927" s="4">
        <f t="shared" si="123"/>
        <v>2</v>
      </c>
    </row>
    <row r="1928" spans="1:15" x14ac:dyDescent="0.25">
      <c r="A1928" t="s">
        <v>3895</v>
      </c>
      <c r="B1928" s="2">
        <v>45561</v>
      </c>
      <c r="C1928" t="s">
        <v>49</v>
      </c>
      <c r="D1928" t="s">
        <v>50</v>
      </c>
      <c r="E1928">
        <v>1336.28</v>
      </c>
      <c r="F1928">
        <v>0</v>
      </c>
      <c r="G1928" t="s">
        <v>10</v>
      </c>
      <c r="H1928" t="s">
        <v>34</v>
      </c>
      <c r="I1928" t="s">
        <v>3896</v>
      </c>
      <c r="J1928" t="s">
        <v>42</v>
      </c>
      <c r="K1928" s="4">
        <f>VLOOKUP(J1928,Exchange_Rates!A:B,2,FALSE)</f>
        <v>0.66</v>
      </c>
      <c r="L1928" s="4">
        <f t="shared" si="120"/>
        <v>881.94479999999999</v>
      </c>
      <c r="M1928" s="4">
        <f t="shared" si="121"/>
        <v>0</v>
      </c>
      <c r="N1928" s="4">
        <f t="shared" si="122"/>
        <v>2024</v>
      </c>
      <c r="O1928" s="4">
        <f t="shared" si="123"/>
        <v>3</v>
      </c>
    </row>
    <row r="1929" spans="1:15" x14ac:dyDescent="0.25">
      <c r="A1929" t="s">
        <v>3897</v>
      </c>
      <c r="B1929" s="2">
        <v>45435</v>
      </c>
      <c r="C1929" t="s">
        <v>38</v>
      </c>
      <c r="D1929" t="s">
        <v>39</v>
      </c>
      <c r="E1929">
        <v>1661.05</v>
      </c>
      <c r="F1929">
        <v>0</v>
      </c>
      <c r="G1929" t="s">
        <v>12</v>
      </c>
      <c r="H1929" t="s">
        <v>40</v>
      </c>
      <c r="I1929" t="s">
        <v>3898</v>
      </c>
      <c r="J1929" t="s">
        <v>36</v>
      </c>
      <c r="K1929" s="4">
        <f>VLOOKUP(J1929,Exchange_Rates!A:B,2,FALSE)</f>
        <v>1.08</v>
      </c>
      <c r="L1929" s="4">
        <f t="shared" si="120"/>
        <v>1793.934</v>
      </c>
      <c r="M1929" s="4">
        <f t="shared" si="121"/>
        <v>0</v>
      </c>
      <c r="N1929" s="4">
        <f t="shared" si="122"/>
        <v>2024</v>
      </c>
      <c r="O1929" s="4">
        <f t="shared" si="123"/>
        <v>2</v>
      </c>
    </row>
    <row r="1930" spans="1:15" x14ac:dyDescent="0.25">
      <c r="A1930" t="s">
        <v>3899</v>
      </c>
      <c r="B1930" s="2">
        <v>45247</v>
      </c>
      <c r="C1930" t="s">
        <v>24</v>
      </c>
      <c r="D1930" t="s">
        <v>25</v>
      </c>
      <c r="E1930">
        <v>0</v>
      </c>
      <c r="F1930">
        <v>2221.86</v>
      </c>
      <c r="G1930" t="s">
        <v>13</v>
      </c>
      <c r="H1930" t="s">
        <v>34</v>
      </c>
      <c r="I1930" t="s">
        <v>3900</v>
      </c>
      <c r="J1930" t="s">
        <v>28</v>
      </c>
      <c r="K1930" s="4">
        <f>VLOOKUP(J1930,Exchange_Rates!A:B,2,FALSE)</f>
        <v>1.27</v>
      </c>
      <c r="L1930" s="4">
        <f t="shared" si="120"/>
        <v>0</v>
      </c>
      <c r="M1930" s="4">
        <f t="shared" si="121"/>
        <v>2821.7622000000001</v>
      </c>
      <c r="N1930" s="4">
        <f t="shared" si="122"/>
        <v>2023</v>
      </c>
      <c r="O1930" s="4">
        <f t="shared" si="123"/>
        <v>4</v>
      </c>
    </row>
    <row r="1931" spans="1:15" x14ac:dyDescent="0.25">
      <c r="A1931" t="s">
        <v>3901</v>
      </c>
      <c r="B1931" s="2">
        <v>45356</v>
      </c>
      <c r="C1931" t="s">
        <v>60</v>
      </c>
      <c r="D1931" t="s">
        <v>61</v>
      </c>
      <c r="E1931">
        <v>0</v>
      </c>
      <c r="F1931">
        <v>4064.87</v>
      </c>
      <c r="G1931" t="s">
        <v>11</v>
      </c>
      <c r="H1931" t="s">
        <v>34</v>
      </c>
      <c r="I1931" t="s">
        <v>3902</v>
      </c>
      <c r="J1931" t="s">
        <v>64</v>
      </c>
      <c r="K1931" s="4">
        <f>VLOOKUP(J1931,Exchange_Rates!A:B,2,FALSE)</f>
        <v>0.73</v>
      </c>
      <c r="L1931" s="4">
        <f t="shared" si="120"/>
        <v>0</v>
      </c>
      <c r="M1931" s="4">
        <f t="shared" si="121"/>
        <v>2967.3550999999998</v>
      </c>
      <c r="N1931" s="4">
        <f t="shared" si="122"/>
        <v>2024</v>
      </c>
      <c r="O1931" s="4">
        <f t="shared" si="123"/>
        <v>1</v>
      </c>
    </row>
    <row r="1932" spans="1:15" x14ac:dyDescent="0.25">
      <c r="A1932" t="s">
        <v>3903</v>
      </c>
      <c r="B1932" s="2">
        <v>45592</v>
      </c>
      <c r="C1932" t="s">
        <v>30</v>
      </c>
      <c r="D1932" t="s">
        <v>31</v>
      </c>
      <c r="E1932">
        <v>564.04</v>
      </c>
      <c r="F1932">
        <v>0</v>
      </c>
      <c r="G1932" t="s">
        <v>12</v>
      </c>
      <c r="H1932" t="s">
        <v>40</v>
      </c>
      <c r="I1932" t="s">
        <v>3904</v>
      </c>
      <c r="J1932" t="s">
        <v>45</v>
      </c>
      <c r="K1932" s="4">
        <f>VLOOKUP(J1932,Exchange_Rates!A:B,2,FALSE)</f>
        <v>1</v>
      </c>
      <c r="L1932" s="4">
        <f t="shared" si="120"/>
        <v>564.04</v>
      </c>
      <c r="M1932" s="4">
        <f t="shared" si="121"/>
        <v>0</v>
      </c>
      <c r="N1932" s="4">
        <f t="shared" si="122"/>
        <v>2024</v>
      </c>
      <c r="O1932" s="4">
        <f t="shared" si="123"/>
        <v>4</v>
      </c>
    </row>
    <row r="1933" spans="1:15" x14ac:dyDescent="0.25">
      <c r="A1933" t="s">
        <v>3905</v>
      </c>
      <c r="B1933" s="2">
        <v>45255</v>
      </c>
      <c r="C1933" t="s">
        <v>60</v>
      </c>
      <c r="D1933" t="s">
        <v>61</v>
      </c>
      <c r="E1933">
        <v>0</v>
      </c>
      <c r="F1933">
        <v>2394.69</v>
      </c>
      <c r="G1933" t="s">
        <v>13</v>
      </c>
      <c r="H1933" t="s">
        <v>34</v>
      </c>
      <c r="I1933" t="s">
        <v>3906</v>
      </c>
      <c r="J1933" t="s">
        <v>42</v>
      </c>
      <c r="K1933" s="4">
        <f>VLOOKUP(J1933,Exchange_Rates!A:B,2,FALSE)</f>
        <v>0.66</v>
      </c>
      <c r="L1933" s="4">
        <f t="shared" si="120"/>
        <v>0</v>
      </c>
      <c r="M1933" s="4">
        <f t="shared" si="121"/>
        <v>1580.4954</v>
      </c>
      <c r="N1933" s="4">
        <f t="shared" si="122"/>
        <v>2023</v>
      </c>
      <c r="O1933" s="4">
        <f t="shared" si="123"/>
        <v>4</v>
      </c>
    </row>
    <row r="1934" spans="1:15" x14ac:dyDescent="0.25">
      <c r="A1934" t="s">
        <v>3907</v>
      </c>
      <c r="B1934" s="2">
        <v>45583</v>
      </c>
      <c r="C1934" t="s">
        <v>60</v>
      </c>
      <c r="D1934" t="s">
        <v>61</v>
      </c>
      <c r="E1934">
        <v>0</v>
      </c>
      <c r="F1934">
        <v>4484.1899999999996</v>
      </c>
      <c r="G1934" t="s">
        <v>12</v>
      </c>
      <c r="H1934" t="s">
        <v>26</v>
      </c>
      <c r="I1934" t="s">
        <v>3908</v>
      </c>
      <c r="J1934" t="s">
        <v>42</v>
      </c>
      <c r="K1934" s="4">
        <f>VLOOKUP(J1934,Exchange_Rates!A:B,2,FALSE)</f>
        <v>0.66</v>
      </c>
      <c r="L1934" s="4">
        <f t="shared" si="120"/>
        <v>0</v>
      </c>
      <c r="M1934" s="4">
        <f t="shared" si="121"/>
        <v>2959.5654</v>
      </c>
      <c r="N1934" s="4">
        <f t="shared" si="122"/>
        <v>2024</v>
      </c>
      <c r="O1934" s="4">
        <f t="shared" si="123"/>
        <v>4</v>
      </c>
    </row>
    <row r="1935" spans="1:15" x14ac:dyDescent="0.25">
      <c r="A1935" t="s">
        <v>3909</v>
      </c>
      <c r="B1935" s="2">
        <v>45656</v>
      </c>
      <c r="C1935" t="s">
        <v>60</v>
      </c>
      <c r="D1935" t="s">
        <v>61</v>
      </c>
      <c r="E1935">
        <v>0</v>
      </c>
      <c r="F1935">
        <v>1838.71</v>
      </c>
      <c r="G1935" t="s">
        <v>12</v>
      </c>
      <c r="H1935" t="s">
        <v>40</v>
      </c>
      <c r="I1935" t="s">
        <v>3910</v>
      </c>
      <c r="J1935" t="s">
        <v>64</v>
      </c>
      <c r="K1935" s="4">
        <f>VLOOKUP(J1935,Exchange_Rates!A:B,2,FALSE)</f>
        <v>0.73</v>
      </c>
      <c r="L1935" s="4">
        <f t="shared" si="120"/>
        <v>0</v>
      </c>
      <c r="M1935" s="4">
        <f t="shared" si="121"/>
        <v>1342.2583</v>
      </c>
      <c r="N1935" s="4">
        <f t="shared" si="122"/>
        <v>2024</v>
      </c>
      <c r="O1935" s="4">
        <f t="shared" si="123"/>
        <v>4</v>
      </c>
    </row>
    <row r="1936" spans="1:15" x14ac:dyDescent="0.25">
      <c r="A1936" t="s">
        <v>3911</v>
      </c>
      <c r="B1936" s="2">
        <v>45767</v>
      </c>
      <c r="C1936" t="s">
        <v>49</v>
      </c>
      <c r="D1936" t="s">
        <v>50</v>
      </c>
      <c r="E1936">
        <v>407.55</v>
      </c>
      <c r="F1936">
        <v>0</v>
      </c>
      <c r="G1936" t="s">
        <v>10</v>
      </c>
      <c r="H1936" t="s">
        <v>40</v>
      </c>
      <c r="I1936" t="s">
        <v>3912</v>
      </c>
      <c r="J1936" t="s">
        <v>28</v>
      </c>
      <c r="K1936" s="4">
        <f>VLOOKUP(J1936,Exchange_Rates!A:B,2,FALSE)</f>
        <v>1.27</v>
      </c>
      <c r="L1936" s="4">
        <f t="shared" si="120"/>
        <v>517.58850000000007</v>
      </c>
      <c r="M1936" s="4">
        <f t="shared" si="121"/>
        <v>0</v>
      </c>
      <c r="N1936" s="4">
        <f t="shared" si="122"/>
        <v>2025</v>
      </c>
      <c r="O1936" s="4">
        <f t="shared" si="123"/>
        <v>2</v>
      </c>
    </row>
    <row r="1937" spans="1:15" x14ac:dyDescent="0.25">
      <c r="A1937" t="s">
        <v>3913</v>
      </c>
      <c r="B1937" s="2">
        <v>45253</v>
      </c>
      <c r="C1937" t="s">
        <v>24</v>
      </c>
      <c r="D1937" t="s">
        <v>25</v>
      </c>
      <c r="E1937">
        <v>0</v>
      </c>
      <c r="F1937">
        <v>1239.76</v>
      </c>
      <c r="G1937" t="s">
        <v>13</v>
      </c>
      <c r="H1937" t="s">
        <v>40</v>
      </c>
      <c r="I1937" t="s">
        <v>3914</v>
      </c>
      <c r="J1937" t="s">
        <v>64</v>
      </c>
      <c r="K1937" s="4">
        <f>VLOOKUP(J1937,Exchange_Rates!A:B,2,FALSE)</f>
        <v>0.73</v>
      </c>
      <c r="L1937" s="4">
        <f t="shared" si="120"/>
        <v>0</v>
      </c>
      <c r="M1937" s="4">
        <f t="shared" si="121"/>
        <v>905.02480000000003</v>
      </c>
      <c r="N1937" s="4">
        <f t="shared" si="122"/>
        <v>2023</v>
      </c>
      <c r="O1937" s="4">
        <f t="shared" si="123"/>
        <v>4</v>
      </c>
    </row>
    <row r="1938" spans="1:15" x14ac:dyDescent="0.25">
      <c r="A1938" t="s">
        <v>3915</v>
      </c>
      <c r="B1938" s="2">
        <v>45119</v>
      </c>
      <c r="C1938" t="s">
        <v>49</v>
      </c>
      <c r="D1938" t="s">
        <v>50</v>
      </c>
      <c r="E1938">
        <v>721.91</v>
      </c>
      <c r="F1938">
        <v>0</v>
      </c>
      <c r="G1938" t="s">
        <v>12</v>
      </c>
      <c r="H1938" t="s">
        <v>26</v>
      </c>
      <c r="I1938" t="s">
        <v>3916</v>
      </c>
      <c r="J1938" t="s">
        <v>36</v>
      </c>
      <c r="K1938" s="4">
        <f>VLOOKUP(J1938,Exchange_Rates!A:B,2,FALSE)</f>
        <v>1.08</v>
      </c>
      <c r="L1938" s="4">
        <f t="shared" si="120"/>
        <v>779.66280000000006</v>
      </c>
      <c r="M1938" s="4">
        <f t="shared" si="121"/>
        <v>0</v>
      </c>
      <c r="N1938" s="4">
        <f t="shared" si="122"/>
        <v>2023</v>
      </c>
      <c r="O1938" s="4">
        <f t="shared" si="123"/>
        <v>3</v>
      </c>
    </row>
    <row r="1939" spans="1:15" x14ac:dyDescent="0.25">
      <c r="A1939" t="s">
        <v>3917</v>
      </c>
      <c r="B1939" s="2">
        <v>45307</v>
      </c>
      <c r="C1939" t="s">
        <v>38</v>
      </c>
      <c r="D1939" t="s">
        <v>39</v>
      </c>
      <c r="E1939">
        <v>1506.81</v>
      </c>
      <c r="F1939">
        <v>0</v>
      </c>
      <c r="G1939" t="s">
        <v>12</v>
      </c>
      <c r="H1939" t="s">
        <v>51</v>
      </c>
      <c r="I1939" t="s">
        <v>3918</v>
      </c>
      <c r="J1939" t="s">
        <v>28</v>
      </c>
      <c r="K1939" s="4">
        <f>VLOOKUP(J1939,Exchange_Rates!A:B,2,FALSE)</f>
        <v>1.27</v>
      </c>
      <c r="L1939" s="4">
        <f t="shared" si="120"/>
        <v>1913.6487</v>
      </c>
      <c r="M1939" s="4">
        <f t="shared" si="121"/>
        <v>0</v>
      </c>
      <c r="N1939" s="4">
        <f t="shared" si="122"/>
        <v>2024</v>
      </c>
      <c r="O1939" s="4">
        <f t="shared" si="123"/>
        <v>1</v>
      </c>
    </row>
    <row r="1940" spans="1:15" x14ac:dyDescent="0.25">
      <c r="A1940" t="s">
        <v>3919</v>
      </c>
      <c r="B1940" s="2">
        <v>45723</v>
      </c>
      <c r="C1940" t="s">
        <v>60</v>
      </c>
      <c r="D1940" t="s">
        <v>61</v>
      </c>
      <c r="E1940">
        <v>0</v>
      </c>
      <c r="F1940">
        <v>3376.73</v>
      </c>
      <c r="G1940" t="s">
        <v>10</v>
      </c>
      <c r="H1940" t="s">
        <v>40</v>
      </c>
      <c r="I1940" t="s">
        <v>3920</v>
      </c>
      <c r="J1940" t="s">
        <v>36</v>
      </c>
      <c r="K1940" s="4">
        <f>VLOOKUP(J1940,Exchange_Rates!A:B,2,FALSE)</f>
        <v>1.08</v>
      </c>
      <c r="L1940" s="4">
        <f t="shared" si="120"/>
        <v>0</v>
      </c>
      <c r="M1940" s="4">
        <f t="shared" si="121"/>
        <v>3646.8684000000003</v>
      </c>
      <c r="N1940" s="4">
        <f t="shared" si="122"/>
        <v>2025</v>
      </c>
      <c r="O1940" s="4">
        <f t="shared" si="123"/>
        <v>1</v>
      </c>
    </row>
    <row r="1941" spans="1:15" x14ac:dyDescent="0.25">
      <c r="A1941" t="s">
        <v>3921</v>
      </c>
      <c r="B1941" s="2">
        <v>45265</v>
      </c>
      <c r="C1941" t="s">
        <v>38</v>
      </c>
      <c r="D1941" t="s">
        <v>39</v>
      </c>
      <c r="E1941">
        <v>1023.13</v>
      </c>
      <c r="F1941">
        <v>0</v>
      </c>
      <c r="G1941" t="s">
        <v>12</v>
      </c>
      <c r="H1941" t="s">
        <v>62</v>
      </c>
      <c r="I1941" t="s">
        <v>3922</v>
      </c>
      <c r="J1941" t="s">
        <v>28</v>
      </c>
      <c r="K1941" s="4">
        <f>VLOOKUP(J1941,Exchange_Rates!A:B,2,FALSE)</f>
        <v>1.27</v>
      </c>
      <c r="L1941" s="4">
        <f t="shared" si="120"/>
        <v>1299.3751</v>
      </c>
      <c r="M1941" s="4">
        <f t="shared" si="121"/>
        <v>0</v>
      </c>
      <c r="N1941" s="4">
        <f t="shared" si="122"/>
        <v>2023</v>
      </c>
      <c r="O1941" s="4">
        <f t="shared" si="123"/>
        <v>4</v>
      </c>
    </row>
    <row r="1942" spans="1:15" x14ac:dyDescent="0.25">
      <c r="A1942" t="s">
        <v>3923</v>
      </c>
      <c r="B1942" s="2">
        <v>45834</v>
      </c>
      <c r="C1942" t="s">
        <v>38</v>
      </c>
      <c r="D1942" t="s">
        <v>39</v>
      </c>
      <c r="E1942">
        <v>1885.62</v>
      </c>
      <c r="F1942">
        <v>0</v>
      </c>
      <c r="G1942" t="s">
        <v>8</v>
      </c>
      <c r="H1942" t="s">
        <v>51</v>
      </c>
      <c r="I1942" t="s">
        <v>3924</v>
      </c>
      <c r="J1942" t="s">
        <v>64</v>
      </c>
      <c r="K1942" s="4">
        <f>VLOOKUP(J1942,Exchange_Rates!A:B,2,FALSE)</f>
        <v>0.73</v>
      </c>
      <c r="L1942" s="4">
        <f t="shared" si="120"/>
        <v>1376.5025999999998</v>
      </c>
      <c r="M1942" s="4">
        <f t="shared" si="121"/>
        <v>0</v>
      </c>
      <c r="N1942" s="4">
        <f t="shared" si="122"/>
        <v>2025</v>
      </c>
      <c r="O1942" s="4">
        <f t="shared" si="123"/>
        <v>2</v>
      </c>
    </row>
    <row r="1943" spans="1:15" x14ac:dyDescent="0.25">
      <c r="A1943" t="s">
        <v>3925</v>
      </c>
      <c r="B1943" s="2">
        <v>45421</v>
      </c>
      <c r="C1943" t="s">
        <v>60</v>
      </c>
      <c r="D1943" t="s">
        <v>61</v>
      </c>
      <c r="E1943">
        <v>0</v>
      </c>
      <c r="F1943">
        <v>955.35</v>
      </c>
      <c r="G1943" t="s">
        <v>12</v>
      </c>
      <c r="H1943" t="s">
        <v>51</v>
      </c>
      <c r="I1943" t="s">
        <v>3926</v>
      </c>
      <c r="J1943" t="s">
        <v>64</v>
      </c>
      <c r="K1943" s="4">
        <f>VLOOKUP(J1943,Exchange_Rates!A:B,2,FALSE)</f>
        <v>0.73</v>
      </c>
      <c r="L1943" s="4">
        <f t="shared" si="120"/>
        <v>0</v>
      </c>
      <c r="M1943" s="4">
        <f t="shared" si="121"/>
        <v>697.40549999999996</v>
      </c>
      <c r="N1943" s="4">
        <f t="shared" si="122"/>
        <v>2024</v>
      </c>
      <c r="O1943" s="4">
        <f t="shared" si="123"/>
        <v>2</v>
      </c>
    </row>
    <row r="1944" spans="1:15" x14ac:dyDescent="0.25">
      <c r="A1944" t="s">
        <v>3927</v>
      </c>
      <c r="B1944" s="2">
        <v>44927</v>
      </c>
      <c r="C1944" t="s">
        <v>49</v>
      </c>
      <c r="D1944" t="s">
        <v>50</v>
      </c>
      <c r="E1944">
        <v>1735.63</v>
      </c>
      <c r="F1944">
        <v>0</v>
      </c>
      <c r="G1944" t="s">
        <v>11</v>
      </c>
      <c r="H1944" t="s">
        <v>26</v>
      </c>
      <c r="I1944" t="s">
        <v>3928</v>
      </c>
      <c r="J1944" t="s">
        <v>64</v>
      </c>
      <c r="K1944" s="4">
        <f>VLOOKUP(J1944,Exchange_Rates!A:B,2,FALSE)</f>
        <v>0.73</v>
      </c>
      <c r="L1944" s="4">
        <f t="shared" si="120"/>
        <v>1267.0099</v>
      </c>
      <c r="M1944" s="4">
        <f t="shared" si="121"/>
        <v>0</v>
      </c>
      <c r="N1944" s="4">
        <f t="shared" si="122"/>
        <v>2023</v>
      </c>
      <c r="O1944" s="4">
        <f t="shared" si="123"/>
        <v>1</v>
      </c>
    </row>
    <row r="1945" spans="1:15" x14ac:dyDescent="0.25">
      <c r="A1945" t="s">
        <v>3929</v>
      </c>
      <c r="B1945" s="2">
        <v>45131</v>
      </c>
      <c r="C1945" t="s">
        <v>30</v>
      </c>
      <c r="D1945" t="s">
        <v>31</v>
      </c>
      <c r="E1945">
        <v>1311.61</v>
      </c>
      <c r="F1945">
        <v>0</v>
      </c>
      <c r="G1945" t="s">
        <v>13</v>
      </c>
      <c r="H1945" t="s">
        <v>62</v>
      </c>
      <c r="I1945" t="s">
        <v>3930</v>
      </c>
      <c r="J1945" t="s">
        <v>42</v>
      </c>
      <c r="K1945" s="4">
        <f>VLOOKUP(J1945,Exchange_Rates!A:B,2,FALSE)</f>
        <v>0.66</v>
      </c>
      <c r="L1945" s="4">
        <f t="shared" si="120"/>
        <v>865.6626</v>
      </c>
      <c r="M1945" s="4">
        <f t="shared" si="121"/>
        <v>0</v>
      </c>
      <c r="N1945" s="4">
        <f t="shared" si="122"/>
        <v>2023</v>
      </c>
      <c r="O1945" s="4">
        <f t="shared" si="123"/>
        <v>3</v>
      </c>
    </row>
    <row r="1946" spans="1:15" x14ac:dyDescent="0.25">
      <c r="A1946" t="s">
        <v>3931</v>
      </c>
      <c r="B1946" s="2">
        <v>45256</v>
      </c>
      <c r="C1946" t="s">
        <v>60</v>
      </c>
      <c r="D1946" t="s">
        <v>61</v>
      </c>
      <c r="E1946">
        <v>0</v>
      </c>
      <c r="F1946">
        <v>3124.09</v>
      </c>
      <c r="G1946" t="s">
        <v>13</v>
      </c>
      <c r="H1946" t="s">
        <v>26</v>
      </c>
      <c r="I1946" t="s">
        <v>3932</v>
      </c>
      <c r="J1946" t="s">
        <v>45</v>
      </c>
      <c r="K1946" s="4">
        <f>VLOOKUP(J1946,Exchange_Rates!A:B,2,FALSE)</f>
        <v>1</v>
      </c>
      <c r="L1946" s="4">
        <f t="shared" si="120"/>
        <v>0</v>
      </c>
      <c r="M1946" s="4">
        <f t="shared" si="121"/>
        <v>3124.09</v>
      </c>
      <c r="N1946" s="4">
        <f t="shared" si="122"/>
        <v>2023</v>
      </c>
      <c r="O1946" s="4">
        <f t="shared" si="123"/>
        <v>4</v>
      </c>
    </row>
    <row r="1947" spans="1:15" x14ac:dyDescent="0.25">
      <c r="A1947" t="s">
        <v>3933</v>
      </c>
      <c r="B1947" s="2">
        <v>45505</v>
      </c>
      <c r="C1947" t="s">
        <v>49</v>
      </c>
      <c r="D1947" t="s">
        <v>50</v>
      </c>
      <c r="E1947">
        <v>1453.46</v>
      </c>
      <c r="F1947">
        <v>0</v>
      </c>
      <c r="G1947" t="s">
        <v>8</v>
      </c>
      <c r="H1947" t="s">
        <v>40</v>
      </c>
      <c r="I1947" t="s">
        <v>3934</v>
      </c>
      <c r="J1947" t="s">
        <v>45</v>
      </c>
      <c r="K1947" s="4">
        <f>VLOOKUP(J1947,Exchange_Rates!A:B,2,FALSE)</f>
        <v>1</v>
      </c>
      <c r="L1947" s="4">
        <f t="shared" si="120"/>
        <v>1453.46</v>
      </c>
      <c r="M1947" s="4">
        <f t="shared" si="121"/>
        <v>0</v>
      </c>
      <c r="N1947" s="4">
        <f t="shared" si="122"/>
        <v>2024</v>
      </c>
      <c r="O1947" s="4">
        <f t="shared" si="123"/>
        <v>3</v>
      </c>
    </row>
    <row r="1948" spans="1:15" x14ac:dyDescent="0.25">
      <c r="A1948" t="s">
        <v>3935</v>
      </c>
      <c r="B1948" s="2">
        <v>45018</v>
      </c>
      <c r="C1948" t="s">
        <v>38</v>
      </c>
      <c r="D1948" t="s">
        <v>39</v>
      </c>
      <c r="E1948">
        <v>502.87</v>
      </c>
      <c r="F1948">
        <v>0</v>
      </c>
      <c r="G1948" t="s">
        <v>9</v>
      </c>
      <c r="H1948" t="s">
        <v>26</v>
      </c>
      <c r="I1948" t="s">
        <v>3936</v>
      </c>
      <c r="J1948" t="s">
        <v>64</v>
      </c>
      <c r="K1948" s="4">
        <f>VLOOKUP(J1948,Exchange_Rates!A:B,2,FALSE)</f>
        <v>0.73</v>
      </c>
      <c r="L1948" s="4">
        <f t="shared" si="120"/>
        <v>367.0951</v>
      </c>
      <c r="M1948" s="4">
        <f t="shared" si="121"/>
        <v>0</v>
      </c>
      <c r="N1948" s="4">
        <f t="shared" si="122"/>
        <v>2023</v>
      </c>
      <c r="O1948" s="4">
        <f t="shared" si="123"/>
        <v>2</v>
      </c>
    </row>
    <row r="1949" spans="1:15" x14ac:dyDescent="0.25">
      <c r="A1949" t="s">
        <v>3937</v>
      </c>
      <c r="B1949" s="2">
        <v>45161</v>
      </c>
      <c r="C1949" t="s">
        <v>38</v>
      </c>
      <c r="D1949" t="s">
        <v>39</v>
      </c>
      <c r="E1949">
        <v>845.04</v>
      </c>
      <c r="F1949">
        <v>0</v>
      </c>
      <c r="G1949" t="s">
        <v>12</v>
      </c>
      <c r="H1949" t="s">
        <v>34</v>
      </c>
      <c r="I1949" t="s">
        <v>3938</v>
      </c>
      <c r="J1949" t="s">
        <v>36</v>
      </c>
      <c r="K1949" s="4">
        <f>VLOOKUP(J1949,Exchange_Rates!A:B,2,FALSE)</f>
        <v>1.08</v>
      </c>
      <c r="L1949" s="4">
        <f t="shared" si="120"/>
        <v>912.64319999999998</v>
      </c>
      <c r="M1949" s="4">
        <f t="shared" si="121"/>
        <v>0</v>
      </c>
      <c r="N1949" s="4">
        <f t="shared" si="122"/>
        <v>2023</v>
      </c>
      <c r="O1949" s="4">
        <f t="shared" si="123"/>
        <v>3</v>
      </c>
    </row>
    <row r="1950" spans="1:15" x14ac:dyDescent="0.25">
      <c r="A1950" t="s">
        <v>3939</v>
      </c>
      <c r="B1950" s="2">
        <v>45657</v>
      </c>
      <c r="C1950" t="s">
        <v>60</v>
      </c>
      <c r="D1950" t="s">
        <v>61</v>
      </c>
      <c r="E1950">
        <v>0</v>
      </c>
      <c r="F1950">
        <v>2650.78</v>
      </c>
      <c r="G1950" t="s">
        <v>8</v>
      </c>
      <c r="H1950" t="s">
        <v>40</v>
      </c>
      <c r="I1950" t="s">
        <v>3940</v>
      </c>
      <c r="J1950" t="s">
        <v>42</v>
      </c>
      <c r="K1950" s="4">
        <f>VLOOKUP(J1950,Exchange_Rates!A:B,2,FALSE)</f>
        <v>0.66</v>
      </c>
      <c r="L1950" s="4">
        <f t="shared" si="120"/>
        <v>0</v>
      </c>
      <c r="M1950" s="4">
        <f t="shared" si="121"/>
        <v>1749.5148000000002</v>
      </c>
      <c r="N1950" s="4">
        <f t="shared" si="122"/>
        <v>2024</v>
      </c>
      <c r="O1950" s="4">
        <f t="shared" si="123"/>
        <v>4</v>
      </c>
    </row>
    <row r="1951" spans="1:15" x14ac:dyDescent="0.25">
      <c r="A1951" t="s">
        <v>3941</v>
      </c>
      <c r="B1951" s="2">
        <v>45663</v>
      </c>
      <c r="C1951" t="s">
        <v>24</v>
      </c>
      <c r="D1951" t="s">
        <v>25</v>
      </c>
      <c r="E1951">
        <v>0</v>
      </c>
      <c r="F1951">
        <v>3701</v>
      </c>
      <c r="G1951" t="s">
        <v>9</v>
      </c>
      <c r="H1951" t="s">
        <v>62</v>
      </c>
      <c r="I1951" t="s">
        <v>3942</v>
      </c>
      <c r="J1951" t="s">
        <v>42</v>
      </c>
      <c r="K1951" s="4">
        <f>VLOOKUP(J1951,Exchange_Rates!A:B,2,FALSE)</f>
        <v>0.66</v>
      </c>
      <c r="L1951" s="4">
        <f t="shared" si="120"/>
        <v>0</v>
      </c>
      <c r="M1951" s="4">
        <f t="shared" si="121"/>
        <v>2442.6600000000003</v>
      </c>
      <c r="N1951" s="4">
        <f t="shared" si="122"/>
        <v>2025</v>
      </c>
      <c r="O1951" s="4">
        <f t="shared" si="123"/>
        <v>1</v>
      </c>
    </row>
    <row r="1952" spans="1:15" x14ac:dyDescent="0.25">
      <c r="A1952" t="s">
        <v>3943</v>
      </c>
      <c r="B1952" s="2">
        <v>45525</v>
      </c>
      <c r="C1952" t="s">
        <v>38</v>
      </c>
      <c r="D1952" t="s">
        <v>39</v>
      </c>
      <c r="E1952">
        <v>866.51</v>
      </c>
      <c r="F1952">
        <v>0</v>
      </c>
      <c r="G1952" t="s">
        <v>10</v>
      </c>
      <c r="H1952" t="s">
        <v>51</v>
      </c>
      <c r="I1952" t="s">
        <v>3944</v>
      </c>
      <c r="J1952" t="s">
        <v>64</v>
      </c>
      <c r="K1952" s="4">
        <f>VLOOKUP(J1952,Exchange_Rates!A:B,2,FALSE)</f>
        <v>0.73</v>
      </c>
      <c r="L1952" s="4">
        <f t="shared" si="120"/>
        <v>632.55229999999995</v>
      </c>
      <c r="M1952" s="4">
        <f t="shared" si="121"/>
        <v>0</v>
      </c>
      <c r="N1952" s="4">
        <f t="shared" si="122"/>
        <v>2024</v>
      </c>
      <c r="O1952" s="4">
        <f t="shared" si="123"/>
        <v>3</v>
      </c>
    </row>
    <row r="1953" spans="1:15" x14ac:dyDescent="0.25">
      <c r="A1953" t="s">
        <v>3945</v>
      </c>
      <c r="B1953" s="2">
        <v>45387</v>
      </c>
      <c r="C1953" t="s">
        <v>30</v>
      </c>
      <c r="D1953" t="s">
        <v>31</v>
      </c>
      <c r="E1953">
        <v>1517.29</v>
      </c>
      <c r="F1953">
        <v>0</v>
      </c>
      <c r="G1953" t="s">
        <v>10</v>
      </c>
      <c r="H1953" t="s">
        <v>62</v>
      </c>
      <c r="I1953" t="s">
        <v>3946</v>
      </c>
      <c r="J1953" t="s">
        <v>36</v>
      </c>
      <c r="K1953" s="4">
        <f>VLOOKUP(J1953,Exchange_Rates!A:B,2,FALSE)</f>
        <v>1.08</v>
      </c>
      <c r="L1953" s="4">
        <f t="shared" si="120"/>
        <v>1638.6732000000002</v>
      </c>
      <c r="M1953" s="4">
        <f t="shared" si="121"/>
        <v>0</v>
      </c>
      <c r="N1953" s="4">
        <f t="shared" si="122"/>
        <v>2024</v>
      </c>
      <c r="O1953" s="4">
        <f t="shared" si="123"/>
        <v>2</v>
      </c>
    </row>
    <row r="1954" spans="1:15" x14ac:dyDescent="0.25">
      <c r="A1954" t="s">
        <v>3947</v>
      </c>
      <c r="B1954" s="2">
        <v>45662</v>
      </c>
      <c r="C1954" t="s">
        <v>30</v>
      </c>
      <c r="D1954" t="s">
        <v>31</v>
      </c>
      <c r="E1954">
        <v>58.18</v>
      </c>
      <c r="F1954">
        <v>0</v>
      </c>
      <c r="G1954" t="s">
        <v>11</v>
      </c>
      <c r="H1954" t="s">
        <v>51</v>
      </c>
      <c r="I1954" t="s">
        <v>3948</v>
      </c>
      <c r="J1954" t="s">
        <v>36</v>
      </c>
      <c r="K1954" s="4">
        <f>VLOOKUP(J1954,Exchange_Rates!A:B,2,FALSE)</f>
        <v>1.08</v>
      </c>
      <c r="L1954" s="4">
        <f t="shared" si="120"/>
        <v>62.834400000000002</v>
      </c>
      <c r="M1954" s="4">
        <f t="shared" si="121"/>
        <v>0</v>
      </c>
      <c r="N1954" s="4">
        <f t="shared" si="122"/>
        <v>2025</v>
      </c>
      <c r="O1954" s="4">
        <f t="shared" si="123"/>
        <v>1</v>
      </c>
    </row>
    <row r="1955" spans="1:15" x14ac:dyDescent="0.25">
      <c r="A1955" t="s">
        <v>3949</v>
      </c>
      <c r="B1955" s="2">
        <v>45649</v>
      </c>
      <c r="C1955" t="s">
        <v>24</v>
      </c>
      <c r="D1955" t="s">
        <v>25</v>
      </c>
      <c r="E1955">
        <v>0</v>
      </c>
      <c r="F1955">
        <v>944.88</v>
      </c>
      <c r="G1955" t="s">
        <v>12</v>
      </c>
      <c r="H1955" t="s">
        <v>34</v>
      </c>
      <c r="I1955" t="s">
        <v>3950</v>
      </c>
      <c r="J1955" t="s">
        <v>42</v>
      </c>
      <c r="K1955" s="4">
        <f>VLOOKUP(J1955,Exchange_Rates!A:B,2,FALSE)</f>
        <v>0.66</v>
      </c>
      <c r="L1955" s="4">
        <f t="shared" si="120"/>
        <v>0</v>
      </c>
      <c r="M1955" s="4">
        <f t="shared" si="121"/>
        <v>623.62080000000003</v>
      </c>
      <c r="N1955" s="4">
        <f t="shared" si="122"/>
        <v>2024</v>
      </c>
      <c r="O1955" s="4">
        <f t="shared" si="123"/>
        <v>4</v>
      </c>
    </row>
    <row r="1956" spans="1:15" x14ac:dyDescent="0.25">
      <c r="A1956" t="s">
        <v>3951</v>
      </c>
      <c r="B1956" s="2">
        <v>45671</v>
      </c>
      <c r="C1956" t="s">
        <v>38</v>
      </c>
      <c r="D1956" t="s">
        <v>39</v>
      </c>
      <c r="E1956">
        <v>394.98</v>
      </c>
      <c r="F1956">
        <v>0</v>
      </c>
      <c r="G1956" t="s">
        <v>9</v>
      </c>
      <c r="H1956" t="s">
        <v>34</v>
      </c>
      <c r="I1956" t="s">
        <v>3952</v>
      </c>
      <c r="J1956" t="s">
        <v>64</v>
      </c>
      <c r="K1956" s="4">
        <f>VLOOKUP(J1956,Exchange_Rates!A:B,2,FALSE)</f>
        <v>0.73</v>
      </c>
      <c r="L1956" s="4">
        <f t="shared" si="120"/>
        <v>288.33539999999999</v>
      </c>
      <c r="M1956" s="4">
        <f t="shared" si="121"/>
        <v>0</v>
      </c>
      <c r="N1956" s="4">
        <f t="shared" si="122"/>
        <v>2025</v>
      </c>
      <c r="O1956" s="4">
        <f t="shared" si="123"/>
        <v>1</v>
      </c>
    </row>
    <row r="1957" spans="1:15" x14ac:dyDescent="0.25">
      <c r="A1957" t="s">
        <v>3953</v>
      </c>
      <c r="B1957" s="2">
        <v>45082</v>
      </c>
      <c r="C1957" t="s">
        <v>30</v>
      </c>
      <c r="D1957" t="s">
        <v>31</v>
      </c>
      <c r="E1957">
        <v>1322.13</v>
      </c>
      <c r="F1957">
        <v>0</v>
      </c>
      <c r="G1957" t="s">
        <v>10</v>
      </c>
      <c r="H1957" t="s">
        <v>51</v>
      </c>
      <c r="I1957" t="s">
        <v>3954</v>
      </c>
      <c r="J1957" t="s">
        <v>64</v>
      </c>
      <c r="K1957" s="4">
        <f>VLOOKUP(J1957,Exchange_Rates!A:B,2,FALSE)</f>
        <v>0.73</v>
      </c>
      <c r="L1957" s="4">
        <f t="shared" si="120"/>
        <v>965.15490000000011</v>
      </c>
      <c r="M1957" s="4">
        <f t="shared" si="121"/>
        <v>0</v>
      </c>
      <c r="N1957" s="4">
        <f t="shared" si="122"/>
        <v>2023</v>
      </c>
      <c r="O1957" s="4">
        <f t="shared" si="123"/>
        <v>2</v>
      </c>
    </row>
    <row r="1958" spans="1:15" x14ac:dyDescent="0.25">
      <c r="A1958" t="s">
        <v>3955</v>
      </c>
      <c r="B1958" s="2">
        <v>45447</v>
      </c>
      <c r="C1958" t="s">
        <v>49</v>
      </c>
      <c r="D1958" t="s">
        <v>50</v>
      </c>
      <c r="E1958">
        <v>780.7</v>
      </c>
      <c r="F1958">
        <v>0</v>
      </c>
      <c r="G1958" t="s">
        <v>10</v>
      </c>
      <c r="H1958" t="s">
        <v>34</v>
      </c>
      <c r="I1958" t="s">
        <v>3956</v>
      </c>
      <c r="J1958" t="s">
        <v>45</v>
      </c>
      <c r="K1958" s="4">
        <f>VLOOKUP(J1958,Exchange_Rates!A:B,2,FALSE)</f>
        <v>1</v>
      </c>
      <c r="L1958" s="4">
        <f t="shared" si="120"/>
        <v>780.7</v>
      </c>
      <c r="M1958" s="4">
        <f t="shared" si="121"/>
        <v>0</v>
      </c>
      <c r="N1958" s="4">
        <f t="shared" si="122"/>
        <v>2024</v>
      </c>
      <c r="O1958" s="4">
        <f t="shared" si="123"/>
        <v>2</v>
      </c>
    </row>
    <row r="1959" spans="1:15" x14ac:dyDescent="0.25">
      <c r="A1959" t="s">
        <v>3957</v>
      </c>
      <c r="B1959" s="2">
        <v>45695</v>
      </c>
      <c r="C1959" t="s">
        <v>30</v>
      </c>
      <c r="D1959" t="s">
        <v>31</v>
      </c>
      <c r="E1959">
        <v>1051.1600000000001</v>
      </c>
      <c r="F1959">
        <v>0</v>
      </c>
      <c r="G1959" t="s">
        <v>11</v>
      </c>
      <c r="H1959" t="s">
        <v>34</v>
      </c>
      <c r="I1959" t="s">
        <v>3958</v>
      </c>
      <c r="J1959" t="s">
        <v>28</v>
      </c>
      <c r="K1959" s="4">
        <f>VLOOKUP(J1959,Exchange_Rates!A:B,2,FALSE)</f>
        <v>1.27</v>
      </c>
      <c r="L1959" s="4">
        <f t="shared" si="120"/>
        <v>1334.9732000000001</v>
      </c>
      <c r="M1959" s="4">
        <f t="shared" si="121"/>
        <v>0</v>
      </c>
      <c r="N1959" s="4">
        <f t="shared" si="122"/>
        <v>2025</v>
      </c>
      <c r="O1959" s="4">
        <f t="shared" si="123"/>
        <v>1</v>
      </c>
    </row>
    <row r="1960" spans="1:15" x14ac:dyDescent="0.25">
      <c r="A1960" t="s">
        <v>3959</v>
      </c>
      <c r="B1960" s="2">
        <v>45243</v>
      </c>
      <c r="C1960" t="s">
        <v>60</v>
      </c>
      <c r="D1960" t="s">
        <v>61</v>
      </c>
      <c r="E1960">
        <v>0</v>
      </c>
      <c r="F1960">
        <v>3466.47</v>
      </c>
      <c r="G1960" t="s">
        <v>8</v>
      </c>
      <c r="H1960" t="s">
        <v>40</v>
      </c>
      <c r="I1960" t="s">
        <v>3960</v>
      </c>
      <c r="J1960" t="s">
        <v>42</v>
      </c>
      <c r="K1960" s="4">
        <f>VLOOKUP(J1960,Exchange_Rates!A:B,2,FALSE)</f>
        <v>0.66</v>
      </c>
      <c r="L1960" s="4">
        <f t="shared" si="120"/>
        <v>0</v>
      </c>
      <c r="M1960" s="4">
        <f t="shared" si="121"/>
        <v>2287.8701999999998</v>
      </c>
      <c r="N1960" s="4">
        <f t="shared" si="122"/>
        <v>2023</v>
      </c>
      <c r="O1960" s="4">
        <f t="shared" si="123"/>
        <v>4</v>
      </c>
    </row>
    <row r="1961" spans="1:15" x14ac:dyDescent="0.25">
      <c r="A1961" t="s">
        <v>3961</v>
      </c>
      <c r="B1961" s="2">
        <v>45306</v>
      </c>
      <c r="C1961" t="s">
        <v>24</v>
      </c>
      <c r="D1961" t="s">
        <v>25</v>
      </c>
      <c r="E1961">
        <v>0</v>
      </c>
      <c r="F1961">
        <v>2900.85</v>
      </c>
      <c r="G1961" t="s">
        <v>12</v>
      </c>
      <c r="H1961" t="s">
        <v>51</v>
      </c>
      <c r="I1961" t="s">
        <v>3962</v>
      </c>
      <c r="J1961" t="s">
        <v>64</v>
      </c>
      <c r="K1961" s="4">
        <f>VLOOKUP(J1961,Exchange_Rates!A:B,2,FALSE)</f>
        <v>0.73</v>
      </c>
      <c r="L1961" s="4">
        <f t="shared" si="120"/>
        <v>0</v>
      </c>
      <c r="M1961" s="4">
        <f t="shared" si="121"/>
        <v>2117.6205</v>
      </c>
      <c r="N1961" s="4">
        <f t="shared" si="122"/>
        <v>2024</v>
      </c>
      <c r="O1961" s="4">
        <f t="shared" si="123"/>
        <v>1</v>
      </c>
    </row>
    <row r="1962" spans="1:15" x14ac:dyDescent="0.25">
      <c r="A1962" t="s">
        <v>3963</v>
      </c>
      <c r="B1962" s="2">
        <v>45641</v>
      </c>
      <c r="C1962" t="s">
        <v>49</v>
      </c>
      <c r="D1962" t="s">
        <v>50</v>
      </c>
      <c r="E1962">
        <v>852.05</v>
      </c>
      <c r="F1962">
        <v>0</v>
      </c>
      <c r="G1962" t="s">
        <v>10</v>
      </c>
      <c r="H1962" t="s">
        <v>34</v>
      </c>
      <c r="I1962" t="s">
        <v>3964</v>
      </c>
      <c r="J1962" t="s">
        <v>64</v>
      </c>
      <c r="K1962" s="4">
        <f>VLOOKUP(J1962,Exchange_Rates!A:B,2,FALSE)</f>
        <v>0.73</v>
      </c>
      <c r="L1962" s="4">
        <f t="shared" si="120"/>
        <v>621.99649999999997</v>
      </c>
      <c r="M1962" s="4">
        <f t="shared" si="121"/>
        <v>0</v>
      </c>
      <c r="N1962" s="4">
        <f t="shared" si="122"/>
        <v>2024</v>
      </c>
      <c r="O1962" s="4">
        <f t="shared" si="123"/>
        <v>4</v>
      </c>
    </row>
    <row r="1963" spans="1:15" x14ac:dyDescent="0.25">
      <c r="A1963" t="s">
        <v>3965</v>
      </c>
      <c r="B1963" s="2">
        <v>45050</v>
      </c>
      <c r="C1963" t="s">
        <v>38</v>
      </c>
      <c r="D1963" t="s">
        <v>39</v>
      </c>
      <c r="E1963">
        <v>1137.76</v>
      </c>
      <c r="F1963">
        <v>0</v>
      </c>
      <c r="G1963" t="s">
        <v>9</v>
      </c>
      <c r="H1963" t="s">
        <v>62</v>
      </c>
      <c r="I1963" t="s">
        <v>3966</v>
      </c>
      <c r="J1963" t="s">
        <v>42</v>
      </c>
      <c r="K1963" s="4">
        <f>VLOOKUP(J1963,Exchange_Rates!A:B,2,FALSE)</f>
        <v>0.66</v>
      </c>
      <c r="L1963" s="4">
        <f t="shared" si="120"/>
        <v>750.92160000000001</v>
      </c>
      <c r="M1963" s="4">
        <f t="shared" si="121"/>
        <v>0</v>
      </c>
      <c r="N1963" s="4">
        <f t="shared" si="122"/>
        <v>2023</v>
      </c>
      <c r="O1963" s="4">
        <f t="shared" si="123"/>
        <v>2</v>
      </c>
    </row>
    <row r="1964" spans="1:15" x14ac:dyDescent="0.25">
      <c r="A1964" t="s">
        <v>3967</v>
      </c>
      <c r="B1964" s="2">
        <v>45464</v>
      </c>
      <c r="C1964" t="s">
        <v>38</v>
      </c>
      <c r="D1964" t="s">
        <v>39</v>
      </c>
      <c r="E1964">
        <v>1927.94</v>
      </c>
      <c r="F1964">
        <v>0</v>
      </c>
      <c r="G1964" t="s">
        <v>13</v>
      </c>
      <c r="H1964" t="s">
        <v>62</v>
      </c>
      <c r="I1964" t="s">
        <v>3968</v>
      </c>
      <c r="J1964" t="s">
        <v>64</v>
      </c>
      <c r="K1964" s="4">
        <f>VLOOKUP(J1964,Exchange_Rates!A:B,2,FALSE)</f>
        <v>0.73</v>
      </c>
      <c r="L1964" s="4">
        <f t="shared" si="120"/>
        <v>1407.3961999999999</v>
      </c>
      <c r="M1964" s="4">
        <f t="shared" si="121"/>
        <v>0</v>
      </c>
      <c r="N1964" s="4">
        <f t="shared" si="122"/>
        <v>2024</v>
      </c>
      <c r="O1964" s="4">
        <f t="shared" si="123"/>
        <v>2</v>
      </c>
    </row>
    <row r="1965" spans="1:15" x14ac:dyDescent="0.25">
      <c r="A1965" t="s">
        <v>3969</v>
      </c>
      <c r="B1965" s="2">
        <v>45713</v>
      </c>
      <c r="C1965" t="s">
        <v>60</v>
      </c>
      <c r="D1965" t="s">
        <v>61</v>
      </c>
      <c r="E1965">
        <v>0</v>
      </c>
      <c r="F1965">
        <v>2609.17</v>
      </c>
      <c r="G1965" t="s">
        <v>9</v>
      </c>
      <c r="H1965" t="s">
        <v>26</v>
      </c>
      <c r="I1965" t="s">
        <v>3970</v>
      </c>
      <c r="J1965" t="s">
        <v>28</v>
      </c>
      <c r="K1965" s="4">
        <f>VLOOKUP(J1965,Exchange_Rates!A:B,2,FALSE)</f>
        <v>1.27</v>
      </c>
      <c r="L1965" s="4">
        <f t="shared" si="120"/>
        <v>0</v>
      </c>
      <c r="M1965" s="4">
        <f t="shared" si="121"/>
        <v>3313.6459</v>
      </c>
      <c r="N1965" s="4">
        <f t="shared" si="122"/>
        <v>2025</v>
      </c>
      <c r="O1965" s="4">
        <f t="shared" si="123"/>
        <v>1</v>
      </c>
    </row>
    <row r="1966" spans="1:15" x14ac:dyDescent="0.25">
      <c r="A1966" t="s">
        <v>3971</v>
      </c>
      <c r="B1966" s="2">
        <v>45755</v>
      </c>
      <c r="C1966" t="s">
        <v>30</v>
      </c>
      <c r="D1966" t="s">
        <v>31</v>
      </c>
      <c r="E1966">
        <v>1813.3</v>
      </c>
      <c r="F1966">
        <v>0</v>
      </c>
      <c r="G1966" t="s">
        <v>13</v>
      </c>
      <c r="H1966" t="s">
        <v>40</v>
      </c>
      <c r="I1966" t="s">
        <v>3972</v>
      </c>
      <c r="J1966" t="s">
        <v>42</v>
      </c>
      <c r="K1966" s="4">
        <f>VLOOKUP(J1966,Exchange_Rates!A:B,2,FALSE)</f>
        <v>0.66</v>
      </c>
      <c r="L1966" s="4">
        <f t="shared" si="120"/>
        <v>1196.778</v>
      </c>
      <c r="M1966" s="4">
        <f t="shared" si="121"/>
        <v>0</v>
      </c>
      <c r="N1966" s="4">
        <f t="shared" si="122"/>
        <v>2025</v>
      </c>
      <c r="O1966" s="4">
        <f t="shared" si="123"/>
        <v>2</v>
      </c>
    </row>
    <row r="1967" spans="1:15" x14ac:dyDescent="0.25">
      <c r="A1967" t="s">
        <v>3973</v>
      </c>
      <c r="B1967" s="2">
        <v>45166</v>
      </c>
      <c r="C1967" t="s">
        <v>24</v>
      </c>
      <c r="D1967" t="s">
        <v>25</v>
      </c>
      <c r="E1967">
        <v>0</v>
      </c>
      <c r="F1967">
        <v>2658.68</v>
      </c>
      <c r="G1967" t="s">
        <v>13</v>
      </c>
      <c r="H1967" t="s">
        <v>40</v>
      </c>
      <c r="I1967" t="s">
        <v>3974</v>
      </c>
      <c r="J1967" t="s">
        <v>28</v>
      </c>
      <c r="K1967" s="4">
        <f>VLOOKUP(J1967,Exchange_Rates!A:B,2,FALSE)</f>
        <v>1.27</v>
      </c>
      <c r="L1967" s="4">
        <f t="shared" si="120"/>
        <v>0</v>
      </c>
      <c r="M1967" s="4">
        <f t="shared" si="121"/>
        <v>3376.5236</v>
      </c>
      <c r="N1967" s="4">
        <f t="shared" si="122"/>
        <v>2023</v>
      </c>
      <c r="O1967" s="4">
        <f t="shared" si="123"/>
        <v>3</v>
      </c>
    </row>
    <row r="1968" spans="1:15" x14ac:dyDescent="0.25">
      <c r="A1968" t="s">
        <v>3975</v>
      </c>
      <c r="B1968" s="2">
        <v>45195</v>
      </c>
      <c r="C1968" t="s">
        <v>60</v>
      </c>
      <c r="D1968" t="s">
        <v>61</v>
      </c>
      <c r="E1968">
        <v>0</v>
      </c>
      <c r="F1968">
        <v>4776.24</v>
      </c>
      <c r="G1968" t="s">
        <v>9</v>
      </c>
      <c r="H1968" t="s">
        <v>40</v>
      </c>
      <c r="I1968" t="s">
        <v>3976</v>
      </c>
      <c r="J1968" t="s">
        <v>42</v>
      </c>
      <c r="K1968" s="4">
        <f>VLOOKUP(J1968,Exchange_Rates!A:B,2,FALSE)</f>
        <v>0.66</v>
      </c>
      <c r="L1968" s="4">
        <f t="shared" si="120"/>
        <v>0</v>
      </c>
      <c r="M1968" s="4">
        <f t="shared" si="121"/>
        <v>3152.3184000000001</v>
      </c>
      <c r="N1968" s="4">
        <f t="shared" si="122"/>
        <v>2023</v>
      </c>
      <c r="O1968" s="4">
        <f t="shared" si="123"/>
        <v>3</v>
      </c>
    </row>
    <row r="1969" spans="1:15" x14ac:dyDescent="0.25">
      <c r="A1969" t="s">
        <v>3977</v>
      </c>
      <c r="B1969" s="2">
        <v>45548</v>
      </c>
      <c r="C1969" t="s">
        <v>30</v>
      </c>
      <c r="D1969" t="s">
        <v>31</v>
      </c>
      <c r="E1969">
        <v>839.33</v>
      </c>
      <c r="F1969">
        <v>0</v>
      </c>
      <c r="G1969" t="s">
        <v>13</v>
      </c>
      <c r="H1969" t="s">
        <v>62</v>
      </c>
      <c r="I1969" t="s">
        <v>3978</v>
      </c>
      <c r="J1969" t="s">
        <v>45</v>
      </c>
      <c r="K1969" s="4">
        <f>VLOOKUP(J1969,Exchange_Rates!A:B,2,FALSE)</f>
        <v>1</v>
      </c>
      <c r="L1969" s="4">
        <f t="shared" si="120"/>
        <v>839.33</v>
      </c>
      <c r="M1969" s="4">
        <f t="shared" si="121"/>
        <v>0</v>
      </c>
      <c r="N1969" s="4">
        <f t="shared" si="122"/>
        <v>2024</v>
      </c>
      <c r="O1969" s="4">
        <f t="shared" si="123"/>
        <v>3</v>
      </c>
    </row>
    <row r="1970" spans="1:15" x14ac:dyDescent="0.25">
      <c r="A1970" t="s">
        <v>3979</v>
      </c>
      <c r="B1970" s="2">
        <v>45218</v>
      </c>
      <c r="C1970" t="s">
        <v>38</v>
      </c>
      <c r="D1970" t="s">
        <v>39</v>
      </c>
      <c r="E1970">
        <v>961.76</v>
      </c>
      <c r="F1970">
        <v>0</v>
      </c>
      <c r="G1970" t="s">
        <v>12</v>
      </c>
      <c r="H1970" t="s">
        <v>40</v>
      </c>
      <c r="I1970" t="s">
        <v>3980</v>
      </c>
      <c r="J1970" t="s">
        <v>42</v>
      </c>
      <c r="K1970" s="4">
        <f>VLOOKUP(J1970,Exchange_Rates!A:B,2,FALSE)</f>
        <v>0.66</v>
      </c>
      <c r="L1970" s="4">
        <f t="shared" si="120"/>
        <v>634.76160000000004</v>
      </c>
      <c r="M1970" s="4">
        <f t="shared" si="121"/>
        <v>0</v>
      </c>
      <c r="N1970" s="4">
        <f t="shared" si="122"/>
        <v>2023</v>
      </c>
      <c r="O1970" s="4">
        <f t="shared" si="123"/>
        <v>4</v>
      </c>
    </row>
    <row r="1971" spans="1:15" x14ac:dyDescent="0.25">
      <c r="A1971" t="s">
        <v>3981</v>
      </c>
      <c r="B1971" s="2">
        <v>45770</v>
      </c>
      <c r="C1971" t="s">
        <v>60</v>
      </c>
      <c r="D1971" t="s">
        <v>61</v>
      </c>
      <c r="E1971">
        <v>0</v>
      </c>
      <c r="F1971">
        <v>1071.52</v>
      </c>
      <c r="G1971" t="s">
        <v>10</v>
      </c>
      <c r="H1971" t="s">
        <v>40</v>
      </c>
      <c r="I1971" t="s">
        <v>3982</v>
      </c>
      <c r="J1971" t="s">
        <v>45</v>
      </c>
      <c r="K1971" s="4">
        <f>VLOOKUP(J1971,Exchange_Rates!A:B,2,FALSE)</f>
        <v>1</v>
      </c>
      <c r="L1971" s="4">
        <f t="shared" si="120"/>
        <v>0</v>
      </c>
      <c r="M1971" s="4">
        <f t="shared" si="121"/>
        <v>1071.52</v>
      </c>
      <c r="N1971" s="4">
        <f t="shared" si="122"/>
        <v>2025</v>
      </c>
      <c r="O1971" s="4">
        <f t="shared" si="123"/>
        <v>2</v>
      </c>
    </row>
    <row r="1972" spans="1:15" x14ac:dyDescent="0.25">
      <c r="A1972" t="s">
        <v>3983</v>
      </c>
      <c r="B1972" s="2">
        <v>45586</v>
      </c>
      <c r="C1972" t="s">
        <v>30</v>
      </c>
      <c r="D1972" t="s">
        <v>31</v>
      </c>
      <c r="E1972">
        <v>512.01</v>
      </c>
      <c r="F1972">
        <v>0</v>
      </c>
      <c r="G1972" t="s">
        <v>10</v>
      </c>
      <c r="H1972" t="s">
        <v>62</v>
      </c>
      <c r="I1972" t="s">
        <v>3984</v>
      </c>
      <c r="J1972" t="s">
        <v>64</v>
      </c>
      <c r="K1972" s="4">
        <f>VLOOKUP(J1972,Exchange_Rates!A:B,2,FALSE)</f>
        <v>0.73</v>
      </c>
      <c r="L1972" s="4">
        <f t="shared" si="120"/>
        <v>373.76729999999998</v>
      </c>
      <c r="M1972" s="4">
        <f t="shared" si="121"/>
        <v>0</v>
      </c>
      <c r="N1972" s="4">
        <f t="shared" si="122"/>
        <v>2024</v>
      </c>
      <c r="O1972" s="4">
        <f t="shared" si="123"/>
        <v>4</v>
      </c>
    </row>
    <row r="1973" spans="1:15" x14ac:dyDescent="0.25">
      <c r="A1973" t="s">
        <v>3985</v>
      </c>
      <c r="B1973" s="2">
        <v>45443</v>
      </c>
      <c r="C1973" t="s">
        <v>60</v>
      </c>
      <c r="D1973" t="s">
        <v>61</v>
      </c>
      <c r="E1973">
        <v>0</v>
      </c>
      <c r="F1973">
        <v>876.89</v>
      </c>
      <c r="G1973" t="s">
        <v>10</v>
      </c>
      <c r="H1973" t="s">
        <v>51</v>
      </c>
      <c r="I1973" t="s">
        <v>3986</v>
      </c>
      <c r="J1973" t="s">
        <v>64</v>
      </c>
      <c r="K1973" s="4">
        <f>VLOOKUP(J1973,Exchange_Rates!A:B,2,FALSE)</f>
        <v>0.73</v>
      </c>
      <c r="L1973" s="4">
        <f t="shared" si="120"/>
        <v>0</v>
      </c>
      <c r="M1973" s="4">
        <f t="shared" si="121"/>
        <v>640.12969999999996</v>
      </c>
      <c r="N1973" s="4">
        <f t="shared" si="122"/>
        <v>2024</v>
      </c>
      <c r="O1973" s="4">
        <f t="shared" si="123"/>
        <v>2</v>
      </c>
    </row>
    <row r="1974" spans="1:15" x14ac:dyDescent="0.25">
      <c r="A1974" t="s">
        <v>3987</v>
      </c>
      <c r="B1974" s="2">
        <v>45246</v>
      </c>
      <c r="C1974" t="s">
        <v>60</v>
      </c>
      <c r="D1974" t="s">
        <v>61</v>
      </c>
      <c r="E1974">
        <v>0</v>
      </c>
      <c r="F1974">
        <v>214.94</v>
      </c>
      <c r="G1974" t="s">
        <v>13</v>
      </c>
      <c r="H1974" t="s">
        <v>62</v>
      </c>
      <c r="I1974" t="s">
        <v>3988</v>
      </c>
      <c r="J1974" t="s">
        <v>45</v>
      </c>
      <c r="K1974" s="4">
        <f>VLOOKUP(J1974,Exchange_Rates!A:B,2,FALSE)</f>
        <v>1</v>
      </c>
      <c r="L1974" s="4">
        <f t="shared" si="120"/>
        <v>0</v>
      </c>
      <c r="M1974" s="4">
        <f t="shared" si="121"/>
        <v>214.94</v>
      </c>
      <c r="N1974" s="4">
        <f t="shared" si="122"/>
        <v>2023</v>
      </c>
      <c r="O1974" s="4">
        <f t="shared" si="123"/>
        <v>4</v>
      </c>
    </row>
    <row r="1975" spans="1:15" x14ac:dyDescent="0.25">
      <c r="A1975" t="s">
        <v>3989</v>
      </c>
      <c r="B1975" s="2">
        <v>45362</v>
      </c>
      <c r="C1975" t="s">
        <v>49</v>
      </c>
      <c r="D1975" t="s">
        <v>50</v>
      </c>
      <c r="E1975">
        <v>318.63</v>
      </c>
      <c r="F1975">
        <v>0</v>
      </c>
      <c r="G1975" t="s">
        <v>13</v>
      </c>
      <c r="H1975" t="s">
        <v>40</v>
      </c>
      <c r="I1975" t="s">
        <v>3990</v>
      </c>
      <c r="J1975" t="s">
        <v>64</v>
      </c>
      <c r="K1975" s="4">
        <f>VLOOKUP(J1975,Exchange_Rates!A:B,2,FALSE)</f>
        <v>0.73</v>
      </c>
      <c r="L1975" s="4">
        <f t="shared" si="120"/>
        <v>232.59989999999999</v>
      </c>
      <c r="M1975" s="4">
        <f t="shared" si="121"/>
        <v>0</v>
      </c>
      <c r="N1975" s="4">
        <f t="shared" si="122"/>
        <v>2024</v>
      </c>
      <c r="O1975" s="4">
        <f t="shared" si="123"/>
        <v>1</v>
      </c>
    </row>
    <row r="1976" spans="1:15" x14ac:dyDescent="0.25">
      <c r="A1976" t="s">
        <v>3991</v>
      </c>
      <c r="B1976" s="2">
        <v>45026</v>
      </c>
      <c r="C1976" t="s">
        <v>38</v>
      </c>
      <c r="D1976" t="s">
        <v>39</v>
      </c>
      <c r="E1976">
        <v>1505.25</v>
      </c>
      <c r="F1976">
        <v>0</v>
      </c>
      <c r="G1976" t="s">
        <v>13</v>
      </c>
      <c r="H1976" t="s">
        <v>51</v>
      </c>
      <c r="I1976" t="s">
        <v>3992</v>
      </c>
      <c r="J1976" t="s">
        <v>45</v>
      </c>
      <c r="K1976" s="4">
        <f>VLOOKUP(J1976,Exchange_Rates!A:B,2,FALSE)</f>
        <v>1</v>
      </c>
      <c r="L1976" s="4">
        <f t="shared" si="120"/>
        <v>1505.25</v>
      </c>
      <c r="M1976" s="4">
        <f t="shared" si="121"/>
        <v>0</v>
      </c>
      <c r="N1976" s="4">
        <f t="shared" si="122"/>
        <v>2023</v>
      </c>
      <c r="O1976" s="4">
        <f t="shared" si="123"/>
        <v>2</v>
      </c>
    </row>
    <row r="1977" spans="1:15" x14ac:dyDescent="0.25">
      <c r="A1977" t="s">
        <v>3993</v>
      </c>
      <c r="B1977" s="2">
        <v>45484</v>
      </c>
      <c r="C1977" t="s">
        <v>49</v>
      </c>
      <c r="D1977" t="s">
        <v>50</v>
      </c>
      <c r="E1977">
        <v>1165.8499999999999</v>
      </c>
      <c r="F1977">
        <v>0</v>
      </c>
      <c r="G1977" t="s">
        <v>9</v>
      </c>
      <c r="H1977" t="s">
        <v>62</v>
      </c>
      <c r="I1977" t="s">
        <v>3994</v>
      </c>
      <c r="J1977" t="s">
        <v>42</v>
      </c>
      <c r="K1977" s="4">
        <f>VLOOKUP(J1977,Exchange_Rates!A:B,2,FALSE)</f>
        <v>0.66</v>
      </c>
      <c r="L1977" s="4">
        <f t="shared" si="120"/>
        <v>769.46100000000001</v>
      </c>
      <c r="M1977" s="4">
        <f t="shared" si="121"/>
        <v>0</v>
      </c>
      <c r="N1977" s="4">
        <f t="shared" si="122"/>
        <v>2024</v>
      </c>
      <c r="O1977" s="4">
        <f t="shared" si="123"/>
        <v>3</v>
      </c>
    </row>
    <row r="1978" spans="1:15" x14ac:dyDescent="0.25">
      <c r="A1978" t="s">
        <v>3995</v>
      </c>
      <c r="B1978" s="2">
        <v>45643</v>
      </c>
      <c r="C1978" t="s">
        <v>30</v>
      </c>
      <c r="D1978" t="s">
        <v>31</v>
      </c>
      <c r="E1978">
        <v>424.86</v>
      </c>
      <c r="F1978">
        <v>0</v>
      </c>
      <c r="G1978" t="s">
        <v>8</v>
      </c>
      <c r="H1978" t="s">
        <v>40</v>
      </c>
      <c r="I1978" t="s">
        <v>3996</v>
      </c>
      <c r="J1978" t="s">
        <v>64</v>
      </c>
      <c r="K1978" s="4">
        <f>VLOOKUP(J1978,Exchange_Rates!A:B,2,FALSE)</f>
        <v>0.73</v>
      </c>
      <c r="L1978" s="4">
        <f t="shared" si="120"/>
        <v>310.14780000000002</v>
      </c>
      <c r="M1978" s="4">
        <f t="shared" si="121"/>
        <v>0</v>
      </c>
      <c r="N1978" s="4">
        <f t="shared" si="122"/>
        <v>2024</v>
      </c>
      <c r="O1978" s="4">
        <f t="shared" si="123"/>
        <v>4</v>
      </c>
    </row>
    <row r="1979" spans="1:15" x14ac:dyDescent="0.25">
      <c r="A1979" t="s">
        <v>3997</v>
      </c>
      <c r="B1979" s="2">
        <v>45224</v>
      </c>
      <c r="C1979" t="s">
        <v>30</v>
      </c>
      <c r="D1979" t="s">
        <v>31</v>
      </c>
      <c r="E1979">
        <v>1626.39</v>
      </c>
      <c r="F1979">
        <v>0</v>
      </c>
      <c r="G1979" t="s">
        <v>9</v>
      </c>
      <c r="H1979" t="s">
        <v>51</v>
      </c>
      <c r="I1979" t="s">
        <v>3998</v>
      </c>
      <c r="J1979" t="s">
        <v>36</v>
      </c>
      <c r="K1979" s="4">
        <f>VLOOKUP(J1979,Exchange_Rates!A:B,2,FALSE)</f>
        <v>1.08</v>
      </c>
      <c r="L1979" s="4">
        <f t="shared" si="120"/>
        <v>1756.5012000000002</v>
      </c>
      <c r="M1979" s="4">
        <f t="shared" si="121"/>
        <v>0</v>
      </c>
      <c r="N1979" s="4">
        <f t="shared" si="122"/>
        <v>2023</v>
      </c>
      <c r="O1979" s="4">
        <f t="shared" si="123"/>
        <v>4</v>
      </c>
    </row>
    <row r="1980" spans="1:15" x14ac:dyDescent="0.25">
      <c r="A1980" t="s">
        <v>3999</v>
      </c>
      <c r="B1980" s="2">
        <v>45408</v>
      </c>
      <c r="C1980" t="s">
        <v>38</v>
      </c>
      <c r="D1980" t="s">
        <v>39</v>
      </c>
      <c r="E1980">
        <v>559.39</v>
      </c>
      <c r="F1980">
        <v>0</v>
      </c>
      <c r="G1980" t="s">
        <v>12</v>
      </c>
      <c r="H1980" t="s">
        <v>62</v>
      </c>
      <c r="I1980" t="s">
        <v>4000</v>
      </c>
      <c r="J1980" t="s">
        <v>45</v>
      </c>
      <c r="K1980" s="4">
        <f>VLOOKUP(J1980,Exchange_Rates!A:B,2,FALSE)</f>
        <v>1</v>
      </c>
      <c r="L1980" s="4">
        <f t="shared" si="120"/>
        <v>559.39</v>
      </c>
      <c r="M1980" s="4">
        <f t="shared" si="121"/>
        <v>0</v>
      </c>
      <c r="N1980" s="4">
        <f t="shared" si="122"/>
        <v>2024</v>
      </c>
      <c r="O1980" s="4">
        <f t="shared" si="123"/>
        <v>2</v>
      </c>
    </row>
    <row r="1981" spans="1:15" x14ac:dyDescent="0.25">
      <c r="A1981" t="s">
        <v>4001</v>
      </c>
      <c r="B1981" s="2">
        <v>45421</v>
      </c>
      <c r="C1981" t="s">
        <v>30</v>
      </c>
      <c r="D1981" t="s">
        <v>31</v>
      </c>
      <c r="E1981">
        <v>1234.21</v>
      </c>
      <c r="F1981">
        <v>0</v>
      </c>
      <c r="G1981" t="s">
        <v>8</v>
      </c>
      <c r="H1981" t="s">
        <v>51</v>
      </c>
      <c r="I1981" t="s">
        <v>4002</v>
      </c>
      <c r="J1981" t="s">
        <v>64</v>
      </c>
      <c r="K1981" s="4">
        <f>VLOOKUP(J1981,Exchange_Rates!A:B,2,FALSE)</f>
        <v>0.73</v>
      </c>
      <c r="L1981" s="4">
        <f t="shared" si="120"/>
        <v>900.97329999999999</v>
      </c>
      <c r="M1981" s="4">
        <f t="shared" si="121"/>
        <v>0</v>
      </c>
      <c r="N1981" s="4">
        <f t="shared" si="122"/>
        <v>2024</v>
      </c>
      <c r="O1981" s="4">
        <f t="shared" si="123"/>
        <v>2</v>
      </c>
    </row>
    <row r="1982" spans="1:15" x14ac:dyDescent="0.25">
      <c r="A1982" t="s">
        <v>4003</v>
      </c>
      <c r="B1982" s="2">
        <v>45338</v>
      </c>
      <c r="C1982" t="s">
        <v>38</v>
      </c>
      <c r="D1982" t="s">
        <v>39</v>
      </c>
      <c r="E1982">
        <v>704.55</v>
      </c>
      <c r="F1982">
        <v>0</v>
      </c>
      <c r="G1982" t="s">
        <v>12</v>
      </c>
      <c r="H1982" t="s">
        <v>26</v>
      </c>
      <c r="I1982" t="s">
        <v>4004</v>
      </c>
      <c r="J1982" t="s">
        <v>36</v>
      </c>
      <c r="K1982" s="4">
        <f>VLOOKUP(J1982,Exchange_Rates!A:B,2,FALSE)</f>
        <v>1.08</v>
      </c>
      <c r="L1982" s="4">
        <f t="shared" si="120"/>
        <v>760.91399999999999</v>
      </c>
      <c r="M1982" s="4">
        <f t="shared" si="121"/>
        <v>0</v>
      </c>
      <c r="N1982" s="4">
        <f t="shared" si="122"/>
        <v>2024</v>
      </c>
      <c r="O1982" s="4">
        <f t="shared" si="123"/>
        <v>1</v>
      </c>
    </row>
    <row r="1983" spans="1:15" x14ac:dyDescent="0.25">
      <c r="A1983" t="s">
        <v>4005</v>
      </c>
      <c r="B1983" s="2">
        <v>44965</v>
      </c>
      <c r="C1983" t="s">
        <v>60</v>
      </c>
      <c r="D1983" t="s">
        <v>61</v>
      </c>
      <c r="E1983">
        <v>0</v>
      </c>
      <c r="F1983">
        <v>118.67</v>
      </c>
      <c r="G1983" t="s">
        <v>11</v>
      </c>
      <c r="H1983" t="s">
        <v>40</v>
      </c>
      <c r="I1983" t="s">
        <v>4006</v>
      </c>
      <c r="J1983" t="s">
        <v>64</v>
      </c>
      <c r="K1983" s="4">
        <f>VLOOKUP(J1983,Exchange_Rates!A:B,2,FALSE)</f>
        <v>0.73</v>
      </c>
      <c r="L1983" s="4">
        <f t="shared" si="120"/>
        <v>0</v>
      </c>
      <c r="M1983" s="4">
        <f t="shared" si="121"/>
        <v>86.629099999999994</v>
      </c>
      <c r="N1983" s="4">
        <f t="shared" si="122"/>
        <v>2023</v>
      </c>
      <c r="O1983" s="4">
        <f t="shared" si="123"/>
        <v>1</v>
      </c>
    </row>
    <row r="1984" spans="1:15" x14ac:dyDescent="0.25">
      <c r="A1984" t="s">
        <v>4007</v>
      </c>
      <c r="B1984" s="2">
        <v>45097</v>
      </c>
      <c r="C1984" t="s">
        <v>24</v>
      </c>
      <c r="D1984" t="s">
        <v>25</v>
      </c>
      <c r="E1984">
        <v>0</v>
      </c>
      <c r="F1984">
        <v>1819.43</v>
      </c>
      <c r="G1984" t="s">
        <v>11</v>
      </c>
      <c r="H1984" t="s">
        <v>26</v>
      </c>
      <c r="I1984" t="s">
        <v>4008</v>
      </c>
      <c r="J1984" t="s">
        <v>36</v>
      </c>
      <c r="K1984" s="4">
        <f>VLOOKUP(J1984,Exchange_Rates!A:B,2,FALSE)</f>
        <v>1.08</v>
      </c>
      <c r="L1984" s="4">
        <f t="shared" si="120"/>
        <v>0</v>
      </c>
      <c r="M1984" s="4">
        <f t="shared" si="121"/>
        <v>1964.9844000000003</v>
      </c>
      <c r="N1984" s="4">
        <f t="shared" si="122"/>
        <v>2023</v>
      </c>
      <c r="O1984" s="4">
        <f t="shared" si="123"/>
        <v>2</v>
      </c>
    </row>
    <row r="1985" spans="1:15" x14ac:dyDescent="0.25">
      <c r="A1985" t="s">
        <v>4009</v>
      </c>
      <c r="B1985" s="2">
        <v>45180</v>
      </c>
      <c r="C1985" t="s">
        <v>49</v>
      </c>
      <c r="D1985" t="s">
        <v>50</v>
      </c>
      <c r="E1985">
        <v>1104.31</v>
      </c>
      <c r="F1985">
        <v>0</v>
      </c>
      <c r="G1985" t="s">
        <v>12</v>
      </c>
      <c r="H1985" t="s">
        <v>26</v>
      </c>
      <c r="I1985" t="s">
        <v>4010</v>
      </c>
      <c r="J1985" t="s">
        <v>42</v>
      </c>
      <c r="K1985" s="4">
        <f>VLOOKUP(J1985,Exchange_Rates!A:B,2,FALSE)</f>
        <v>0.66</v>
      </c>
      <c r="L1985" s="4">
        <f t="shared" si="120"/>
        <v>728.84460000000001</v>
      </c>
      <c r="M1985" s="4">
        <f t="shared" si="121"/>
        <v>0</v>
      </c>
      <c r="N1985" s="4">
        <f t="shared" si="122"/>
        <v>2023</v>
      </c>
      <c r="O1985" s="4">
        <f t="shared" si="123"/>
        <v>3</v>
      </c>
    </row>
    <row r="1986" spans="1:15" x14ac:dyDescent="0.25">
      <c r="A1986" t="s">
        <v>4011</v>
      </c>
      <c r="B1986" s="2">
        <v>44946</v>
      </c>
      <c r="C1986" t="s">
        <v>30</v>
      </c>
      <c r="D1986" t="s">
        <v>31</v>
      </c>
      <c r="E1986">
        <v>698.67</v>
      </c>
      <c r="F1986">
        <v>0</v>
      </c>
      <c r="G1986" t="s">
        <v>13</v>
      </c>
      <c r="H1986" t="s">
        <v>40</v>
      </c>
      <c r="I1986" t="s">
        <v>4012</v>
      </c>
      <c r="J1986" t="s">
        <v>42</v>
      </c>
      <c r="K1986" s="4">
        <f>VLOOKUP(J1986,Exchange_Rates!A:B,2,FALSE)</f>
        <v>0.66</v>
      </c>
      <c r="L1986" s="4">
        <f t="shared" si="120"/>
        <v>461.12220000000002</v>
      </c>
      <c r="M1986" s="4">
        <f t="shared" si="121"/>
        <v>0</v>
      </c>
      <c r="N1986" s="4">
        <f t="shared" si="122"/>
        <v>2023</v>
      </c>
      <c r="O1986" s="4">
        <f t="shared" si="123"/>
        <v>1</v>
      </c>
    </row>
    <row r="1987" spans="1:15" x14ac:dyDescent="0.25">
      <c r="A1987" t="s">
        <v>4013</v>
      </c>
      <c r="B1987" s="2">
        <v>45581</v>
      </c>
      <c r="C1987" t="s">
        <v>24</v>
      </c>
      <c r="D1987" t="s">
        <v>25</v>
      </c>
      <c r="E1987">
        <v>0</v>
      </c>
      <c r="F1987">
        <v>3256.52</v>
      </c>
      <c r="G1987" t="s">
        <v>12</v>
      </c>
      <c r="H1987" t="s">
        <v>51</v>
      </c>
      <c r="I1987" t="s">
        <v>4014</v>
      </c>
      <c r="J1987" t="s">
        <v>36</v>
      </c>
      <c r="K1987" s="4">
        <f>VLOOKUP(J1987,Exchange_Rates!A:B,2,FALSE)</f>
        <v>1.08</v>
      </c>
      <c r="L1987" s="4">
        <f t="shared" ref="L1987:L2001" si="124">E1987*K1987</f>
        <v>0</v>
      </c>
      <c r="M1987" s="4">
        <f t="shared" ref="M1987:M2001" si="125">F1987*K1987</f>
        <v>3517.0416</v>
      </c>
      <c r="N1987" s="4">
        <f t="shared" ref="N1987:N2001" si="126">YEAR(B1987)</f>
        <v>2024</v>
      </c>
      <c r="O1987" s="4">
        <f t="shared" ref="O1987:O2001" si="127">ROUNDUP(MONTH(B1987)/3,0)</f>
        <v>4</v>
      </c>
    </row>
    <row r="1988" spans="1:15" x14ac:dyDescent="0.25">
      <c r="A1988" t="s">
        <v>4015</v>
      </c>
      <c r="B1988" s="2">
        <v>45230</v>
      </c>
      <c r="C1988" t="s">
        <v>38</v>
      </c>
      <c r="D1988" t="s">
        <v>39</v>
      </c>
      <c r="E1988">
        <v>415.73</v>
      </c>
      <c r="F1988">
        <v>0</v>
      </c>
      <c r="G1988" t="s">
        <v>12</v>
      </c>
      <c r="H1988" t="s">
        <v>26</v>
      </c>
      <c r="I1988" t="s">
        <v>4016</v>
      </c>
      <c r="J1988" t="s">
        <v>45</v>
      </c>
      <c r="K1988" s="4">
        <f>VLOOKUP(J1988,Exchange_Rates!A:B,2,FALSE)</f>
        <v>1</v>
      </c>
      <c r="L1988" s="4">
        <f t="shared" si="124"/>
        <v>415.73</v>
      </c>
      <c r="M1988" s="4">
        <f t="shared" si="125"/>
        <v>0</v>
      </c>
      <c r="N1988" s="4">
        <f t="shared" si="126"/>
        <v>2023</v>
      </c>
      <c r="O1988" s="4">
        <f t="shared" si="127"/>
        <v>4</v>
      </c>
    </row>
    <row r="1989" spans="1:15" x14ac:dyDescent="0.25">
      <c r="A1989" t="s">
        <v>4017</v>
      </c>
      <c r="B1989" s="2">
        <v>45747</v>
      </c>
      <c r="C1989" t="s">
        <v>30</v>
      </c>
      <c r="D1989" t="s">
        <v>31</v>
      </c>
      <c r="E1989">
        <v>798.68</v>
      </c>
      <c r="F1989">
        <v>0</v>
      </c>
      <c r="G1989" t="s">
        <v>12</v>
      </c>
      <c r="H1989" t="s">
        <v>26</v>
      </c>
      <c r="I1989" t="s">
        <v>4018</v>
      </c>
      <c r="J1989" t="s">
        <v>64</v>
      </c>
      <c r="K1989" s="4">
        <f>VLOOKUP(J1989,Exchange_Rates!A:B,2,FALSE)</f>
        <v>0.73</v>
      </c>
      <c r="L1989" s="4">
        <f t="shared" si="124"/>
        <v>583.03639999999996</v>
      </c>
      <c r="M1989" s="4">
        <f t="shared" si="125"/>
        <v>0</v>
      </c>
      <c r="N1989" s="4">
        <f t="shared" si="126"/>
        <v>2025</v>
      </c>
      <c r="O1989" s="4">
        <f t="shared" si="127"/>
        <v>1</v>
      </c>
    </row>
    <row r="1990" spans="1:15" x14ac:dyDescent="0.25">
      <c r="A1990" t="s">
        <v>4019</v>
      </c>
      <c r="B1990" s="2">
        <v>45008</v>
      </c>
      <c r="C1990" t="s">
        <v>49</v>
      </c>
      <c r="D1990" t="s">
        <v>50</v>
      </c>
      <c r="E1990">
        <v>829.83</v>
      </c>
      <c r="F1990">
        <v>0</v>
      </c>
      <c r="G1990" t="s">
        <v>9</v>
      </c>
      <c r="H1990" t="s">
        <v>34</v>
      </c>
      <c r="I1990" t="s">
        <v>4020</v>
      </c>
      <c r="J1990" t="s">
        <v>42</v>
      </c>
      <c r="K1990" s="4">
        <f>VLOOKUP(J1990,Exchange_Rates!A:B,2,FALSE)</f>
        <v>0.66</v>
      </c>
      <c r="L1990" s="4">
        <f t="shared" si="124"/>
        <v>547.68780000000004</v>
      </c>
      <c r="M1990" s="4">
        <f t="shared" si="125"/>
        <v>0</v>
      </c>
      <c r="N1990" s="4">
        <f t="shared" si="126"/>
        <v>2023</v>
      </c>
      <c r="O1990" s="4">
        <f t="shared" si="127"/>
        <v>1</v>
      </c>
    </row>
    <row r="1991" spans="1:15" x14ac:dyDescent="0.25">
      <c r="A1991" t="s">
        <v>4021</v>
      </c>
      <c r="B1991" s="2">
        <v>45591</v>
      </c>
      <c r="C1991" t="s">
        <v>49</v>
      </c>
      <c r="D1991" t="s">
        <v>50</v>
      </c>
      <c r="E1991">
        <v>247.03</v>
      </c>
      <c r="F1991">
        <v>0</v>
      </c>
      <c r="G1991" t="s">
        <v>12</v>
      </c>
      <c r="H1991" t="s">
        <v>51</v>
      </c>
      <c r="I1991" t="s">
        <v>4022</v>
      </c>
      <c r="J1991" t="s">
        <v>45</v>
      </c>
      <c r="K1991" s="4">
        <f>VLOOKUP(J1991,Exchange_Rates!A:B,2,FALSE)</f>
        <v>1</v>
      </c>
      <c r="L1991" s="4">
        <f t="shared" si="124"/>
        <v>247.03</v>
      </c>
      <c r="M1991" s="4">
        <f t="shared" si="125"/>
        <v>0</v>
      </c>
      <c r="N1991" s="4">
        <f t="shared" si="126"/>
        <v>2024</v>
      </c>
      <c r="O1991" s="4">
        <f t="shared" si="127"/>
        <v>4</v>
      </c>
    </row>
    <row r="1992" spans="1:15" x14ac:dyDescent="0.25">
      <c r="A1992" t="s">
        <v>4023</v>
      </c>
      <c r="B1992" s="2">
        <v>45188</v>
      </c>
      <c r="C1992" t="s">
        <v>30</v>
      </c>
      <c r="D1992" t="s">
        <v>31</v>
      </c>
      <c r="E1992">
        <v>688.11</v>
      </c>
      <c r="F1992">
        <v>0</v>
      </c>
      <c r="G1992" t="s">
        <v>9</v>
      </c>
      <c r="H1992" t="s">
        <v>51</v>
      </c>
      <c r="I1992" t="s">
        <v>4024</v>
      </c>
      <c r="J1992" t="s">
        <v>45</v>
      </c>
      <c r="K1992" s="4">
        <f>VLOOKUP(J1992,Exchange_Rates!A:B,2,FALSE)</f>
        <v>1</v>
      </c>
      <c r="L1992" s="4">
        <f t="shared" si="124"/>
        <v>688.11</v>
      </c>
      <c r="M1992" s="4">
        <f t="shared" si="125"/>
        <v>0</v>
      </c>
      <c r="N1992" s="4">
        <f t="shared" si="126"/>
        <v>2023</v>
      </c>
      <c r="O1992" s="4">
        <f t="shared" si="127"/>
        <v>3</v>
      </c>
    </row>
    <row r="1993" spans="1:15" x14ac:dyDescent="0.25">
      <c r="A1993" t="s">
        <v>4025</v>
      </c>
      <c r="B1993" s="2">
        <v>45530</v>
      </c>
      <c r="C1993" t="s">
        <v>38</v>
      </c>
      <c r="D1993" t="s">
        <v>39</v>
      </c>
      <c r="E1993">
        <v>1196.93</v>
      </c>
      <c r="F1993">
        <v>0</v>
      </c>
      <c r="G1993" t="s">
        <v>12</v>
      </c>
      <c r="H1993" t="s">
        <v>34</v>
      </c>
      <c r="I1993" t="s">
        <v>4026</v>
      </c>
      <c r="J1993" t="s">
        <v>45</v>
      </c>
      <c r="K1993" s="4">
        <f>VLOOKUP(J1993,Exchange_Rates!A:B,2,FALSE)</f>
        <v>1</v>
      </c>
      <c r="L1993" s="4">
        <f t="shared" si="124"/>
        <v>1196.93</v>
      </c>
      <c r="M1993" s="4">
        <f t="shared" si="125"/>
        <v>0</v>
      </c>
      <c r="N1993" s="4">
        <f t="shared" si="126"/>
        <v>2024</v>
      </c>
      <c r="O1993" s="4">
        <f t="shared" si="127"/>
        <v>3</v>
      </c>
    </row>
    <row r="1994" spans="1:15" x14ac:dyDescent="0.25">
      <c r="A1994" t="s">
        <v>4027</v>
      </c>
      <c r="B1994" s="2">
        <v>45452</v>
      </c>
      <c r="C1994" t="s">
        <v>60</v>
      </c>
      <c r="D1994" t="s">
        <v>61</v>
      </c>
      <c r="E1994">
        <v>0</v>
      </c>
      <c r="F1994">
        <v>2003.64</v>
      </c>
      <c r="G1994" t="s">
        <v>8</v>
      </c>
      <c r="H1994" t="s">
        <v>26</v>
      </c>
      <c r="I1994" t="s">
        <v>4028</v>
      </c>
      <c r="J1994" t="s">
        <v>64</v>
      </c>
      <c r="K1994" s="4">
        <f>VLOOKUP(J1994,Exchange_Rates!A:B,2,FALSE)</f>
        <v>0.73</v>
      </c>
      <c r="L1994" s="4">
        <f t="shared" si="124"/>
        <v>0</v>
      </c>
      <c r="M1994" s="4">
        <f t="shared" si="125"/>
        <v>1462.6572000000001</v>
      </c>
      <c r="N1994" s="4">
        <f t="shared" si="126"/>
        <v>2024</v>
      </c>
      <c r="O1994" s="4">
        <f t="shared" si="127"/>
        <v>2</v>
      </c>
    </row>
    <row r="1995" spans="1:15" x14ac:dyDescent="0.25">
      <c r="A1995" t="s">
        <v>4029</v>
      </c>
      <c r="B1995" s="2">
        <v>45615</v>
      </c>
      <c r="C1995" t="s">
        <v>24</v>
      </c>
      <c r="D1995" t="s">
        <v>25</v>
      </c>
      <c r="E1995">
        <v>0</v>
      </c>
      <c r="F1995">
        <v>1233.1300000000001</v>
      </c>
      <c r="G1995" t="s">
        <v>11</v>
      </c>
      <c r="H1995" t="s">
        <v>51</v>
      </c>
      <c r="I1995" t="s">
        <v>4030</v>
      </c>
      <c r="J1995" t="s">
        <v>28</v>
      </c>
      <c r="K1995" s="4">
        <f>VLOOKUP(J1995,Exchange_Rates!A:B,2,FALSE)</f>
        <v>1.27</v>
      </c>
      <c r="L1995" s="4">
        <f t="shared" si="124"/>
        <v>0</v>
      </c>
      <c r="M1995" s="4">
        <f t="shared" si="125"/>
        <v>1566.0751000000002</v>
      </c>
      <c r="N1995" s="4">
        <f t="shared" si="126"/>
        <v>2024</v>
      </c>
      <c r="O1995" s="4">
        <f t="shared" si="127"/>
        <v>4</v>
      </c>
    </row>
    <row r="1996" spans="1:15" x14ac:dyDescent="0.25">
      <c r="A1996" t="s">
        <v>4031</v>
      </c>
      <c r="B1996" s="2">
        <v>45299</v>
      </c>
      <c r="C1996" t="s">
        <v>60</v>
      </c>
      <c r="D1996" t="s">
        <v>61</v>
      </c>
      <c r="E1996">
        <v>0</v>
      </c>
      <c r="F1996">
        <v>767.31</v>
      </c>
      <c r="G1996" t="s">
        <v>11</v>
      </c>
      <c r="H1996" t="s">
        <v>62</v>
      </c>
      <c r="I1996" t="s">
        <v>4032</v>
      </c>
      <c r="J1996" t="s">
        <v>45</v>
      </c>
      <c r="K1996" s="4">
        <f>VLOOKUP(J1996,Exchange_Rates!A:B,2,FALSE)</f>
        <v>1</v>
      </c>
      <c r="L1996" s="4">
        <f t="shared" si="124"/>
        <v>0</v>
      </c>
      <c r="M1996" s="4">
        <f t="shared" si="125"/>
        <v>767.31</v>
      </c>
      <c r="N1996" s="4">
        <f t="shared" si="126"/>
        <v>2024</v>
      </c>
      <c r="O1996" s="4">
        <f t="shared" si="127"/>
        <v>1</v>
      </c>
    </row>
    <row r="1997" spans="1:15" x14ac:dyDescent="0.25">
      <c r="A1997" t="s">
        <v>4033</v>
      </c>
      <c r="B1997" s="2">
        <v>45812</v>
      </c>
      <c r="C1997" t="s">
        <v>49</v>
      </c>
      <c r="D1997" t="s">
        <v>50</v>
      </c>
      <c r="E1997">
        <v>719.33</v>
      </c>
      <c r="F1997">
        <v>0</v>
      </c>
      <c r="G1997" t="s">
        <v>10</v>
      </c>
      <c r="H1997" t="s">
        <v>34</v>
      </c>
      <c r="I1997" t="s">
        <v>4034</v>
      </c>
      <c r="J1997" t="s">
        <v>36</v>
      </c>
      <c r="K1997" s="4">
        <f>VLOOKUP(J1997,Exchange_Rates!A:B,2,FALSE)</f>
        <v>1.08</v>
      </c>
      <c r="L1997" s="4">
        <f t="shared" si="124"/>
        <v>776.8764000000001</v>
      </c>
      <c r="M1997" s="4">
        <f t="shared" si="125"/>
        <v>0</v>
      </c>
      <c r="N1997" s="4">
        <f t="shared" si="126"/>
        <v>2025</v>
      </c>
      <c r="O1997" s="4">
        <f t="shared" si="127"/>
        <v>2</v>
      </c>
    </row>
    <row r="1998" spans="1:15" x14ac:dyDescent="0.25">
      <c r="A1998" t="s">
        <v>4035</v>
      </c>
      <c r="B1998" s="2">
        <v>45147</v>
      </c>
      <c r="C1998" t="s">
        <v>24</v>
      </c>
      <c r="D1998" t="s">
        <v>25</v>
      </c>
      <c r="E1998">
        <v>0</v>
      </c>
      <c r="F1998">
        <v>2016.99</v>
      </c>
      <c r="G1998" t="s">
        <v>9</v>
      </c>
      <c r="H1998" t="s">
        <v>40</v>
      </c>
      <c r="I1998" t="s">
        <v>4036</v>
      </c>
      <c r="J1998" t="s">
        <v>64</v>
      </c>
      <c r="K1998" s="4">
        <f>VLOOKUP(J1998,Exchange_Rates!A:B,2,FALSE)</f>
        <v>0.73</v>
      </c>
      <c r="L1998" s="4">
        <f t="shared" si="124"/>
        <v>0</v>
      </c>
      <c r="M1998" s="4">
        <f t="shared" si="125"/>
        <v>1472.4026999999999</v>
      </c>
      <c r="N1998" s="4">
        <f t="shared" si="126"/>
        <v>2023</v>
      </c>
      <c r="O1998" s="4">
        <f t="shared" si="127"/>
        <v>3</v>
      </c>
    </row>
    <row r="1999" spans="1:15" x14ac:dyDescent="0.25">
      <c r="A1999" t="s">
        <v>4037</v>
      </c>
      <c r="B1999" s="2">
        <v>45249</v>
      </c>
      <c r="C1999" t="s">
        <v>24</v>
      </c>
      <c r="D1999" t="s">
        <v>25</v>
      </c>
      <c r="E1999">
        <v>0</v>
      </c>
      <c r="F1999">
        <v>4719.37</v>
      </c>
      <c r="G1999" t="s">
        <v>13</v>
      </c>
      <c r="H1999" t="s">
        <v>62</v>
      </c>
      <c r="I1999" t="s">
        <v>4038</v>
      </c>
      <c r="J1999" t="s">
        <v>64</v>
      </c>
      <c r="K1999" s="4">
        <f>VLOOKUP(J1999,Exchange_Rates!A:B,2,FALSE)</f>
        <v>0.73</v>
      </c>
      <c r="L1999" s="4">
        <f t="shared" si="124"/>
        <v>0</v>
      </c>
      <c r="M1999" s="4">
        <f t="shared" si="125"/>
        <v>3445.1400999999996</v>
      </c>
      <c r="N1999" s="4">
        <f t="shared" si="126"/>
        <v>2023</v>
      </c>
      <c r="O1999" s="4">
        <f t="shared" si="127"/>
        <v>4</v>
      </c>
    </row>
    <row r="2000" spans="1:15" x14ac:dyDescent="0.25">
      <c r="A2000" t="s">
        <v>4039</v>
      </c>
      <c r="B2000" s="2">
        <v>45013</v>
      </c>
      <c r="C2000" t="s">
        <v>60</v>
      </c>
      <c r="D2000" t="s">
        <v>61</v>
      </c>
      <c r="E2000">
        <v>0</v>
      </c>
      <c r="F2000">
        <v>4523.09</v>
      </c>
      <c r="G2000" t="s">
        <v>13</v>
      </c>
      <c r="H2000" t="s">
        <v>26</v>
      </c>
      <c r="I2000" t="s">
        <v>4040</v>
      </c>
      <c r="J2000" t="s">
        <v>42</v>
      </c>
      <c r="K2000" s="4">
        <f>VLOOKUP(J2000,Exchange_Rates!A:B,2,FALSE)</f>
        <v>0.66</v>
      </c>
      <c r="L2000" s="4">
        <f t="shared" si="124"/>
        <v>0</v>
      </c>
      <c r="M2000" s="4">
        <f t="shared" si="125"/>
        <v>2985.2394000000004</v>
      </c>
      <c r="N2000" s="4">
        <f t="shared" si="126"/>
        <v>2023</v>
      </c>
      <c r="O2000" s="4">
        <f t="shared" si="127"/>
        <v>1</v>
      </c>
    </row>
    <row r="2001" spans="1:15" x14ac:dyDescent="0.25">
      <c r="A2001" t="s">
        <v>4041</v>
      </c>
      <c r="B2001" s="2">
        <v>45555</v>
      </c>
      <c r="C2001" t="s">
        <v>24</v>
      </c>
      <c r="D2001" t="s">
        <v>25</v>
      </c>
      <c r="E2001">
        <v>0</v>
      </c>
      <c r="F2001">
        <v>354.88</v>
      </c>
      <c r="G2001" t="s">
        <v>9</v>
      </c>
      <c r="H2001" t="s">
        <v>26</v>
      </c>
      <c r="I2001" t="s">
        <v>4042</v>
      </c>
      <c r="J2001" t="s">
        <v>45</v>
      </c>
      <c r="K2001" s="4">
        <f>VLOOKUP(J2001,Exchange_Rates!A:B,2,FALSE)</f>
        <v>1</v>
      </c>
      <c r="L2001" s="4">
        <f t="shared" si="124"/>
        <v>0</v>
      </c>
      <c r="M2001" s="4">
        <f t="shared" si="125"/>
        <v>354.88</v>
      </c>
      <c r="N2001" s="4">
        <f t="shared" si="126"/>
        <v>2024</v>
      </c>
      <c r="O2001" s="4">
        <f t="shared" si="127"/>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73A3C-9129-4534-BCF6-9AC7B599F0C1}">
  <dimension ref="A1:L1001"/>
  <sheetViews>
    <sheetView workbookViewId="0">
      <selection sqref="A1:L1001"/>
    </sheetView>
  </sheetViews>
  <sheetFormatPr defaultRowHeight="15" x14ac:dyDescent="0.25"/>
  <cols>
    <col min="3" max="3" width="10.42578125" bestFit="1" customWidth="1"/>
    <col min="10" max="10" width="10.42578125" bestFit="1" customWidth="1"/>
    <col min="11" max="11" width="12" customWidth="1"/>
  </cols>
  <sheetData>
    <row r="1" spans="1:12" x14ac:dyDescent="0.25">
      <c r="A1" s="5" t="s">
        <v>4043</v>
      </c>
      <c r="B1" s="5" t="s">
        <v>4044</v>
      </c>
      <c r="C1" s="5" t="s">
        <v>4045</v>
      </c>
      <c r="D1" s="5" t="s">
        <v>4046</v>
      </c>
      <c r="E1" s="5" t="s">
        <v>21</v>
      </c>
      <c r="F1" s="5" t="s">
        <v>4047</v>
      </c>
      <c r="G1" s="5" t="s">
        <v>22</v>
      </c>
      <c r="H1" s="5" t="s">
        <v>4048</v>
      </c>
      <c r="I1" s="5" t="s">
        <v>4049</v>
      </c>
      <c r="J1" s="5" t="s">
        <v>4050</v>
      </c>
      <c r="K1" s="3" t="s">
        <v>5184</v>
      </c>
      <c r="L1" s="3" t="s">
        <v>5212</v>
      </c>
    </row>
    <row r="2" spans="1:12" x14ac:dyDescent="0.25">
      <c r="A2" s="4" t="s">
        <v>4051</v>
      </c>
      <c r="B2" s="4" t="s">
        <v>4052</v>
      </c>
      <c r="C2" s="6">
        <v>45518</v>
      </c>
      <c r="D2" s="4" t="s">
        <v>4053</v>
      </c>
      <c r="E2" s="4" t="s">
        <v>4054</v>
      </c>
      <c r="F2" s="4">
        <v>497.28</v>
      </c>
      <c r="G2" s="4" t="s">
        <v>64</v>
      </c>
      <c r="H2" s="4" t="s">
        <v>4055</v>
      </c>
      <c r="I2" s="4" t="s">
        <v>4056</v>
      </c>
      <c r="J2" s="6">
        <v>45533</v>
      </c>
      <c r="K2">
        <f>VLOOKUP(G2,Exchange_Rates!A:B,2,FALSE)</f>
        <v>0.73</v>
      </c>
      <c r="L2">
        <f>F2*K2</f>
        <v>363.01439999999997</v>
      </c>
    </row>
    <row r="3" spans="1:12" x14ac:dyDescent="0.25">
      <c r="A3" s="4" t="s">
        <v>4057</v>
      </c>
      <c r="B3" s="4" t="s">
        <v>4058</v>
      </c>
      <c r="C3" s="6">
        <v>45456</v>
      </c>
      <c r="D3" s="4" t="s">
        <v>4053</v>
      </c>
      <c r="E3" s="4" t="s">
        <v>4054</v>
      </c>
      <c r="F3" s="4">
        <v>149.22</v>
      </c>
      <c r="G3" s="4" t="s">
        <v>36</v>
      </c>
      <c r="H3" s="4" t="s">
        <v>4059</v>
      </c>
      <c r="I3" s="4" t="s">
        <v>4056</v>
      </c>
      <c r="J3" s="4"/>
      <c r="K3" s="4">
        <f>VLOOKUP(G3,Exchange_Rates!A:B,2,FALSE)</f>
        <v>1.08</v>
      </c>
      <c r="L3" s="4">
        <f t="shared" ref="L3:L66" si="0">F3*K3</f>
        <v>161.1576</v>
      </c>
    </row>
    <row r="4" spans="1:12" x14ac:dyDescent="0.25">
      <c r="A4" s="4" t="s">
        <v>4060</v>
      </c>
      <c r="B4" s="4" t="s">
        <v>4061</v>
      </c>
      <c r="C4" s="6">
        <v>45186</v>
      </c>
      <c r="D4" s="4" t="s">
        <v>4062</v>
      </c>
      <c r="E4" s="4" t="s">
        <v>4054</v>
      </c>
      <c r="F4" s="4">
        <v>465.42</v>
      </c>
      <c r="G4" s="4" t="s">
        <v>28</v>
      </c>
      <c r="H4" s="4" t="s">
        <v>4063</v>
      </c>
      <c r="I4" s="4" t="s">
        <v>4056</v>
      </c>
      <c r="J4" s="4"/>
      <c r="K4" s="4">
        <f>VLOOKUP(G4,Exchange_Rates!A:B,2,FALSE)</f>
        <v>1.27</v>
      </c>
      <c r="L4" s="4">
        <f t="shared" si="0"/>
        <v>591.08339999999998</v>
      </c>
    </row>
    <row r="5" spans="1:12" x14ac:dyDescent="0.25">
      <c r="A5" s="4" t="s">
        <v>4064</v>
      </c>
      <c r="B5" s="4" t="s">
        <v>4065</v>
      </c>
      <c r="C5" s="6">
        <v>45172</v>
      </c>
      <c r="D5" s="4" t="s">
        <v>4066</v>
      </c>
      <c r="E5" s="4" t="s">
        <v>4054</v>
      </c>
      <c r="F5" s="4">
        <v>262.72000000000003</v>
      </c>
      <c r="G5" s="4" t="s">
        <v>64</v>
      </c>
      <c r="H5" s="4" t="s">
        <v>4055</v>
      </c>
      <c r="I5" s="4" t="s">
        <v>4056</v>
      </c>
      <c r="J5" s="6">
        <v>45187</v>
      </c>
      <c r="K5" s="4">
        <f>VLOOKUP(G5,Exchange_Rates!A:B,2,FALSE)</f>
        <v>0.73</v>
      </c>
      <c r="L5" s="4">
        <f t="shared" si="0"/>
        <v>191.78560000000002</v>
      </c>
    </row>
    <row r="6" spans="1:12" x14ac:dyDescent="0.25">
      <c r="A6" s="4" t="s">
        <v>4067</v>
      </c>
      <c r="B6" s="4" t="s">
        <v>4068</v>
      </c>
      <c r="C6" s="6">
        <v>44935</v>
      </c>
      <c r="D6" s="4" t="s">
        <v>4069</v>
      </c>
      <c r="E6" s="4" t="s">
        <v>4054</v>
      </c>
      <c r="F6" s="4">
        <v>363.86</v>
      </c>
      <c r="G6" s="4" t="s">
        <v>45</v>
      </c>
      <c r="H6" s="4" t="s">
        <v>4059</v>
      </c>
      <c r="I6" s="4" t="s">
        <v>4070</v>
      </c>
      <c r="J6" s="4"/>
      <c r="K6" s="4">
        <f>VLOOKUP(G6,Exchange_Rates!A:B,2,FALSE)</f>
        <v>1</v>
      </c>
      <c r="L6" s="4">
        <f t="shared" si="0"/>
        <v>363.86</v>
      </c>
    </row>
    <row r="7" spans="1:12" x14ac:dyDescent="0.25">
      <c r="A7" s="4" t="s">
        <v>4071</v>
      </c>
      <c r="B7" s="4" t="s">
        <v>4072</v>
      </c>
      <c r="C7" s="6">
        <v>45501</v>
      </c>
      <c r="D7" s="4" t="s">
        <v>4066</v>
      </c>
      <c r="E7" s="4" t="s">
        <v>4054</v>
      </c>
      <c r="F7" s="4">
        <v>760.13</v>
      </c>
      <c r="G7" s="4" t="s">
        <v>42</v>
      </c>
      <c r="H7" s="4" t="s">
        <v>4059</v>
      </c>
      <c r="I7" s="4" t="s">
        <v>4056</v>
      </c>
      <c r="J7" s="4"/>
      <c r="K7" s="4">
        <f>VLOOKUP(G7,Exchange_Rates!A:B,2,FALSE)</f>
        <v>0.66</v>
      </c>
      <c r="L7" s="4">
        <f t="shared" si="0"/>
        <v>501.68580000000003</v>
      </c>
    </row>
    <row r="8" spans="1:12" x14ac:dyDescent="0.25">
      <c r="A8" s="4" t="s">
        <v>4073</v>
      </c>
      <c r="B8" s="4" t="s">
        <v>4074</v>
      </c>
      <c r="C8" s="6">
        <v>45248</v>
      </c>
      <c r="D8" s="4" t="s">
        <v>4066</v>
      </c>
      <c r="E8" s="4" t="s">
        <v>4054</v>
      </c>
      <c r="F8" s="4">
        <v>134.1</v>
      </c>
      <c r="G8" s="4" t="s">
        <v>28</v>
      </c>
      <c r="H8" s="4" t="s">
        <v>4063</v>
      </c>
      <c r="I8" s="4" t="s">
        <v>4070</v>
      </c>
      <c r="J8" s="4"/>
      <c r="K8" s="4">
        <f>VLOOKUP(G8,Exchange_Rates!A:B,2,FALSE)</f>
        <v>1.27</v>
      </c>
      <c r="L8" s="4">
        <f t="shared" si="0"/>
        <v>170.30699999999999</v>
      </c>
    </row>
    <row r="9" spans="1:12" x14ac:dyDescent="0.25">
      <c r="A9" s="4" t="s">
        <v>4075</v>
      </c>
      <c r="B9" s="4" t="s">
        <v>4076</v>
      </c>
      <c r="C9" s="6">
        <v>45055</v>
      </c>
      <c r="D9" s="4" t="s">
        <v>4062</v>
      </c>
      <c r="E9" s="4" t="s">
        <v>4054</v>
      </c>
      <c r="F9" s="4">
        <v>320.63</v>
      </c>
      <c r="G9" s="4" t="s">
        <v>28</v>
      </c>
      <c r="H9" s="4" t="s">
        <v>4063</v>
      </c>
      <c r="I9" s="4" t="s">
        <v>4070</v>
      </c>
      <c r="J9" s="4"/>
      <c r="K9" s="4">
        <f>VLOOKUP(G9,Exchange_Rates!A:B,2,FALSE)</f>
        <v>1.27</v>
      </c>
      <c r="L9" s="4">
        <f t="shared" si="0"/>
        <v>407.20010000000002</v>
      </c>
    </row>
    <row r="10" spans="1:12" x14ac:dyDescent="0.25">
      <c r="A10" s="4" t="s">
        <v>4077</v>
      </c>
      <c r="B10" s="4" t="s">
        <v>4078</v>
      </c>
      <c r="C10" s="6">
        <v>45827</v>
      </c>
      <c r="D10" s="4" t="s">
        <v>4053</v>
      </c>
      <c r="E10" s="4" t="s">
        <v>4054</v>
      </c>
      <c r="F10" s="4">
        <v>247.74</v>
      </c>
      <c r="G10" s="4" t="s">
        <v>36</v>
      </c>
      <c r="H10" s="4" t="s">
        <v>4063</v>
      </c>
      <c r="I10" s="4" t="s">
        <v>4056</v>
      </c>
      <c r="J10" s="4"/>
      <c r="K10" s="4">
        <f>VLOOKUP(G10,Exchange_Rates!A:B,2,FALSE)</f>
        <v>1.08</v>
      </c>
      <c r="L10" s="4">
        <f t="shared" si="0"/>
        <v>267.55920000000003</v>
      </c>
    </row>
    <row r="11" spans="1:12" x14ac:dyDescent="0.25">
      <c r="A11" s="4" t="s">
        <v>4079</v>
      </c>
      <c r="B11" s="4" t="s">
        <v>4080</v>
      </c>
      <c r="C11" s="6">
        <v>45687</v>
      </c>
      <c r="D11" s="4" t="s">
        <v>4053</v>
      </c>
      <c r="E11" s="4" t="s">
        <v>4054</v>
      </c>
      <c r="F11" s="4">
        <v>764.36</v>
      </c>
      <c r="G11" s="4" t="s">
        <v>45</v>
      </c>
      <c r="H11" s="4" t="s">
        <v>4063</v>
      </c>
      <c r="I11" s="4" t="s">
        <v>4056</v>
      </c>
      <c r="J11" s="4"/>
      <c r="K11" s="4">
        <f>VLOOKUP(G11,Exchange_Rates!A:B,2,FALSE)</f>
        <v>1</v>
      </c>
      <c r="L11" s="4">
        <f t="shared" si="0"/>
        <v>764.36</v>
      </c>
    </row>
    <row r="12" spans="1:12" x14ac:dyDescent="0.25">
      <c r="A12" s="4" t="s">
        <v>4081</v>
      </c>
      <c r="B12" s="4" t="s">
        <v>4082</v>
      </c>
      <c r="C12" s="6">
        <v>45304</v>
      </c>
      <c r="D12" s="4" t="s">
        <v>4066</v>
      </c>
      <c r="E12" s="4" t="s">
        <v>4054</v>
      </c>
      <c r="F12" s="4">
        <v>762.2</v>
      </c>
      <c r="G12" s="4" t="s">
        <v>28</v>
      </c>
      <c r="H12" s="4" t="s">
        <v>4055</v>
      </c>
      <c r="I12" s="4" t="s">
        <v>4070</v>
      </c>
      <c r="J12" s="6">
        <v>45319</v>
      </c>
      <c r="K12" s="4">
        <f>VLOOKUP(G12,Exchange_Rates!A:B,2,FALSE)</f>
        <v>1.27</v>
      </c>
      <c r="L12" s="4">
        <f t="shared" si="0"/>
        <v>967.99400000000003</v>
      </c>
    </row>
    <row r="13" spans="1:12" x14ac:dyDescent="0.25">
      <c r="A13" s="4" t="s">
        <v>4083</v>
      </c>
      <c r="B13" s="4" t="s">
        <v>4084</v>
      </c>
      <c r="C13" s="6">
        <v>45573</v>
      </c>
      <c r="D13" s="4" t="s">
        <v>4053</v>
      </c>
      <c r="E13" s="4" t="s">
        <v>4054</v>
      </c>
      <c r="F13" s="4">
        <v>256.72000000000003</v>
      </c>
      <c r="G13" s="4" t="s">
        <v>64</v>
      </c>
      <c r="H13" s="4" t="s">
        <v>4059</v>
      </c>
      <c r="I13" s="4" t="s">
        <v>4056</v>
      </c>
      <c r="J13" s="4"/>
      <c r="K13" s="4">
        <f>VLOOKUP(G13,Exchange_Rates!A:B,2,FALSE)</f>
        <v>0.73</v>
      </c>
      <c r="L13" s="4">
        <f t="shared" si="0"/>
        <v>187.40560000000002</v>
      </c>
    </row>
    <row r="14" spans="1:12" x14ac:dyDescent="0.25">
      <c r="A14" s="4" t="s">
        <v>4085</v>
      </c>
      <c r="B14" s="4" t="s">
        <v>4086</v>
      </c>
      <c r="C14" s="6">
        <v>45606</v>
      </c>
      <c r="D14" s="4" t="s">
        <v>4053</v>
      </c>
      <c r="E14" s="4" t="s">
        <v>4054</v>
      </c>
      <c r="F14" s="4">
        <v>338.15</v>
      </c>
      <c r="G14" s="4" t="s">
        <v>28</v>
      </c>
      <c r="H14" s="4" t="s">
        <v>4059</v>
      </c>
      <c r="I14" s="4" t="s">
        <v>4087</v>
      </c>
      <c r="J14" s="4"/>
      <c r="K14" s="4">
        <f>VLOOKUP(G14,Exchange_Rates!A:B,2,FALSE)</f>
        <v>1.27</v>
      </c>
      <c r="L14" s="4">
        <f t="shared" si="0"/>
        <v>429.45049999999998</v>
      </c>
    </row>
    <row r="15" spans="1:12" x14ac:dyDescent="0.25">
      <c r="A15" s="4" t="s">
        <v>4088</v>
      </c>
      <c r="B15" s="4" t="s">
        <v>4089</v>
      </c>
      <c r="C15" s="6">
        <v>45275</v>
      </c>
      <c r="D15" s="4" t="s">
        <v>4066</v>
      </c>
      <c r="E15" s="4" t="s">
        <v>4054</v>
      </c>
      <c r="F15" s="4">
        <v>144.30000000000001</v>
      </c>
      <c r="G15" s="4" t="s">
        <v>64</v>
      </c>
      <c r="H15" s="4" t="s">
        <v>4059</v>
      </c>
      <c r="I15" s="4" t="s">
        <v>4070</v>
      </c>
      <c r="J15" s="4"/>
      <c r="K15" s="4">
        <f>VLOOKUP(G15,Exchange_Rates!A:B,2,FALSE)</f>
        <v>0.73</v>
      </c>
      <c r="L15" s="4">
        <f t="shared" si="0"/>
        <v>105.339</v>
      </c>
    </row>
    <row r="16" spans="1:12" x14ac:dyDescent="0.25">
      <c r="A16" s="4" t="s">
        <v>4090</v>
      </c>
      <c r="B16" s="4" t="s">
        <v>4091</v>
      </c>
      <c r="C16" s="6">
        <v>45441</v>
      </c>
      <c r="D16" s="4" t="s">
        <v>4062</v>
      </c>
      <c r="E16" s="4" t="s">
        <v>4054</v>
      </c>
      <c r="F16" s="4">
        <v>191.95</v>
      </c>
      <c r="G16" s="4" t="s">
        <v>45</v>
      </c>
      <c r="H16" s="4" t="s">
        <v>4055</v>
      </c>
      <c r="I16" s="4" t="s">
        <v>4056</v>
      </c>
      <c r="J16" s="6">
        <v>45456</v>
      </c>
      <c r="K16" s="4">
        <f>VLOOKUP(G16,Exchange_Rates!A:B,2,FALSE)</f>
        <v>1</v>
      </c>
      <c r="L16" s="4">
        <f t="shared" si="0"/>
        <v>191.95</v>
      </c>
    </row>
    <row r="17" spans="1:12" x14ac:dyDescent="0.25">
      <c r="A17" s="4" t="s">
        <v>4092</v>
      </c>
      <c r="B17" s="4" t="s">
        <v>4093</v>
      </c>
      <c r="C17" s="6">
        <v>45184</v>
      </c>
      <c r="D17" s="4" t="s">
        <v>4069</v>
      </c>
      <c r="E17" s="4" t="s">
        <v>4054</v>
      </c>
      <c r="F17" s="4">
        <v>742.94</v>
      </c>
      <c r="G17" s="4" t="s">
        <v>45</v>
      </c>
      <c r="H17" s="4" t="s">
        <v>4059</v>
      </c>
      <c r="I17" s="4" t="s">
        <v>4070</v>
      </c>
      <c r="J17" s="4"/>
      <c r="K17" s="4">
        <f>VLOOKUP(G17,Exchange_Rates!A:B,2,FALSE)</f>
        <v>1</v>
      </c>
      <c r="L17" s="4">
        <f t="shared" si="0"/>
        <v>742.94</v>
      </c>
    </row>
    <row r="18" spans="1:12" x14ac:dyDescent="0.25">
      <c r="A18" s="4" t="s">
        <v>4094</v>
      </c>
      <c r="B18" s="4" t="s">
        <v>4095</v>
      </c>
      <c r="C18" s="6">
        <v>45774</v>
      </c>
      <c r="D18" s="4" t="s">
        <v>4096</v>
      </c>
      <c r="E18" s="4" t="s">
        <v>4054</v>
      </c>
      <c r="F18" s="4">
        <v>563.82000000000005</v>
      </c>
      <c r="G18" s="4" t="s">
        <v>36</v>
      </c>
      <c r="H18" s="4" t="s">
        <v>4097</v>
      </c>
      <c r="I18" s="4" t="s">
        <v>4087</v>
      </c>
      <c r="J18" s="4"/>
      <c r="K18" s="4">
        <f>VLOOKUP(G18,Exchange_Rates!A:B,2,FALSE)</f>
        <v>1.08</v>
      </c>
      <c r="L18" s="4">
        <f t="shared" si="0"/>
        <v>608.92560000000014</v>
      </c>
    </row>
    <row r="19" spans="1:12" x14ac:dyDescent="0.25">
      <c r="A19" s="4" t="s">
        <v>4098</v>
      </c>
      <c r="B19" s="4" t="s">
        <v>4099</v>
      </c>
      <c r="C19" s="6">
        <v>45267</v>
      </c>
      <c r="D19" s="4" t="s">
        <v>4066</v>
      </c>
      <c r="E19" s="4" t="s">
        <v>4054</v>
      </c>
      <c r="F19" s="4">
        <v>168.88</v>
      </c>
      <c r="G19" s="4" t="s">
        <v>45</v>
      </c>
      <c r="H19" s="4" t="s">
        <v>4063</v>
      </c>
      <c r="I19" s="4" t="s">
        <v>4056</v>
      </c>
      <c r="J19" s="4"/>
      <c r="K19" s="4">
        <f>VLOOKUP(G19,Exchange_Rates!A:B,2,FALSE)</f>
        <v>1</v>
      </c>
      <c r="L19" s="4">
        <f t="shared" si="0"/>
        <v>168.88</v>
      </c>
    </row>
    <row r="20" spans="1:12" x14ac:dyDescent="0.25">
      <c r="A20" s="4" t="s">
        <v>4100</v>
      </c>
      <c r="B20" s="4" t="s">
        <v>4101</v>
      </c>
      <c r="C20" s="6">
        <v>45142</v>
      </c>
      <c r="D20" s="4" t="s">
        <v>4066</v>
      </c>
      <c r="E20" s="4" t="s">
        <v>4054</v>
      </c>
      <c r="F20" s="4">
        <v>763.43</v>
      </c>
      <c r="G20" s="4" t="s">
        <v>36</v>
      </c>
      <c r="H20" s="4" t="s">
        <v>4097</v>
      </c>
      <c r="I20" s="4" t="s">
        <v>4087</v>
      </c>
      <c r="J20" s="4"/>
      <c r="K20" s="4">
        <f>VLOOKUP(G20,Exchange_Rates!A:B,2,FALSE)</f>
        <v>1.08</v>
      </c>
      <c r="L20" s="4">
        <f t="shared" si="0"/>
        <v>824.50440000000003</v>
      </c>
    </row>
    <row r="21" spans="1:12" x14ac:dyDescent="0.25">
      <c r="A21" s="4" t="s">
        <v>4102</v>
      </c>
      <c r="B21" s="4" t="s">
        <v>4103</v>
      </c>
      <c r="C21" s="6">
        <v>45595</v>
      </c>
      <c r="D21" s="4" t="s">
        <v>4096</v>
      </c>
      <c r="E21" s="4" t="s">
        <v>4054</v>
      </c>
      <c r="F21" s="4">
        <v>658.07</v>
      </c>
      <c r="G21" s="4" t="s">
        <v>36</v>
      </c>
      <c r="H21" s="4" t="s">
        <v>4055</v>
      </c>
      <c r="I21" s="4" t="s">
        <v>4070</v>
      </c>
      <c r="J21" s="6">
        <v>45610</v>
      </c>
      <c r="K21" s="4">
        <f>VLOOKUP(G21,Exchange_Rates!A:B,2,FALSE)</f>
        <v>1.08</v>
      </c>
      <c r="L21" s="4">
        <f t="shared" si="0"/>
        <v>710.71560000000011</v>
      </c>
    </row>
    <row r="22" spans="1:12" x14ac:dyDescent="0.25">
      <c r="A22" s="4" t="s">
        <v>4104</v>
      </c>
      <c r="B22" s="4" t="s">
        <v>4089</v>
      </c>
      <c r="C22" s="6">
        <v>45319</v>
      </c>
      <c r="D22" s="4" t="s">
        <v>4096</v>
      </c>
      <c r="E22" s="4" t="s">
        <v>4054</v>
      </c>
      <c r="F22" s="4">
        <v>656.07</v>
      </c>
      <c r="G22" s="4" t="s">
        <v>42</v>
      </c>
      <c r="H22" s="4" t="s">
        <v>4055</v>
      </c>
      <c r="I22" s="4" t="s">
        <v>4070</v>
      </c>
      <c r="J22" s="6">
        <v>45334</v>
      </c>
      <c r="K22" s="4">
        <f>VLOOKUP(G22,Exchange_Rates!A:B,2,FALSE)</f>
        <v>0.66</v>
      </c>
      <c r="L22" s="4">
        <f t="shared" si="0"/>
        <v>433.00620000000004</v>
      </c>
    </row>
    <row r="23" spans="1:12" x14ac:dyDescent="0.25">
      <c r="A23" s="4" t="s">
        <v>4105</v>
      </c>
      <c r="B23" s="4" t="s">
        <v>4106</v>
      </c>
      <c r="C23" s="6">
        <v>44936</v>
      </c>
      <c r="D23" s="4" t="s">
        <v>4096</v>
      </c>
      <c r="E23" s="4" t="s">
        <v>4054</v>
      </c>
      <c r="F23" s="4">
        <v>736.31</v>
      </c>
      <c r="G23" s="4" t="s">
        <v>64</v>
      </c>
      <c r="H23" s="4" t="s">
        <v>4097</v>
      </c>
      <c r="I23" s="4" t="s">
        <v>4056</v>
      </c>
      <c r="J23" s="4"/>
      <c r="K23" s="4">
        <f>VLOOKUP(G23,Exchange_Rates!A:B,2,FALSE)</f>
        <v>0.73</v>
      </c>
      <c r="L23" s="4">
        <f t="shared" si="0"/>
        <v>537.5062999999999</v>
      </c>
    </row>
    <row r="24" spans="1:12" x14ac:dyDescent="0.25">
      <c r="A24" s="4" t="s">
        <v>4107</v>
      </c>
      <c r="B24" s="4" t="s">
        <v>4108</v>
      </c>
      <c r="C24" s="6">
        <v>45383</v>
      </c>
      <c r="D24" s="4" t="s">
        <v>4066</v>
      </c>
      <c r="E24" s="4" t="s">
        <v>4054</v>
      </c>
      <c r="F24" s="4">
        <v>182.58</v>
      </c>
      <c r="G24" s="4" t="s">
        <v>45</v>
      </c>
      <c r="H24" s="4" t="s">
        <v>4097</v>
      </c>
      <c r="I24" s="4" t="s">
        <v>4087</v>
      </c>
      <c r="J24" s="4"/>
      <c r="K24" s="4">
        <f>VLOOKUP(G24,Exchange_Rates!A:B,2,FALSE)</f>
        <v>1</v>
      </c>
      <c r="L24" s="4">
        <f t="shared" si="0"/>
        <v>182.58</v>
      </c>
    </row>
    <row r="25" spans="1:12" x14ac:dyDescent="0.25">
      <c r="A25" s="4" t="s">
        <v>4109</v>
      </c>
      <c r="B25" s="4" t="s">
        <v>4072</v>
      </c>
      <c r="C25" s="6">
        <v>45062</v>
      </c>
      <c r="D25" s="4" t="s">
        <v>4069</v>
      </c>
      <c r="E25" s="4" t="s">
        <v>4054</v>
      </c>
      <c r="F25" s="4">
        <v>265.19</v>
      </c>
      <c r="G25" s="4" t="s">
        <v>45</v>
      </c>
      <c r="H25" s="4" t="s">
        <v>4059</v>
      </c>
      <c r="I25" s="4" t="s">
        <v>4056</v>
      </c>
      <c r="J25" s="4"/>
      <c r="K25" s="4">
        <f>VLOOKUP(G25,Exchange_Rates!A:B,2,FALSE)</f>
        <v>1</v>
      </c>
      <c r="L25" s="4">
        <f t="shared" si="0"/>
        <v>265.19</v>
      </c>
    </row>
    <row r="26" spans="1:12" x14ac:dyDescent="0.25">
      <c r="A26" s="4" t="s">
        <v>4110</v>
      </c>
      <c r="B26" s="4" t="s">
        <v>4068</v>
      </c>
      <c r="C26" s="6">
        <v>45313</v>
      </c>
      <c r="D26" s="4" t="s">
        <v>4062</v>
      </c>
      <c r="E26" s="4" t="s">
        <v>4054</v>
      </c>
      <c r="F26" s="4">
        <v>629.23</v>
      </c>
      <c r="G26" s="4" t="s">
        <v>42</v>
      </c>
      <c r="H26" s="4" t="s">
        <v>4059</v>
      </c>
      <c r="I26" s="4" t="s">
        <v>4070</v>
      </c>
      <c r="J26" s="4"/>
      <c r="K26" s="4">
        <f>VLOOKUP(G26,Exchange_Rates!A:B,2,FALSE)</f>
        <v>0.66</v>
      </c>
      <c r="L26" s="4">
        <f t="shared" si="0"/>
        <v>415.29180000000002</v>
      </c>
    </row>
    <row r="27" spans="1:12" x14ac:dyDescent="0.25">
      <c r="A27" s="4" t="s">
        <v>4111</v>
      </c>
      <c r="B27" s="4" t="s">
        <v>4112</v>
      </c>
      <c r="C27" s="6">
        <v>45618</v>
      </c>
      <c r="D27" s="4" t="s">
        <v>4053</v>
      </c>
      <c r="E27" s="4" t="s">
        <v>4054</v>
      </c>
      <c r="F27" s="4">
        <v>408.85</v>
      </c>
      <c r="G27" s="4" t="s">
        <v>28</v>
      </c>
      <c r="H27" s="4" t="s">
        <v>4055</v>
      </c>
      <c r="I27" s="4" t="s">
        <v>4070</v>
      </c>
      <c r="J27" s="6">
        <v>45633</v>
      </c>
      <c r="K27" s="4">
        <f>VLOOKUP(G27,Exchange_Rates!A:B,2,FALSE)</f>
        <v>1.27</v>
      </c>
      <c r="L27" s="4">
        <f t="shared" si="0"/>
        <v>519.23950000000002</v>
      </c>
    </row>
    <row r="28" spans="1:12" x14ac:dyDescent="0.25">
      <c r="A28" s="4" t="s">
        <v>4113</v>
      </c>
      <c r="B28" s="4" t="s">
        <v>4095</v>
      </c>
      <c r="C28" s="6">
        <v>45185</v>
      </c>
      <c r="D28" s="4" t="s">
        <v>4066</v>
      </c>
      <c r="E28" s="4" t="s">
        <v>4054</v>
      </c>
      <c r="F28" s="4">
        <v>783.12</v>
      </c>
      <c r="G28" s="4" t="s">
        <v>64</v>
      </c>
      <c r="H28" s="4" t="s">
        <v>4097</v>
      </c>
      <c r="I28" s="4" t="s">
        <v>4056</v>
      </c>
      <c r="J28" s="4"/>
      <c r="K28" s="4">
        <f>VLOOKUP(G28,Exchange_Rates!A:B,2,FALSE)</f>
        <v>0.73</v>
      </c>
      <c r="L28" s="4">
        <f t="shared" si="0"/>
        <v>571.67759999999998</v>
      </c>
    </row>
    <row r="29" spans="1:12" x14ac:dyDescent="0.25">
      <c r="A29" s="4" t="s">
        <v>4114</v>
      </c>
      <c r="B29" s="4" t="s">
        <v>4115</v>
      </c>
      <c r="C29" s="6">
        <v>45709</v>
      </c>
      <c r="D29" s="4" t="s">
        <v>4066</v>
      </c>
      <c r="E29" s="4" t="s">
        <v>4054</v>
      </c>
      <c r="F29" s="4">
        <v>762.02</v>
      </c>
      <c r="G29" s="4" t="s">
        <v>64</v>
      </c>
      <c r="H29" s="4" t="s">
        <v>4063</v>
      </c>
      <c r="I29" s="4" t="s">
        <v>4070</v>
      </c>
      <c r="J29" s="4"/>
      <c r="K29" s="4">
        <f>VLOOKUP(G29,Exchange_Rates!A:B,2,FALSE)</f>
        <v>0.73</v>
      </c>
      <c r="L29" s="4">
        <f t="shared" si="0"/>
        <v>556.27459999999996</v>
      </c>
    </row>
    <row r="30" spans="1:12" x14ac:dyDescent="0.25">
      <c r="A30" s="4" t="s">
        <v>4116</v>
      </c>
      <c r="B30" s="4" t="s">
        <v>4117</v>
      </c>
      <c r="C30" s="6">
        <v>45042</v>
      </c>
      <c r="D30" s="4" t="s">
        <v>4053</v>
      </c>
      <c r="E30" s="4" t="s">
        <v>4054</v>
      </c>
      <c r="F30" s="4">
        <v>158.06</v>
      </c>
      <c r="G30" s="4" t="s">
        <v>36</v>
      </c>
      <c r="H30" s="4" t="s">
        <v>4055</v>
      </c>
      <c r="I30" s="4" t="s">
        <v>4056</v>
      </c>
      <c r="J30" s="6">
        <v>45057</v>
      </c>
      <c r="K30" s="4">
        <f>VLOOKUP(G30,Exchange_Rates!A:B,2,FALSE)</f>
        <v>1.08</v>
      </c>
      <c r="L30" s="4">
        <f t="shared" si="0"/>
        <v>170.70480000000001</v>
      </c>
    </row>
    <row r="31" spans="1:12" x14ac:dyDescent="0.25">
      <c r="A31" s="4" t="s">
        <v>4118</v>
      </c>
      <c r="B31" s="4" t="s">
        <v>4052</v>
      </c>
      <c r="C31" s="6">
        <v>45038</v>
      </c>
      <c r="D31" s="4" t="s">
        <v>4053</v>
      </c>
      <c r="E31" s="4" t="s">
        <v>4054</v>
      </c>
      <c r="F31" s="4">
        <v>218.44</v>
      </c>
      <c r="G31" s="4" t="s">
        <v>36</v>
      </c>
      <c r="H31" s="4" t="s">
        <v>4059</v>
      </c>
      <c r="I31" s="4" t="s">
        <v>4070</v>
      </c>
      <c r="J31" s="4"/>
      <c r="K31" s="4">
        <f>VLOOKUP(G31,Exchange_Rates!A:B,2,FALSE)</f>
        <v>1.08</v>
      </c>
      <c r="L31" s="4">
        <f t="shared" si="0"/>
        <v>235.91520000000003</v>
      </c>
    </row>
    <row r="32" spans="1:12" x14ac:dyDescent="0.25">
      <c r="A32" s="4" t="s">
        <v>4119</v>
      </c>
      <c r="B32" s="4" t="s">
        <v>4120</v>
      </c>
      <c r="C32" s="6">
        <v>45225</v>
      </c>
      <c r="D32" s="4" t="s">
        <v>4053</v>
      </c>
      <c r="E32" s="4" t="s">
        <v>4054</v>
      </c>
      <c r="F32" s="4">
        <v>682.85</v>
      </c>
      <c r="G32" s="4" t="s">
        <v>45</v>
      </c>
      <c r="H32" s="4" t="s">
        <v>4059</v>
      </c>
      <c r="I32" s="4" t="s">
        <v>4070</v>
      </c>
      <c r="J32" s="4"/>
      <c r="K32" s="4">
        <f>VLOOKUP(G32,Exchange_Rates!A:B,2,FALSE)</f>
        <v>1</v>
      </c>
      <c r="L32" s="4">
        <f t="shared" si="0"/>
        <v>682.85</v>
      </c>
    </row>
    <row r="33" spans="1:12" x14ac:dyDescent="0.25">
      <c r="A33" s="4" t="s">
        <v>4121</v>
      </c>
      <c r="B33" s="4" t="s">
        <v>4122</v>
      </c>
      <c r="C33" s="6">
        <v>45575</v>
      </c>
      <c r="D33" s="4" t="s">
        <v>4069</v>
      </c>
      <c r="E33" s="4" t="s">
        <v>4054</v>
      </c>
      <c r="F33" s="4">
        <v>118.8</v>
      </c>
      <c r="G33" s="4" t="s">
        <v>42</v>
      </c>
      <c r="H33" s="4" t="s">
        <v>4063</v>
      </c>
      <c r="I33" s="4" t="s">
        <v>4056</v>
      </c>
      <c r="J33" s="4"/>
      <c r="K33" s="4">
        <f>VLOOKUP(G33,Exchange_Rates!A:B,2,FALSE)</f>
        <v>0.66</v>
      </c>
      <c r="L33" s="4">
        <f t="shared" si="0"/>
        <v>78.408000000000001</v>
      </c>
    </row>
    <row r="34" spans="1:12" x14ac:dyDescent="0.25">
      <c r="A34" s="4" t="s">
        <v>4123</v>
      </c>
      <c r="B34" s="4" t="s">
        <v>4124</v>
      </c>
      <c r="C34" s="6">
        <v>45837</v>
      </c>
      <c r="D34" s="4" t="s">
        <v>4069</v>
      </c>
      <c r="E34" s="4" t="s">
        <v>4054</v>
      </c>
      <c r="F34" s="4">
        <v>101.52</v>
      </c>
      <c r="G34" s="4" t="s">
        <v>45</v>
      </c>
      <c r="H34" s="4" t="s">
        <v>4097</v>
      </c>
      <c r="I34" s="4" t="s">
        <v>4056</v>
      </c>
      <c r="J34" s="4"/>
      <c r="K34" s="4">
        <f>VLOOKUP(G34,Exchange_Rates!A:B,2,FALSE)</f>
        <v>1</v>
      </c>
      <c r="L34" s="4">
        <f t="shared" si="0"/>
        <v>101.52</v>
      </c>
    </row>
    <row r="35" spans="1:12" x14ac:dyDescent="0.25">
      <c r="A35" s="4" t="s">
        <v>4125</v>
      </c>
      <c r="B35" s="4" t="s">
        <v>4126</v>
      </c>
      <c r="C35" s="6">
        <v>45268</v>
      </c>
      <c r="D35" s="4" t="s">
        <v>4062</v>
      </c>
      <c r="E35" s="4" t="s">
        <v>4054</v>
      </c>
      <c r="F35" s="4">
        <v>201.77</v>
      </c>
      <c r="G35" s="4" t="s">
        <v>42</v>
      </c>
      <c r="H35" s="4" t="s">
        <v>4055</v>
      </c>
      <c r="I35" s="4" t="s">
        <v>4070</v>
      </c>
      <c r="J35" s="6">
        <v>45283</v>
      </c>
      <c r="K35" s="4">
        <f>VLOOKUP(G35,Exchange_Rates!A:B,2,FALSE)</f>
        <v>0.66</v>
      </c>
      <c r="L35" s="4">
        <f t="shared" si="0"/>
        <v>133.16820000000001</v>
      </c>
    </row>
    <row r="36" spans="1:12" x14ac:dyDescent="0.25">
      <c r="A36" s="4" t="s">
        <v>4127</v>
      </c>
      <c r="B36" s="4" t="s">
        <v>4082</v>
      </c>
      <c r="C36" s="6">
        <v>45185</v>
      </c>
      <c r="D36" s="4" t="s">
        <v>4066</v>
      </c>
      <c r="E36" s="4" t="s">
        <v>4054</v>
      </c>
      <c r="F36" s="4">
        <v>398.29</v>
      </c>
      <c r="G36" s="4" t="s">
        <v>36</v>
      </c>
      <c r="H36" s="4" t="s">
        <v>4097</v>
      </c>
      <c r="I36" s="4" t="s">
        <v>4070</v>
      </c>
      <c r="J36" s="4"/>
      <c r="K36" s="4">
        <f>VLOOKUP(G36,Exchange_Rates!A:B,2,FALSE)</f>
        <v>1.08</v>
      </c>
      <c r="L36" s="4">
        <f t="shared" si="0"/>
        <v>430.15320000000003</v>
      </c>
    </row>
    <row r="37" spans="1:12" x14ac:dyDescent="0.25">
      <c r="A37" s="4" t="s">
        <v>4128</v>
      </c>
      <c r="B37" s="4" t="s">
        <v>4129</v>
      </c>
      <c r="C37" s="6">
        <v>45085</v>
      </c>
      <c r="D37" s="4" t="s">
        <v>4066</v>
      </c>
      <c r="E37" s="4" t="s">
        <v>4054</v>
      </c>
      <c r="F37" s="4">
        <v>323.77</v>
      </c>
      <c r="G37" s="4" t="s">
        <v>45</v>
      </c>
      <c r="H37" s="4" t="s">
        <v>4055</v>
      </c>
      <c r="I37" s="4" t="s">
        <v>4056</v>
      </c>
      <c r="J37" s="6">
        <v>45100</v>
      </c>
      <c r="K37" s="4">
        <f>VLOOKUP(G37,Exchange_Rates!A:B,2,FALSE)</f>
        <v>1</v>
      </c>
      <c r="L37" s="4">
        <f t="shared" si="0"/>
        <v>323.77</v>
      </c>
    </row>
    <row r="38" spans="1:12" x14ac:dyDescent="0.25">
      <c r="A38" s="4" t="s">
        <v>4130</v>
      </c>
      <c r="B38" s="4" t="s">
        <v>4076</v>
      </c>
      <c r="C38" s="6">
        <v>45468</v>
      </c>
      <c r="D38" s="4" t="s">
        <v>4096</v>
      </c>
      <c r="E38" s="4" t="s">
        <v>4054</v>
      </c>
      <c r="F38" s="4">
        <v>639.22</v>
      </c>
      <c r="G38" s="4" t="s">
        <v>45</v>
      </c>
      <c r="H38" s="4" t="s">
        <v>4059</v>
      </c>
      <c r="I38" s="4" t="s">
        <v>4056</v>
      </c>
      <c r="J38" s="4"/>
      <c r="K38" s="4">
        <f>VLOOKUP(G38,Exchange_Rates!A:B,2,FALSE)</f>
        <v>1</v>
      </c>
      <c r="L38" s="4">
        <f t="shared" si="0"/>
        <v>639.22</v>
      </c>
    </row>
    <row r="39" spans="1:12" x14ac:dyDescent="0.25">
      <c r="A39" s="4" t="s">
        <v>4131</v>
      </c>
      <c r="B39" s="4" t="s">
        <v>4132</v>
      </c>
      <c r="C39" s="6">
        <v>45013</v>
      </c>
      <c r="D39" s="4" t="s">
        <v>4062</v>
      </c>
      <c r="E39" s="4" t="s">
        <v>4054</v>
      </c>
      <c r="F39" s="4">
        <v>210.05</v>
      </c>
      <c r="G39" s="4" t="s">
        <v>45</v>
      </c>
      <c r="H39" s="4" t="s">
        <v>4063</v>
      </c>
      <c r="I39" s="4" t="s">
        <v>4056</v>
      </c>
      <c r="J39" s="4"/>
      <c r="K39" s="4">
        <f>VLOOKUP(G39,Exchange_Rates!A:B,2,FALSE)</f>
        <v>1</v>
      </c>
      <c r="L39" s="4">
        <f t="shared" si="0"/>
        <v>210.05</v>
      </c>
    </row>
    <row r="40" spans="1:12" x14ac:dyDescent="0.25">
      <c r="A40" s="4" t="s">
        <v>4133</v>
      </c>
      <c r="B40" s="4" t="s">
        <v>4134</v>
      </c>
      <c r="C40" s="6">
        <v>45130</v>
      </c>
      <c r="D40" s="4" t="s">
        <v>4066</v>
      </c>
      <c r="E40" s="4" t="s">
        <v>4054</v>
      </c>
      <c r="F40" s="4">
        <v>359.73</v>
      </c>
      <c r="G40" s="4" t="s">
        <v>36</v>
      </c>
      <c r="H40" s="4" t="s">
        <v>4059</v>
      </c>
      <c r="I40" s="4" t="s">
        <v>4070</v>
      </c>
      <c r="J40" s="4"/>
      <c r="K40" s="4">
        <f>VLOOKUP(G40,Exchange_Rates!A:B,2,FALSE)</f>
        <v>1.08</v>
      </c>
      <c r="L40" s="4">
        <f t="shared" si="0"/>
        <v>388.50840000000005</v>
      </c>
    </row>
    <row r="41" spans="1:12" x14ac:dyDescent="0.25">
      <c r="A41" s="4" t="s">
        <v>4135</v>
      </c>
      <c r="B41" s="4" t="s">
        <v>4136</v>
      </c>
      <c r="C41" s="6">
        <v>45344</v>
      </c>
      <c r="D41" s="4" t="s">
        <v>4066</v>
      </c>
      <c r="E41" s="4" t="s">
        <v>4054</v>
      </c>
      <c r="F41" s="4">
        <v>282.16000000000003</v>
      </c>
      <c r="G41" s="4" t="s">
        <v>45</v>
      </c>
      <c r="H41" s="4" t="s">
        <v>4055</v>
      </c>
      <c r="I41" s="4" t="s">
        <v>4070</v>
      </c>
      <c r="J41" s="6">
        <v>45359</v>
      </c>
      <c r="K41" s="4">
        <f>VLOOKUP(G41,Exchange_Rates!A:B,2,FALSE)</f>
        <v>1</v>
      </c>
      <c r="L41" s="4">
        <f t="shared" si="0"/>
        <v>282.16000000000003</v>
      </c>
    </row>
    <row r="42" spans="1:12" x14ac:dyDescent="0.25">
      <c r="A42" s="4" t="s">
        <v>4137</v>
      </c>
      <c r="B42" s="4" t="s">
        <v>4138</v>
      </c>
      <c r="C42" s="6">
        <v>45624</v>
      </c>
      <c r="D42" s="4" t="s">
        <v>4053</v>
      </c>
      <c r="E42" s="4" t="s">
        <v>4054</v>
      </c>
      <c r="F42" s="4">
        <v>131.02000000000001</v>
      </c>
      <c r="G42" s="4" t="s">
        <v>28</v>
      </c>
      <c r="H42" s="4" t="s">
        <v>4097</v>
      </c>
      <c r="I42" s="4" t="s">
        <v>4070</v>
      </c>
      <c r="J42" s="4"/>
      <c r="K42" s="4">
        <f>VLOOKUP(G42,Exchange_Rates!A:B,2,FALSE)</f>
        <v>1.27</v>
      </c>
      <c r="L42" s="4">
        <f t="shared" si="0"/>
        <v>166.39540000000002</v>
      </c>
    </row>
    <row r="43" spans="1:12" x14ac:dyDescent="0.25">
      <c r="A43" s="4" t="s">
        <v>4139</v>
      </c>
      <c r="B43" s="4" t="s">
        <v>4140</v>
      </c>
      <c r="C43" s="6">
        <v>45162</v>
      </c>
      <c r="D43" s="4" t="s">
        <v>4066</v>
      </c>
      <c r="E43" s="4" t="s">
        <v>4054</v>
      </c>
      <c r="F43" s="4">
        <v>431.46</v>
      </c>
      <c r="G43" s="4" t="s">
        <v>42</v>
      </c>
      <c r="H43" s="4" t="s">
        <v>4063</v>
      </c>
      <c r="I43" s="4" t="s">
        <v>4056</v>
      </c>
      <c r="J43" s="4"/>
      <c r="K43" s="4">
        <f>VLOOKUP(G43,Exchange_Rates!A:B,2,FALSE)</f>
        <v>0.66</v>
      </c>
      <c r="L43" s="4">
        <f t="shared" si="0"/>
        <v>284.7636</v>
      </c>
    </row>
    <row r="44" spans="1:12" x14ac:dyDescent="0.25">
      <c r="A44" s="4" t="s">
        <v>4141</v>
      </c>
      <c r="B44" s="4" t="s">
        <v>4140</v>
      </c>
      <c r="C44" s="6">
        <v>45364</v>
      </c>
      <c r="D44" s="4" t="s">
        <v>4096</v>
      </c>
      <c r="E44" s="4" t="s">
        <v>4054</v>
      </c>
      <c r="F44" s="4">
        <v>177.1</v>
      </c>
      <c r="G44" s="4" t="s">
        <v>28</v>
      </c>
      <c r="H44" s="4" t="s">
        <v>4063</v>
      </c>
      <c r="I44" s="4" t="s">
        <v>4087</v>
      </c>
      <c r="J44" s="4"/>
      <c r="K44" s="4">
        <f>VLOOKUP(G44,Exchange_Rates!A:B,2,FALSE)</f>
        <v>1.27</v>
      </c>
      <c r="L44" s="4">
        <f t="shared" si="0"/>
        <v>224.917</v>
      </c>
    </row>
    <row r="45" spans="1:12" x14ac:dyDescent="0.25">
      <c r="A45" s="4" t="s">
        <v>4142</v>
      </c>
      <c r="B45" s="4" t="s">
        <v>4143</v>
      </c>
      <c r="C45" s="6">
        <v>45206</v>
      </c>
      <c r="D45" s="4" t="s">
        <v>4062</v>
      </c>
      <c r="E45" s="4" t="s">
        <v>4054</v>
      </c>
      <c r="F45" s="4">
        <v>685.39</v>
      </c>
      <c r="G45" s="4" t="s">
        <v>42</v>
      </c>
      <c r="H45" s="4" t="s">
        <v>4097</v>
      </c>
      <c r="I45" s="4" t="s">
        <v>4056</v>
      </c>
      <c r="J45" s="4"/>
      <c r="K45" s="4">
        <f>VLOOKUP(G45,Exchange_Rates!A:B,2,FALSE)</f>
        <v>0.66</v>
      </c>
      <c r="L45" s="4">
        <f t="shared" si="0"/>
        <v>452.35739999999998</v>
      </c>
    </row>
    <row r="46" spans="1:12" x14ac:dyDescent="0.25">
      <c r="A46" s="4" t="s">
        <v>4144</v>
      </c>
      <c r="B46" s="4" t="s">
        <v>4145</v>
      </c>
      <c r="C46" s="6">
        <v>45417</v>
      </c>
      <c r="D46" s="4" t="s">
        <v>4066</v>
      </c>
      <c r="E46" s="4" t="s">
        <v>4054</v>
      </c>
      <c r="F46" s="4">
        <v>643.66999999999996</v>
      </c>
      <c r="G46" s="4" t="s">
        <v>28</v>
      </c>
      <c r="H46" s="4" t="s">
        <v>4055</v>
      </c>
      <c r="I46" s="4" t="s">
        <v>4056</v>
      </c>
      <c r="J46" s="6">
        <v>45432</v>
      </c>
      <c r="K46" s="4">
        <f>VLOOKUP(G46,Exchange_Rates!A:B,2,FALSE)</f>
        <v>1.27</v>
      </c>
      <c r="L46" s="4">
        <f t="shared" si="0"/>
        <v>817.46089999999992</v>
      </c>
    </row>
    <row r="47" spans="1:12" x14ac:dyDescent="0.25">
      <c r="A47" s="4" t="s">
        <v>4146</v>
      </c>
      <c r="B47" s="4" t="s">
        <v>4143</v>
      </c>
      <c r="C47" s="6">
        <v>45640</v>
      </c>
      <c r="D47" s="4" t="s">
        <v>4069</v>
      </c>
      <c r="E47" s="4" t="s">
        <v>4054</v>
      </c>
      <c r="F47" s="4">
        <v>492</v>
      </c>
      <c r="G47" s="4" t="s">
        <v>28</v>
      </c>
      <c r="H47" s="4" t="s">
        <v>4063</v>
      </c>
      <c r="I47" s="4" t="s">
        <v>4056</v>
      </c>
      <c r="J47" s="4"/>
      <c r="K47" s="4">
        <f>VLOOKUP(G47,Exchange_Rates!A:B,2,FALSE)</f>
        <v>1.27</v>
      </c>
      <c r="L47" s="4">
        <f t="shared" si="0"/>
        <v>624.84</v>
      </c>
    </row>
    <row r="48" spans="1:12" x14ac:dyDescent="0.25">
      <c r="A48" s="4" t="s">
        <v>4147</v>
      </c>
      <c r="B48" s="4" t="s">
        <v>4148</v>
      </c>
      <c r="C48" s="6">
        <v>44941</v>
      </c>
      <c r="D48" s="4" t="s">
        <v>4069</v>
      </c>
      <c r="E48" s="4" t="s">
        <v>4054</v>
      </c>
      <c r="F48" s="4">
        <v>97.94</v>
      </c>
      <c r="G48" s="4" t="s">
        <v>45</v>
      </c>
      <c r="H48" s="4" t="s">
        <v>4063</v>
      </c>
      <c r="I48" s="4" t="s">
        <v>4087</v>
      </c>
      <c r="J48" s="4"/>
      <c r="K48" s="4">
        <f>VLOOKUP(G48,Exchange_Rates!A:B,2,FALSE)</f>
        <v>1</v>
      </c>
      <c r="L48" s="4">
        <f t="shared" si="0"/>
        <v>97.94</v>
      </c>
    </row>
    <row r="49" spans="1:12" x14ac:dyDescent="0.25">
      <c r="A49" s="4" t="s">
        <v>4149</v>
      </c>
      <c r="B49" s="4" t="s">
        <v>4150</v>
      </c>
      <c r="C49" s="6">
        <v>45579</v>
      </c>
      <c r="D49" s="4" t="s">
        <v>4069</v>
      </c>
      <c r="E49" s="4" t="s">
        <v>4054</v>
      </c>
      <c r="F49" s="4">
        <v>229.16</v>
      </c>
      <c r="G49" s="4" t="s">
        <v>28</v>
      </c>
      <c r="H49" s="4" t="s">
        <v>4055</v>
      </c>
      <c r="I49" s="4" t="s">
        <v>4056</v>
      </c>
      <c r="J49" s="6">
        <v>45594</v>
      </c>
      <c r="K49" s="4">
        <f>VLOOKUP(G49,Exchange_Rates!A:B,2,FALSE)</f>
        <v>1.27</v>
      </c>
      <c r="L49" s="4">
        <f t="shared" si="0"/>
        <v>291.03320000000002</v>
      </c>
    </row>
    <row r="50" spans="1:12" x14ac:dyDescent="0.25">
      <c r="A50" s="4" t="s">
        <v>4151</v>
      </c>
      <c r="B50" s="4" t="s">
        <v>4152</v>
      </c>
      <c r="C50" s="6">
        <v>45384</v>
      </c>
      <c r="D50" s="4" t="s">
        <v>4096</v>
      </c>
      <c r="E50" s="4" t="s">
        <v>4054</v>
      </c>
      <c r="F50" s="4">
        <v>53.54</v>
      </c>
      <c r="G50" s="4" t="s">
        <v>45</v>
      </c>
      <c r="H50" s="4" t="s">
        <v>4097</v>
      </c>
      <c r="I50" s="4" t="s">
        <v>4070</v>
      </c>
      <c r="J50" s="4"/>
      <c r="K50" s="4">
        <f>VLOOKUP(G50,Exchange_Rates!A:B,2,FALSE)</f>
        <v>1</v>
      </c>
      <c r="L50" s="4">
        <f t="shared" si="0"/>
        <v>53.54</v>
      </c>
    </row>
    <row r="51" spans="1:12" x14ac:dyDescent="0.25">
      <c r="A51" s="4" t="s">
        <v>4153</v>
      </c>
      <c r="B51" s="4" t="s">
        <v>4154</v>
      </c>
      <c r="C51" s="6">
        <v>45722</v>
      </c>
      <c r="D51" s="4" t="s">
        <v>4066</v>
      </c>
      <c r="E51" s="4" t="s">
        <v>4054</v>
      </c>
      <c r="F51" s="4">
        <v>387.83</v>
      </c>
      <c r="G51" s="4" t="s">
        <v>64</v>
      </c>
      <c r="H51" s="4" t="s">
        <v>4063</v>
      </c>
      <c r="I51" s="4" t="s">
        <v>4070</v>
      </c>
      <c r="J51" s="4"/>
      <c r="K51" s="4">
        <f>VLOOKUP(G51,Exchange_Rates!A:B,2,FALSE)</f>
        <v>0.73</v>
      </c>
      <c r="L51" s="4">
        <f t="shared" si="0"/>
        <v>283.11589999999995</v>
      </c>
    </row>
    <row r="52" spans="1:12" x14ac:dyDescent="0.25">
      <c r="A52" s="4" t="s">
        <v>4155</v>
      </c>
      <c r="B52" s="4" t="s">
        <v>4156</v>
      </c>
      <c r="C52" s="6">
        <v>45108</v>
      </c>
      <c r="D52" s="4" t="s">
        <v>4069</v>
      </c>
      <c r="E52" s="4" t="s">
        <v>4054</v>
      </c>
      <c r="F52" s="4">
        <v>225.87</v>
      </c>
      <c r="G52" s="4" t="s">
        <v>45</v>
      </c>
      <c r="H52" s="4" t="s">
        <v>4063</v>
      </c>
      <c r="I52" s="4" t="s">
        <v>4087</v>
      </c>
      <c r="J52" s="4"/>
      <c r="K52" s="4">
        <f>VLOOKUP(G52,Exchange_Rates!A:B,2,FALSE)</f>
        <v>1</v>
      </c>
      <c r="L52" s="4">
        <f t="shared" si="0"/>
        <v>225.87</v>
      </c>
    </row>
    <row r="53" spans="1:12" x14ac:dyDescent="0.25">
      <c r="A53" s="4" t="s">
        <v>4157</v>
      </c>
      <c r="B53" s="4" t="s">
        <v>4158</v>
      </c>
      <c r="C53" s="6">
        <v>44949</v>
      </c>
      <c r="D53" s="4" t="s">
        <v>4062</v>
      </c>
      <c r="E53" s="4" t="s">
        <v>4054</v>
      </c>
      <c r="F53" s="4">
        <v>318.31</v>
      </c>
      <c r="G53" s="4" t="s">
        <v>28</v>
      </c>
      <c r="H53" s="4" t="s">
        <v>4059</v>
      </c>
      <c r="I53" s="4" t="s">
        <v>4070</v>
      </c>
      <c r="J53" s="4"/>
      <c r="K53" s="4">
        <f>VLOOKUP(G53,Exchange_Rates!A:B,2,FALSE)</f>
        <v>1.27</v>
      </c>
      <c r="L53" s="4">
        <f t="shared" si="0"/>
        <v>404.25369999999998</v>
      </c>
    </row>
    <row r="54" spans="1:12" x14ac:dyDescent="0.25">
      <c r="A54" s="4" t="s">
        <v>4159</v>
      </c>
      <c r="B54" s="4" t="s">
        <v>4138</v>
      </c>
      <c r="C54" s="6">
        <v>45131</v>
      </c>
      <c r="D54" s="4" t="s">
        <v>4066</v>
      </c>
      <c r="E54" s="4" t="s">
        <v>4054</v>
      </c>
      <c r="F54" s="4">
        <v>528.54999999999995</v>
      </c>
      <c r="G54" s="4" t="s">
        <v>42</v>
      </c>
      <c r="H54" s="4" t="s">
        <v>4055</v>
      </c>
      <c r="I54" s="4" t="s">
        <v>4056</v>
      </c>
      <c r="J54" s="6">
        <v>45146</v>
      </c>
      <c r="K54" s="4">
        <f>VLOOKUP(G54,Exchange_Rates!A:B,2,FALSE)</f>
        <v>0.66</v>
      </c>
      <c r="L54" s="4">
        <f t="shared" si="0"/>
        <v>348.84299999999996</v>
      </c>
    </row>
    <row r="55" spans="1:12" x14ac:dyDescent="0.25">
      <c r="A55" s="4" t="s">
        <v>4160</v>
      </c>
      <c r="B55" s="4" t="s">
        <v>4091</v>
      </c>
      <c r="C55" s="6">
        <v>45697</v>
      </c>
      <c r="D55" s="4" t="s">
        <v>4062</v>
      </c>
      <c r="E55" s="4" t="s">
        <v>4054</v>
      </c>
      <c r="F55" s="4">
        <v>699.42</v>
      </c>
      <c r="G55" s="4" t="s">
        <v>64</v>
      </c>
      <c r="H55" s="4" t="s">
        <v>4059</v>
      </c>
      <c r="I55" s="4" t="s">
        <v>4070</v>
      </c>
      <c r="J55" s="4"/>
      <c r="K55" s="4">
        <f>VLOOKUP(G55,Exchange_Rates!A:B,2,FALSE)</f>
        <v>0.73</v>
      </c>
      <c r="L55" s="4">
        <f t="shared" si="0"/>
        <v>510.57659999999998</v>
      </c>
    </row>
    <row r="56" spans="1:12" x14ac:dyDescent="0.25">
      <c r="A56" s="4" t="s">
        <v>4161</v>
      </c>
      <c r="B56" s="4" t="s">
        <v>4162</v>
      </c>
      <c r="C56" s="6">
        <v>45684</v>
      </c>
      <c r="D56" s="4" t="s">
        <v>4069</v>
      </c>
      <c r="E56" s="4" t="s">
        <v>4054</v>
      </c>
      <c r="F56" s="4">
        <v>155.6</v>
      </c>
      <c r="G56" s="4" t="s">
        <v>45</v>
      </c>
      <c r="H56" s="4" t="s">
        <v>4063</v>
      </c>
      <c r="I56" s="4" t="s">
        <v>4070</v>
      </c>
      <c r="J56" s="4"/>
      <c r="K56" s="4">
        <f>VLOOKUP(G56,Exchange_Rates!A:B,2,FALSE)</f>
        <v>1</v>
      </c>
      <c r="L56" s="4">
        <f t="shared" si="0"/>
        <v>155.6</v>
      </c>
    </row>
    <row r="57" spans="1:12" x14ac:dyDescent="0.25">
      <c r="A57" s="4" t="s">
        <v>4163</v>
      </c>
      <c r="B57" s="4" t="s">
        <v>4164</v>
      </c>
      <c r="C57" s="6">
        <v>45266</v>
      </c>
      <c r="D57" s="4" t="s">
        <v>4053</v>
      </c>
      <c r="E57" s="4" t="s">
        <v>4054</v>
      </c>
      <c r="F57" s="4">
        <v>642.98</v>
      </c>
      <c r="G57" s="4" t="s">
        <v>45</v>
      </c>
      <c r="H57" s="4" t="s">
        <v>4055</v>
      </c>
      <c r="I57" s="4" t="s">
        <v>4070</v>
      </c>
      <c r="J57" s="6">
        <v>45281</v>
      </c>
      <c r="K57" s="4">
        <f>VLOOKUP(G57,Exchange_Rates!A:B,2,FALSE)</f>
        <v>1</v>
      </c>
      <c r="L57" s="4">
        <f t="shared" si="0"/>
        <v>642.98</v>
      </c>
    </row>
    <row r="58" spans="1:12" x14ac:dyDescent="0.25">
      <c r="A58" s="4" t="s">
        <v>4165</v>
      </c>
      <c r="B58" s="4" t="s">
        <v>4166</v>
      </c>
      <c r="C58" s="6">
        <v>44966</v>
      </c>
      <c r="D58" s="4" t="s">
        <v>4066</v>
      </c>
      <c r="E58" s="4" t="s">
        <v>4054</v>
      </c>
      <c r="F58" s="4">
        <v>231.54</v>
      </c>
      <c r="G58" s="4" t="s">
        <v>45</v>
      </c>
      <c r="H58" s="4" t="s">
        <v>4063</v>
      </c>
      <c r="I58" s="4" t="s">
        <v>4070</v>
      </c>
      <c r="J58" s="4"/>
      <c r="K58" s="4">
        <f>VLOOKUP(G58,Exchange_Rates!A:B,2,FALSE)</f>
        <v>1</v>
      </c>
      <c r="L58" s="4">
        <f t="shared" si="0"/>
        <v>231.54</v>
      </c>
    </row>
    <row r="59" spans="1:12" x14ac:dyDescent="0.25">
      <c r="A59" s="4" t="s">
        <v>4167</v>
      </c>
      <c r="B59" s="4" t="s">
        <v>4129</v>
      </c>
      <c r="C59" s="6">
        <v>45491</v>
      </c>
      <c r="D59" s="4" t="s">
        <v>4069</v>
      </c>
      <c r="E59" s="4" t="s">
        <v>4054</v>
      </c>
      <c r="F59" s="4">
        <v>184.95</v>
      </c>
      <c r="G59" s="4" t="s">
        <v>45</v>
      </c>
      <c r="H59" s="4" t="s">
        <v>4055</v>
      </c>
      <c r="I59" s="4" t="s">
        <v>4070</v>
      </c>
      <c r="J59" s="6">
        <v>45506</v>
      </c>
      <c r="K59" s="4">
        <f>VLOOKUP(G59,Exchange_Rates!A:B,2,FALSE)</f>
        <v>1</v>
      </c>
      <c r="L59" s="4">
        <f t="shared" si="0"/>
        <v>184.95</v>
      </c>
    </row>
    <row r="60" spans="1:12" x14ac:dyDescent="0.25">
      <c r="A60" s="4" t="s">
        <v>4168</v>
      </c>
      <c r="B60" s="4" t="s">
        <v>4169</v>
      </c>
      <c r="C60" s="6">
        <v>45435</v>
      </c>
      <c r="D60" s="4" t="s">
        <v>4096</v>
      </c>
      <c r="E60" s="4" t="s">
        <v>4054</v>
      </c>
      <c r="F60" s="4">
        <v>176.02</v>
      </c>
      <c r="G60" s="4" t="s">
        <v>64</v>
      </c>
      <c r="H60" s="4" t="s">
        <v>4059</v>
      </c>
      <c r="I60" s="4" t="s">
        <v>4056</v>
      </c>
      <c r="J60" s="4"/>
      <c r="K60" s="4">
        <f>VLOOKUP(G60,Exchange_Rates!A:B,2,FALSE)</f>
        <v>0.73</v>
      </c>
      <c r="L60" s="4">
        <f t="shared" si="0"/>
        <v>128.49459999999999</v>
      </c>
    </row>
    <row r="61" spans="1:12" x14ac:dyDescent="0.25">
      <c r="A61" s="4" t="s">
        <v>4170</v>
      </c>
      <c r="B61" s="4" t="s">
        <v>4099</v>
      </c>
      <c r="C61" s="6">
        <v>45306</v>
      </c>
      <c r="D61" s="4" t="s">
        <v>4062</v>
      </c>
      <c r="E61" s="4" t="s">
        <v>4054</v>
      </c>
      <c r="F61" s="4">
        <v>348.76</v>
      </c>
      <c r="G61" s="4" t="s">
        <v>42</v>
      </c>
      <c r="H61" s="4" t="s">
        <v>4063</v>
      </c>
      <c r="I61" s="4" t="s">
        <v>4087</v>
      </c>
      <c r="J61" s="4"/>
      <c r="K61" s="4">
        <f>VLOOKUP(G61,Exchange_Rates!A:B,2,FALSE)</f>
        <v>0.66</v>
      </c>
      <c r="L61" s="4">
        <f t="shared" si="0"/>
        <v>230.1816</v>
      </c>
    </row>
    <row r="62" spans="1:12" x14ac:dyDescent="0.25">
      <c r="A62" s="4" t="s">
        <v>4171</v>
      </c>
      <c r="B62" s="4" t="s">
        <v>4117</v>
      </c>
      <c r="C62" s="6">
        <v>44984</v>
      </c>
      <c r="D62" s="4" t="s">
        <v>4069</v>
      </c>
      <c r="E62" s="4" t="s">
        <v>4054</v>
      </c>
      <c r="F62" s="4">
        <v>540.05999999999995</v>
      </c>
      <c r="G62" s="4" t="s">
        <v>64</v>
      </c>
      <c r="H62" s="4" t="s">
        <v>4055</v>
      </c>
      <c r="I62" s="4" t="s">
        <v>4070</v>
      </c>
      <c r="J62" s="6">
        <v>44999</v>
      </c>
      <c r="K62" s="4">
        <f>VLOOKUP(G62,Exchange_Rates!A:B,2,FALSE)</f>
        <v>0.73</v>
      </c>
      <c r="L62" s="4">
        <f t="shared" si="0"/>
        <v>394.24379999999996</v>
      </c>
    </row>
    <row r="63" spans="1:12" x14ac:dyDescent="0.25">
      <c r="A63" s="4" t="s">
        <v>4172</v>
      </c>
      <c r="B63" s="4" t="s">
        <v>4173</v>
      </c>
      <c r="C63" s="6">
        <v>45025</v>
      </c>
      <c r="D63" s="4" t="s">
        <v>4053</v>
      </c>
      <c r="E63" s="4" t="s">
        <v>4054</v>
      </c>
      <c r="F63" s="4">
        <v>47.17</v>
      </c>
      <c r="G63" s="4" t="s">
        <v>36</v>
      </c>
      <c r="H63" s="4" t="s">
        <v>4055</v>
      </c>
      <c r="I63" s="4" t="s">
        <v>4087</v>
      </c>
      <c r="J63" s="6">
        <v>45040</v>
      </c>
      <c r="K63" s="4">
        <f>VLOOKUP(G63,Exchange_Rates!A:B,2,FALSE)</f>
        <v>1.08</v>
      </c>
      <c r="L63" s="4">
        <f t="shared" si="0"/>
        <v>50.943600000000004</v>
      </c>
    </row>
    <row r="64" spans="1:12" x14ac:dyDescent="0.25">
      <c r="A64" s="4" t="s">
        <v>4174</v>
      </c>
      <c r="B64" s="4" t="s">
        <v>4068</v>
      </c>
      <c r="C64" s="6">
        <v>45234</v>
      </c>
      <c r="D64" s="4" t="s">
        <v>4096</v>
      </c>
      <c r="E64" s="4" t="s">
        <v>4054</v>
      </c>
      <c r="F64" s="4">
        <v>662.85</v>
      </c>
      <c r="G64" s="4" t="s">
        <v>45</v>
      </c>
      <c r="H64" s="4" t="s">
        <v>4097</v>
      </c>
      <c r="I64" s="4" t="s">
        <v>4070</v>
      </c>
      <c r="J64" s="4"/>
      <c r="K64" s="4">
        <f>VLOOKUP(G64,Exchange_Rates!A:B,2,FALSE)</f>
        <v>1</v>
      </c>
      <c r="L64" s="4">
        <f t="shared" si="0"/>
        <v>662.85</v>
      </c>
    </row>
    <row r="65" spans="1:12" x14ac:dyDescent="0.25">
      <c r="A65" s="4" t="s">
        <v>4175</v>
      </c>
      <c r="B65" s="4" t="s">
        <v>4176</v>
      </c>
      <c r="C65" s="6">
        <v>44958</v>
      </c>
      <c r="D65" s="4" t="s">
        <v>4053</v>
      </c>
      <c r="E65" s="4" t="s">
        <v>4054</v>
      </c>
      <c r="F65" s="4">
        <v>404.69</v>
      </c>
      <c r="G65" s="4" t="s">
        <v>42</v>
      </c>
      <c r="H65" s="4" t="s">
        <v>4063</v>
      </c>
      <c r="I65" s="4" t="s">
        <v>4087</v>
      </c>
      <c r="J65" s="4"/>
      <c r="K65" s="4">
        <f>VLOOKUP(G65,Exchange_Rates!A:B,2,FALSE)</f>
        <v>0.66</v>
      </c>
      <c r="L65" s="4">
        <f t="shared" si="0"/>
        <v>267.09539999999998</v>
      </c>
    </row>
    <row r="66" spans="1:12" x14ac:dyDescent="0.25">
      <c r="A66" s="4" t="s">
        <v>4177</v>
      </c>
      <c r="B66" s="4" t="s">
        <v>4178</v>
      </c>
      <c r="C66" s="6">
        <v>45253</v>
      </c>
      <c r="D66" s="4" t="s">
        <v>4096</v>
      </c>
      <c r="E66" s="4" t="s">
        <v>4054</v>
      </c>
      <c r="F66" s="4">
        <v>536.12</v>
      </c>
      <c r="G66" s="4" t="s">
        <v>45</v>
      </c>
      <c r="H66" s="4" t="s">
        <v>4059</v>
      </c>
      <c r="I66" s="4" t="s">
        <v>4070</v>
      </c>
      <c r="J66" s="4"/>
      <c r="K66" s="4">
        <f>VLOOKUP(G66,Exchange_Rates!A:B,2,FALSE)</f>
        <v>1</v>
      </c>
      <c r="L66" s="4">
        <f t="shared" si="0"/>
        <v>536.12</v>
      </c>
    </row>
    <row r="67" spans="1:12" x14ac:dyDescent="0.25">
      <c r="A67" s="4" t="s">
        <v>4179</v>
      </c>
      <c r="B67" s="4" t="s">
        <v>4180</v>
      </c>
      <c r="C67" s="6">
        <v>45491</v>
      </c>
      <c r="D67" s="4" t="s">
        <v>4069</v>
      </c>
      <c r="E67" s="4" t="s">
        <v>4054</v>
      </c>
      <c r="F67" s="4">
        <v>588.82000000000005</v>
      </c>
      <c r="G67" s="4" t="s">
        <v>36</v>
      </c>
      <c r="H67" s="4" t="s">
        <v>4097</v>
      </c>
      <c r="I67" s="4" t="s">
        <v>4087</v>
      </c>
      <c r="J67" s="4"/>
      <c r="K67" s="4">
        <f>VLOOKUP(G67,Exchange_Rates!A:B,2,FALSE)</f>
        <v>1.08</v>
      </c>
      <c r="L67" s="4">
        <f t="shared" ref="L67:L130" si="1">F67*K67</f>
        <v>635.92560000000014</v>
      </c>
    </row>
    <row r="68" spans="1:12" x14ac:dyDescent="0.25">
      <c r="A68" s="4" t="s">
        <v>4181</v>
      </c>
      <c r="B68" s="4" t="s">
        <v>4182</v>
      </c>
      <c r="C68" s="6">
        <v>45607</v>
      </c>
      <c r="D68" s="4" t="s">
        <v>4062</v>
      </c>
      <c r="E68" s="4" t="s">
        <v>4054</v>
      </c>
      <c r="F68" s="4">
        <v>391.97</v>
      </c>
      <c r="G68" s="4" t="s">
        <v>45</v>
      </c>
      <c r="H68" s="4" t="s">
        <v>4097</v>
      </c>
      <c r="I68" s="4" t="s">
        <v>4056</v>
      </c>
      <c r="J68" s="4"/>
      <c r="K68" s="4">
        <f>VLOOKUP(G68,Exchange_Rates!A:B,2,FALSE)</f>
        <v>1</v>
      </c>
      <c r="L68" s="4">
        <f t="shared" si="1"/>
        <v>391.97</v>
      </c>
    </row>
    <row r="69" spans="1:12" x14ac:dyDescent="0.25">
      <c r="A69" s="4" t="s">
        <v>4183</v>
      </c>
      <c r="B69" s="4" t="s">
        <v>4184</v>
      </c>
      <c r="C69" s="6">
        <v>44977</v>
      </c>
      <c r="D69" s="4" t="s">
        <v>4066</v>
      </c>
      <c r="E69" s="4" t="s">
        <v>4054</v>
      </c>
      <c r="F69" s="4">
        <v>614.89</v>
      </c>
      <c r="G69" s="4" t="s">
        <v>36</v>
      </c>
      <c r="H69" s="4" t="s">
        <v>4055</v>
      </c>
      <c r="I69" s="4" t="s">
        <v>4056</v>
      </c>
      <c r="J69" s="6">
        <v>44992</v>
      </c>
      <c r="K69" s="4">
        <f>VLOOKUP(G69,Exchange_Rates!A:B,2,FALSE)</f>
        <v>1.08</v>
      </c>
      <c r="L69" s="4">
        <f t="shared" si="1"/>
        <v>664.08120000000008</v>
      </c>
    </row>
    <row r="70" spans="1:12" x14ac:dyDescent="0.25">
      <c r="A70" s="4" t="s">
        <v>4185</v>
      </c>
      <c r="B70" s="4" t="s">
        <v>4173</v>
      </c>
      <c r="C70" s="6">
        <v>45670</v>
      </c>
      <c r="D70" s="4" t="s">
        <v>4096</v>
      </c>
      <c r="E70" s="4" t="s">
        <v>4054</v>
      </c>
      <c r="F70" s="4">
        <v>509.1</v>
      </c>
      <c r="G70" s="4" t="s">
        <v>64</v>
      </c>
      <c r="H70" s="4" t="s">
        <v>4063</v>
      </c>
      <c r="I70" s="4" t="s">
        <v>4087</v>
      </c>
      <c r="J70" s="4"/>
      <c r="K70" s="4">
        <f>VLOOKUP(G70,Exchange_Rates!A:B,2,FALSE)</f>
        <v>0.73</v>
      </c>
      <c r="L70" s="4">
        <f t="shared" si="1"/>
        <v>371.64300000000003</v>
      </c>
    </row>
    <row r="71" spans="1:12" x14ac:dyDescent="0.25">
      <c r="A71" s="4" t="s">
        <v>4186</v>
      </c>
      <c r="B71" s="4" t="s">
        <v>4187</v>
      </c>
      <c r="C71" s="6">
        <v>45634</v>
      </c>
      <c r="D71" s="4" t="s">
        <v>4053</v>
      </c>
      <c r="E71" s="4" t="s">
        <v>4054</v>
      </c>
      <c r="F71" s="4">
        <v>57.6</v>
      </c>
      <c r="G71" s="4" t="s">
        <v>45</v>
      </c>
      <c r="H71" s="4" t="s">
        <v>4055</v>
      </c>
      <c r="I71" s="4" t="s">
        <v>4087</v>
      </c>
      <c r="J71" s="6">
        <v>45649</v>
      </c>
      <c r="K71" s="4">
        <f>VLOOKUP(G71,Exchange_Rates!A:B,2,FALSE)</f>
        <v>1</v>
      </c>
      <c r="L71" s="4">
        <f t="shared" si="1"/>
        <v>57.6</v>
      </c>
    </row>
    <row r="72" spans="1:12" x14ac:dyDescent="0.25">
      <c r="A72" s="4" t="s">
        <v>4188</v>
      </c>
      <c r="B72" s="4" t="s">
        <v>4162</v>
      </c>
      <c r="C72" s="6">
        <v>45335</v>
      </c>
      <c r="D72" s="4" t="s">
        <v>4066</v>
      </c>
      <c r="E72" s="4" t="s">
        <v>4054</v>
      </c>
      <c r="F72" s="4">
        <v>430.33</v>
      </c>
      <c r="G72" s="4" t="s">
        <v>64</v>
      </c>
      <c r="H72" s="4" t="s">
        <v>4063</v>
      </c>
      <c r="I72" s="4" t="s">
        <v>4087</v>
      </c>
      <c r="J72" s="4"/>
      <c r="K72" s="4">
        <f>VLOOKUP(G72,Exchange_Rates!A:B,2,FALSE)</f>
        <v>0.73</v>
      </c>
      <c r="L72" s="4">
        <f t="shared" si="1"/>
        <v>314.14089999999999</v>
      </c>
    </row>
    <row r="73" spans="1:12" x14ac:dyDescent="0.25">
      <c r="A73" s="4" t="s">
        <v>4189</v>
      </c>
      <c r="B73" s="4" t="s">
        <v>4190</v>
      </c>
      <c r="C73" s="6">
        <v>45632</v>
      </c>
      <c r="D73" s="4" t="s">
        <v>4096</v>
      </c>
      <c r="E73" s="4" t="s">
        <v>4054</v>
      </c>
      <c r="F73" s="4">
        <v>36.85</v>
      </c>
      <c r="G73" s="4" t="s">
        <v>45</v>
      </c>
      <c r="H73" s="4" t="s">
        <v>4063</v>
      </c>
      <c r="I73" s="4" t="s">
        <v>4056</v>
      </c>
      <c r="J73" s="4"/>
      <c r="K73" s="4">
        <f>VLOOKUP(G73,Exchange_Rates!A:B,2,FALSE)</f>
        <v>1</v>
      </c>
      <c r="L73" s="4">
        <f t="shared" si="1"/>
        <v>36.85</v>
      </c>
    </row>
    <row r="74" spans="1:12" x14ac:dyDescent="0.25">
      <c r="A74" s="4" t="s">
        <v>4191</v>
      </c>
      <c r="B74" s="4" t="s">
        <v>4086</v>
      </c>
      <c r="C74" s="6">
        <v>45094</v>
      </c>
      <c r="D74" s="4" t="s">
        <v>4096</v>
      </c>
      <c r="E74" s="4" t="s">
        <v>4054</v>
      </c>
      <c r="F74" s="4">
        <v>781.78</v>
      </c>
      <c r="G74" s="4" t="s">
        <v>28</v>
      </c>
      <c r="H74" s="4" t="s">
        <v>4097</v>
      </c>
      <c r="I74" s="4" t="s">
        <v>4087</v>
      </c>
      <c r="J74" s="4"/>
      <c r="K74" s="4">
        <f>VLOOKUP(G74,Exchange_Rates!A:B,2,FALSE)</f>
        <v>1.27</v>
      </c>
      <c r="L74" s="4">
        <f t="shared" si="1"/>
        <v>992.86059999999998</v>
      </c>
    </row>
    <row r="75" spans="1:12" x14ac:dyDescent="0.25">
      <c r="A75" s="4" t="s">
        <v>4192</v>
      </c>
      <c r="B75" s="4" t="s">
        <v>4193</v>
      </c>
      <c r="C75" s="6">
        <v>44974</v>
      </c>
      <c r="D75" s="4" t="s">
        <v>4069</v>
      </c>
      <c r="E75" s="4" t="s">
        <v>4054</v>
      </c>
      <c r="F75" s="4">
        <v>314.82</v>
      </c>
      <c r="G75" s="4" t="s">
        <v>36</v>
      </c>
      <c r="H75" s="4" t="s">
        <v>4059</v>
      </c>
      <c r="I75" s="4" t="s">
        <v>4056</v>
      </c>
      <c r="J75" s="4"/>
      <c r="K75" s="4">
        <f>VLOOKUP(G75,Exchange_Rates!A:B,2,FALSE)</f>
        <v>1.08</v>
      </c>
      <c r="L75" s="4">
        <f t="shared" si="1"/>
        <v>340.00560000000002</v>
      </c>
    </row>
    <row r="76" spans="1:12" x14ac:dyDescent="0.25">
      <c r="A76" s="4" t="s">
        <v>4194</v>
      </c>
      <c r="B76" s="4" t="s">
        <v>4115</v>
      </c>
      <c r="C76" s="6">
        <v>45257</v>
      </c>
      <c r="D76" s="4" t="s">
        <v>4096</v>
      </c>
      <c r="E76" s="4" t="s">
        <v>4054</v>
      </c>
      <c r="F76" s="4">
        <v>688.72</v>
      </c>
      <c r="G76" s="4" t="s">
        <v>64</v>
      </c>
      <c r="H76" s="4" t="s">
        <v>4059</v>
      </c>
      <c r="I76" s="4" t="s">
        <v>4070</v>
      </c>
      <c r="J76" s="4"/>
      <c r="K76" s="4">
        <f>VLOOKUP(G76,Exchange_Rates!A:B,2,FALSE)</f>
        <v>0.73</v>
      </c>
      <c r="L76" s="4">
        <f t="shared" si="1"/>
        <v>502.76560000000001</v>
      </c>
    </row>
    <row r="77" spans="1:12" x14ac:dyDescent="0.25">
      <c r="A77" s="4" t="s">
        <v>4195</v>
      </c>
      <c r="B77" s="4" t="s">
        <v>4080</v>
      </c>
      <c r="C77" s="6">
        <v>45004</v>
      </c>
      <c r="D77" s="4" t="s">
        <v>4062</v>
      </c>
      <c r="E77" s="4" t="s">
        <v>4054</v>
      </c>
      <c r="F77" s="4">
        <v>207.18</v>
      </c>
      <c r="G77" s="4" t="s">
        <v>28</v>
      </c>
      <c r="H77" s="4" t="s">
        <v>4055</v>
      </c>
      <c r="I77" s="4" t="s">
        <v>4087</v>
      </c>
      <c r="J77" s="6">
        <v>45019</v>
      </c>
      <c r="K77" s="4">
        <f>VLOOKUP(G77,Exchange_Rates!A:B,2,FALSE)</f>
        <v>1.27</v>
      </c>
      <c r="L77" s="4">
        <f t="shared" si="1"/>
        <v>263.11860000000001</v>
      </c>
    </row>
    <row r="78" spans="1:12" x14ac:dyDescent="0.25">
      <c r="A78" s="4" t="s">
        <v>4196</v>
      </c>
      <c r="B78" s="4" t="s">
        <v>4197</v>
      </c>
      <c r="C78" s="6">
        <v>45599</v>
      </c>
      <c r="D78" s="4" t="s">
        <v>4053</v>
      </c>
      <c r="E78" s="4" t="s">
        <v>4054</v>
      </c>
      <c r="F78" s="4">
        <v>224.43</v>
      </c>
      <c r="G78" s="4" t="s">
        <v>28</v>
      </c>
      <c r="H78" s="4" t="s">
        <v>4059</v>
      </c>
      <c r="I78" s="4" t="s">
        <v>4070</v>
      </c>
      <c r="J78" s="4"/>
      <c r="K78" s="4">
        <f>VLOOKUP(G78,Exchange_Rates!A:B,2,FALSE)</f>
        <v>1.27</v>
      </c>
      <c r="L78" s="4">
        <f t="shared" si="1"/>
        <v>285.02609999999999</v>
      </c>
    </row>
    <row r="79" spans="1:12" x14ac:dyDescent="0.25">
      <c r="A79" s="4" t="s">
        <v>4198</v>
      </c>
      <c r="B79" s="4" t="s">
        <v>4199</v>
      </c>
      <c r="C79" s="6">
        <v>44931</v>
      </c>
      <c r="D79" s="4" t="s">
        <v>4096</v>
      </c>
      <c r="E79" s="4" t="s">
        <v>4054</v>
      </c>
      <c r="F79" s="4">
        <v>387.38</v>
      </c>
      <c r="G79" s="4" t="s">
        <v>64</v>
      </c>
      <c r="H79" s="4" t="s">
        <v>4063</v>
      </c>
      <c r="I79" s="4" t="s">
        <v>4070</v>
      </c>
      <c r="J79" s="4"/>
      <c r="K79" s="4">
        <f>VLOOKUP(G79,Exchange_Rates!A:B,2,FALSE)</f>
        <v>0.73</v>
      </c>
      <c r="L79" s="4">
        <f t="shared" si="1"/>
        <v>282.78739999999999</v>
      </c>
    </row>
    <row r="80" spans="1:12" x14ac:dyDescent="0.25">
      <c r="A80" s="4" t="s">
        <v>4200</v>
      </c>
      <c r="B80" s="4" t="s">
        <v>4148</v>
      </c>
      <c r="C80" s="6">
        <v>45690</v>
      </c>
      <c r="D80" s="4" t="s">
        <v>4062</v>
      </c>
      <c r="E80" s="4" t="s">
        <v>4054</v>
      </c>
      <c r="F80" s="4">
        <v>198.87</v>
      </c>
      <c r="G80" s="4" t="s">
        <v>42</v>
      </c>
      <c r="H80" s="4" t="s">
        <v>4059</v>
      </c>
      <c r="I80" s="4" t="s">
        <v>4087</v>
      </c>
      <c r="J80" s="4"/>
      <c r="K80" s="4">
        <f>VLOOKUP(G80,Exchange_Rates!A:B,2,FALSE)</f>
        <v>0.66</v>
      </c>
      <c r="L80" s="4">
        <f t="shared" si="1"/>
        <v>131.2542</v>
      </c>
    </row>
    <row r="81" spans="1:12" x14ac:dyDescent="0.25">
      <c r="A81" s="4" t="s">
        <v>4201</v>
      </c>
      <c r="B81" s="4" t="s">
        <v>4202</v>
      </c>
      <c r="C81" s="6">
        <v>45255</v>
      </c>
      <c r="D81" s="4" t="s">
        <v>4062</v>
      </c>
      <c r="E81" s="4" t="s">
        <v>4054</v>
      </c>
      <c r="F81" s="4">
        <v>650.79</v>
      </c>
      <c r="G81" s="4" t="s">
        <v>36</v>
      </c>
      <c r="H81" s="4" t="s">
        <v>4063</v>
      </c>
      <c r="I81" s="4" t="s">
        <v>4070</v>
      </c>
      <c r="J81" s="4"/>
      <c r="K81" s="4">
        <f>VLOOKUP(G81,Exchange_Rates!A:B,2,FALSE)</f>
        <v>1.08</v>
      </c>
      <c r="L81" s="4">
        <f t="shared" si="1"/>
        <v>702.85320000000002</v>
      </c>
    </row>
    <row r="82" spans="1:12" x14ac:dyDescent="0.25">
      <c r="A82" s="4" t="s">
        <v>4203</v>
      </c>
      <c r="B82" s="4" t="s">
        <v>4204</v>
      </c>
      <c r="C82" s="6">
        <v>45647</v>
      </c>
      <c r="D82" s="4" t="s">
        <v>4069</v>
      </c>
      <c r="E82" s="4" t="s">
        <v>4054</v>
      </c>
      <c r="F82" s="4">
        <v>589.39</v>
      </c>
      <c r="G82" s="4" t="s">
        <v>64</v>
      </c>
      <c r="H82" s="4" t="s">
        <v>4063</v>
      </c>
      <c r="I82" s="4" t="s">
        <v>4087</v>
      </c>
      <c r="J82" s="4"/>
      <c r="K82" s="4">
        <f>VLOOKUP(G82,Exchange_Rates!A:B,2,FALSE)</f>
        <v>0.73</v>
      </c>
      <c r="L82" s="4">
        <f t="shared" si="1"/>
        <v>430.25469999999996</v>
      </c>
    </row>
    <row r="83" spans="1:12" x14ac:dyDescent="0.25">
      <c r="A83" s="4" t="s">
        <v>4205</v>
      </c>
      <c r="B83" s="4" t="s">
        <v>4206</v>
      </c>
      <c r="C83" s="6">
        <v>45221</v>
      </c>
      <c r="D83" s="4" t="s">
        <v>4053</v>
      </c>
      <c r="E83" s="4" t="s">
        <v>4054</v>
      </c>
      <c r="F83" s="4">
        <v>119</v>
      </c>
      <c r="G83" s="4" t="s">
        <v>45</v>
      </c>
      <c r="H83" s="4" t="s">
        <v>4063</v>
      </c>
      <c r="I83" s="4" t="s">
        <v>4056</v>
      </c>
      <c r="J83" s="4"/>
      <c r="K83" s="4">
        <f>VLOOKUP(G83,Exchange_Rates!A:B,2,FALSE)</f>
        <v>1</v>
      </c>
      <c r="L83" s="4">
        <f t="shared" si="1"/>
        <v>119</v>
      </c>
    </row>
    <row r="84" spans="1:12" x14ac:dyDescent="0.25">
      <c r="A84" s="4" t="s">
        <v>4207</v>
      </c>
      <c r="B84" s="4" t="s">
        <v>4061</v>
      </c>
      <c r="C84" s="6">
        <v>45087</v>
      </c>
      <c r="D84" s="4" t="s">
        <v>4069</v>
      </c>
      <c r="E84" s="4" t="s">
        <v>4054</v>
      </c>
      <c r="F84" s="4">
        <v>373.33</v>
      </c>
      <c r="G84" s="4" t="s">
        <v>45</v>
      </c>
      <c r="H84" s="4" t="s">
        <v>4059</v>
      </c>
      <c r="I84" s="4" t="s">
        <v>4056</v>
      </c>
      <c r="J84" s="4"/>
      <c r="K84" s="4">
        <f>VLOOKUP(G84,Exchange_Rates!A:B,2,FALSE)</f>
        <v>1</v>
      </c>
      <c r="L84" s="4">
        <f t="shared" si="1"/>
        <v>373.33</v>
      </c>
    </row>
    <row r="85" spans="1:12" x14ac:dyDescent="0.25">
      <c r="A85" s="4" t="s">
        <v>4208</v>
      </c>
      <c r="B85" s="4" t="s">
        <v>4122</v>
      </c>
      <c r="C85" s="6">
        <v>44974</v>
      </c>
      <c r="D85" s="4" t="s">
        <v>4053</v>
      </c>
      <c r="E85" s="4" t="s">
        <v>4054</v>
      </c>
      <c r="F85" s="4">
        <v>642.72</v>
      </c>
      <c r="G85" s="4" t="s">
        <v>28</v>
      </c>
      <c r="H85" s="4" t="s">
        <v>4063</v>
      </c>
      <c r="I85" s="4" t="s">
        <v>4056</v>
      </c>
      <c r="J85" s="4"/>
      <c r="K85" s="4">
        <f>VLOOKUP(G85,Exchange_Rates!A:B,2,FALSE)</f>
        <v>1.27</v>
      </c>
      <c r="L85" s="4">
        <f t="shared" si="1"/>
        <v>816.25440000000003</v>
      </c>
    </row>
    <row r="86" spans="1:12" x14ac:dyDescent="0.25">
      <c r="A86" s="4" t="s">
        <v>4209</v>
      </c>
      <c r="B86" s="4" t="s">
        <v>4136</v>
      </c>
      <c r="C86" s="6">
        <v>45054</v>
      </c>
      <c r="D86" s="4" t="s">
        <v>4066</v>
      </c>
      <c r="E86" s="4" t="s">
        <v>4054</v>
      </c>
      <c r="F86" s="4">
        <v>303.82</v>
      </c>
      <c r="G86" s="4" t="s">
        <v>28</v>
      </c>
      <c r="H86" s="4" t="s">
        <v>4059</v>
      </c>
      <c r="I86" s="4" t="s">
        <v>4056</v>
      </c>
      <c r="J86" s="4"/>
      <c r="K86" s="4">
        <f>VLOOKUP(G86,Exchange_Rates!A:B,2,FALSE)</f>
        <v>1.27</v>
      </c>
      <c r="L86" s="4">
        <f t="shared" si="1"/>
        <v>385.85140000000001</v>
      </c>
    </row>
    <row r="87" spans="1:12" x14ac:dyDescent="0.25">
      <c r="A87" s="4" t="s">
        <v>4210</v>
      </c>
      <c r="B87" s="4" t="s">
        <v>4129</v>
      </c>
      <c r="C87" s="6">
        <v>45376</v>
      </c>
      <c r="D87" s="4" t="s">
        <v>4062</v>
      </c>
      <c r="E87" s="4" t="s">
        <v>4054</v>
      </c>
      <c r="F87" s="4">
        <v>219.81</v>
      </c>
      <c r="G87" s="4" t="s">
        <v>45</v>
      </c>
      <c r="H87" s="4" t="s">
        <v>4059</v>
      </c>
      <c r="I87" s="4" t="s">
        <v>4070</v>
      </c>
      <c r="J87" s="4"/>
      <c r="K87" s="4">
        <f>VLOOKUP(G87,Exchange_Rates!A:B,2,FALSE)</f>
        <v>1</v>
      </c>
      <c r="L87" s="4">
        <f t="shared" si="1"/>
        <v>219.81</v>
      </c>
    </row>
    <row r="88" spans="1:12" x14ac:dyDescent="0.25">
      <c r="A88" s="4" t="s">
        <v>4211</v>
      </c>
      <c r="B88" s="4" t="s">
        <v>4164</v>
      </c>
      <c r="C88" s="6">
        <v>45283</v>
      </c>
      <c r="D88" s="4" t="s">
        <v>4053</v>
      </c>
      <c r="E88" s="4" t="s">
        <v>4054</v>
      </c>
      <c r="F88" s="4">
        <v>417.37</v>
      </c>
      <c r="G88" s="4" t="s">
        <v>45</v>
      </c>
      <c r="H88" s="4" t="s">
        <v>4097</v>
      </c>
      <c r="I88" s="4" t="s">
        <v>4087</v>
      </c>
      <c r="J88" s="4"/>
      <c r="K88" s="4">
        <f>VLOOKUP(G88,Exchange_Rates!A:B,2,FALSE)</f>
        <v>1</v>
      </c>
      <c r="L88" s="4">
        <f t="shared" si="1"/>
        <v>417.37</v>
      </c>
    </row>
    <row r="89" spans="1:12" x14ac:dyDescent="0.25">
      <c r="A89" s="4" t="s">
        <v>4212</v>
      </c>
      <c r="B89" s="4" t="s">
        <v>4058</v>
      </c>
      <c r="C89" s="6">
        <v>45797</v>
      </c>
      <c r="D89" s="4" t="s">
        <v>4069</v>
      </c>
      <c r="E89" s="4" t="s">
        <v>4054</v>
      </c>
      <c r="F89" s="4">
        <v>413.5</v>
      </c>
      <c r="G89" s="4" t="s">
        <v>64</v>
      </c>
      <c r="H89" s="4" t="s">
        <v>4055</v>
      </c>
      <c r="I89" s="4" t="s">
        <v>4087</v>
      </c>
      <c r="J89" s="6">
        <v>45812</v>
      </c>
      <c r="K89" s="4">
        <f>VLOOKUP(G89,Exchange_Rates!A:B,2,FALSE)</f>
        <v>0.73</v>
      </c>
      <c r="L89" s="4">
        <f t="shared" si="1"/>
        <v>301.85500000000002</v>
      </c>
    </row>
    <row r="90" spans="1:12" x14ac:dyDescent="0.25">
      <c r="A90" s="4" t="s">
        <v>4213</v>
      </c>
      <c r="B90" s="4" t="s">
        <v>4173</v>
      </c>
      <c r="C90" s="6">
        <v>45465</v>
      </c>
      <c r="D90" s="4" t="s">
        <v>4053</v>
      </c>
      <c r="E90" s="4" t="s">
        <v>4054</v>
      </c>
      <c r="F90" s="4">
        <v>138.9</v>
      </c>
      <c r="G90" s="4" t="s">
        <v>64</v>
      </c>
      <c r="H90" s="4" t="s">
        <v>4059</v>
      </c>
      <c r="I90" s="4" t="s">
        <v>4087</v>
      </c>
      <c r="J90" s="4"/>
      <c r="K90" s="4">
        <f>VLOOKUP(G90,Exchange_Rates!A:B,2,FALSE)</f>
        <v>0.73</v>
      </c>
      <c r="L90" s="4">
        <f t="shared" si="1"/>
        <v>101.39700000000001</v>
      </c>
    </row>
    <row r="91" spans="1:12" x14ac:dyDescent="0.25">
      <c r="A91" s="4" t="s">
        <v>4214</v>
      </c>
      <c r="B91" s="4" t="s">
        <v>4095</v>
      </c>
      <c r="C91" s="6">
        <v>45821</v>
      </c>
      <c r="D91" s="4" t="s">
        <v>4069</v>
      </c>
      <c r="E91" s="4" t="s">
        <v>4054</v>
      </c>
      <c r="F91" s="4">
        <v>759.59</v>
      </c>
      <c r="G91" s="4" t="s">
        <v>36</v>
      </c>
      <c r="H91" s="4" t="s">
        <v>4097</v>
      </c>
      <c r="I91" s="4" t="s">
        <v>4070</v>
      </c>
      <c r="J91" s="4"/>
      <c r="K91" s="4">
        <f>VLOOKUP(G91,Exchange_Rates!A:B,2,FALSE)</f>
        <v>1.08</v>
      </c>
      <c r="L91" s="4">
        <f t="shared" si="1"/>
        <v>820.35720000000003</v>
      </c>
    </row>
    <row r="92" spans="1:12" x14ac:dyDescent="0.25">
      <c r="A92" s="4" t="s">
        <v>4215</v>
      </c>
      <c r="B92" s="4" t="s">
        <v>4145</v>
      </c>
      <c r="C92" s="6">
        <v>45286</v>
      </c>
      <c r="D92" s="4" t="s">
        <v>4096</v>
      </c>
      <c r="E92" s="4" t="s">
        <v>4054</v>
      </c>
      <c r="F92" s="4">
        <v>776.86</v>
      </c>
      <c r="G92" s="4" t="s">
        <v>45</v>
      </c>
      <c r="H92" s="4" t="s">
        <v>4059</v>
      </c>
      <c r="I92" s="4" t="s">
        <v>4056</v>
      </c>
      <c r="J92" s="4"/>
      <c r="K92" s="4">
        <f>VLOOKUP(G92,Exchange_Rates!A:B,2,FALSE)</f>
        <v>1</v>
      </c>
      <c r="L92" s="4">
        <f t="shared" si="1"/>
        <v>776.86</v>
      </c>
    </row>
    <row r="93" spans="1:12" x14ac:dyDescent="0.25">
      <c r="A93" s="4" t="s">
        <v>4216</v>
      </c>
      <c r="B93" s="4" t="s">
        <v>4080</v>
      </c>
      <c r="C93" s="6">
        <v>45207</v>
      </c>
      <c r="D93" s="4" t="s">
        <v>4069</v>
      </c>
      <c r="E93" s="4" t="s">
        <v>4054</v>
      </c>
      <c r="F93" s="4">
        <v>797.04</v>
      </c>
      <c r="G93" s="4" t="s">
        <v>36</v>
      </c>
      <c r="H93" s="4" t="s">
        <v>4055</v>
      </c>
      <c r="I93" s="4" t="s">
        <v>4056</v>
      </c>
      <c r="J93" s="6">
        <v>45222</v>
      </c>
      <c r="K93" s="4">
        <f>VLOOKUP(G93,Exchange_Rates!A:B,2,FALSE)</f>
        <v>1.08</v>
      </c>
      <c r="L93" s="4">
        <f t="shared" si="1"/>
        <v>860.80320000000006</v>
      </c>
    </row>
    <row r="94" spans="1:12" x14ac:dyDescent="0.25">
      <c r="A94" s="4" t="s">
        <v>4217</v>
      </c>
      <c r="B94" s="4" t="s">
        <v>4080</v>
      </c>
      <c r="C94" s="6">
        <v>45767</v>
      </c>
      <c r="D94" s="4" t="s">
        <v>4069</v>
      </c>
      <c r="E94" s="4" t="s">
        <v>4054</v>
      </c>
      <c r="F94" s="4">
        <v>68.489999999999995</v>
      </c>
      <c r="G94" s="4" t="s">
        <v>42</v>
      </c>
      <c r="H94" s="4" t="s">
        <v>4059</v>
      </c>
      <c r="I94" s="4" t="s">
        <v>4070</v>
      </c>
      <c r="J94" s="4"/>
      <c r="K94" s="4">
        <f>VLOOKUP(G94,Exchange_Rates!A:B,2,FALSE)</f>
        <v>0.66</v>
      </c>
      <c r="L94" s="4">
        <f t="shared" si="1"/>
        <v>45.203400000000002</v>
      </c>
    </row>
    <row r="95" spans="1:12" x14ac:dyDescent="0.25">
      <c r="A95" s="4" t="s">
        <v>4218</v>
      </c>
      <c r="B95" s="4" t="s">
        <v>4219</v>
      </c>
      <c r="C95" s="6">
        <v>45164</v>
      </c>
      <c r="D95" s="4" t="s">
        <v>4062</v>
      </c>
      <c r="E95" s="4" t="s">
        <v>4054</v>
      </c>
      <c r="F95" s="4">
        <v>107.46</v>
      </c>
      <c r="G95" s="4" t="s">
        <v>64</v>
      </c>
      <c r="H95" s="4" t="s">
        <v>4097</v>
      </c>
      <c r="I95" s="4" t="s">
        <v>4070</v>
      </c>
      <c r="J95" s="4"/>
      <c r="K95" s="4">
        <f>VLOOKUP(G95,Exchange_Rates!A:B,2,FALSE)</f>
        <v>0.73</v>
      </c>
      <c r="L95" s="4">
        <f t="shared" si="1"/>
        <v>78.445799999999991</v>
      </c>
    </row>
    <row r="96" spans="1:12" x14ac:dyDescent="0.25">
      <c r="A96" s="4" t="s">
        <v>4220</v>
      </c>
      <c r="B96" s="4" t="s">
        <v>4080</v>
      </c>
      <c r="C96" s="6">
        <v>45825</v>
      </c>
      <c r="D96" s="4" t="s">
        <v>4096</v>
      </c>
      <c r="E96" s="4" t="s">
        <v>4054</v>
      </c>
      <c r="F96" s="4">
        <v>547.54</v>
      </c>
      <c r="G96" s="4" t="s">
        <v>28</v>
      </c>
      <c r="H96" s="4" t="s">
        <v>4059</v>
      </c>
      <c r="I96" s="4" t="s">
        <v>4087</v>
      </c>
      <c r="J96" s="4"/>
      <c r="K96" s="4">
        <f>VLOOKUP(G96,Exchange_Rates!A:B,2,FALSE)</f>
        <v>1.27</v>
      </c>
      <c r="L96" s="4">
        <f t="shared" si="1"/>
        <v>695.37579999999991</v>
      </c>
    </row>
    <row r="97" spans="1:12" x14ac:dyDescent="0.25">
      <c r="A97" s="4" t="s">
        <v>4221</v>
      </c>
      <c r="B97" s="4" t="s">
        <v>4190</v>
      </c>
      <c r="C97" s="6">
        <v>45205</v>
      </c>
      <c r="D97" s="4" t="s">
        <v>4053</v>
      </c>
      <c r="E97" s="4" t="s">
        <v>4054</v>
      </c>
      <c r="F97" s="4">
        <v>456.94</v>
      </c>
      <c r="G97" s="4" t="s">
        <v>45</v>
      </c>
      <c r="H97" s="4" t="s">
        <v>4097</v>
      </c>
      <c r="I97" s="4" t="s">
        <v>4070</v>
      </c>
      <c r="J97" s="4"/>
      <c r="K97" s="4">
        <f>VLOOKUP(G97,Exchange_Rates!A:B,2,FALSE)</f>
        <v>1</v>
      </c>
      <c r="L97" s="4">
        <f t="shared" si="1"/>
        <v>456.94</v>
      </c>
    </row>
    <row r="98" spans="1:12" x14ac:dyDescent="0.25">
      <c r="A98" s="4" t="s">
        <v>4222</v>
      </c>
      <c r="B98" s="4" t="s">
        <v>4132</v>
      </c>
      <c r="C98" s="6">
        <v>45512</v>
      </c>
      <c r="D98" s="4" t="s">
        <v>4066</v>
      </c>
      <c r="E98" s="4" t="s">
        <v>4054</v>
      </c>
      <c r="F98" s="4">
        <v>796.01</v>
      </c>
      <c r="G98" s="4" t="s">
        <v>36</v>
      </c>
      <c r="H98" s="4" t="s">
        <v>4059</v>
      </c>
      <c r="I98" s="4" t="s">
        <v>4070</v>
      </c>
      <c r="J98" s="4"/>
      <c r="K98" s="4">
        <f>VLOOKUP(G98,Exchange_Rates!A:B,2,FALSE)</f>
        <v>1.08</v>
      </c>
      <c r="L98" s="4">
        <f t="shared" si="1"/>
        <v>859.69080000000008</v>
      </c>
    </row>
    <row r="99" spans="1:12" x14ac:dyDescent="0.25">
      <c r="A99" s="4" t="s">
        <v>4223</v>
      </c>
      <c r="B99" s="4" t="s">
        <v>4176</v>
      </c>
      <c r="C99" s="6">
        <v>45231</v>
      </c>
      <c r="D99" s="4" t="s">
        <v>4066</v>
      </c>
      <c r="E99" s="4" t="s">
        <v>4054</v>
      </c>
      <c r="F99" s="4">
        <v>336.83</v>
      </c>
      <c r="G99" s="4" t="s">
        <v>28</v>
      </c>
      <c r="H99" s="4" t="s">
        <v>4055</v>
      </c>
      <c r="I99" s="4" t="s">
        <v>4056</v>
      </c>
      <c r="J99" s="6">
        <v>45246</v>
      </c>
      <c r="K99" s="4">
        <f>VLOOKUP(G99,Exchange_Rates!A:B,2,FALSE)</f>
        <v>1.27</v>
      </c>
      <c r="L99" s="4">
        <f t="shared" si="1"/>
        <v>427.77409999999998</v>
      </c>
    </row>
    <row r="100" spans="1:12" x14ac:dyDescent="0.25">
      <c r="A100" s="4" t="s">
        <v>4224</v>
      </c>
      <c r="B100" s="4" t="s">
        <v>4225</v>
      </c>
      <c r="C100" s="6">
        <v>45428</v>
      </c>
      <c r="D100" s="4" t="s">
        <v>4053</v>
      </c>
      <c r="E100" s="4" t="s">
        <v>4054</v>
      </c>
      <c r="F100" s="4">
        <v>655.66</v>
      </c>
      <c r="G100" s="4" t="s">
        <v>36</v>
      </c>
      <c r="H100" s="4" t="s">
        <v>4059</v>
      </c>
      <c r="I100" s="4" t="s">
        <v>4087</v>
      </c>
      <c r="J100" s="4"/>
      <c r="K100" s="4">
        <f>VLOOKUP(G100,Exchange_Rates!A:B,2,FALSE)</f>
        <v>1.08</v>
      </c>
      <c r="L100" s="4">
        <f t="shared" si="1"/>
        <v>708.11279999999999</v>
      </c>
    </row>
    <row r="101" spans="1:12" x14ac:dyDescent="0.25">
      <c r="A101" s="4" t="s">
        <v>4226</v>
      </c>
      <c r="B101" s="4" t="s">
        <v>4173</v>
      </c>
      <c r="C101" s="6">
        <v>45212</v>
      </c>
      <c r="D101" s="4" t="s">
        <v>4096</v>
      </c>
      <c r="E101" s="4" t="s">
        <v>4054</v>
      </c>
      <c r="F101" s="4">
        <v>707.49</v>
      </c>
      <c r="G101" s="4" t="s">
        <v>42</v>
      </c>
      <c r="H101" s="4" t="s">
        <v>4055</v>
      </c>
      <c r="I101" s="4" t="s">
        <v>4070</v>
      </c>
      <c r="J101" s="6">
        <v>45227</v>
      </c>
      <c r="K101" s="4">
        <f>VLOOKUP(G101,Exchange_Rates!A:B,2,FALSE)</f>
        <v>0.66</v>
      </c>
      <c r="L101" s="4">
        <f t="shared" si="1"/>
        <v>466.94340000000005</v>
      </c>
    </row>
    <row r="102" spans="1:12" x14ac:dyDescent="0.25">
      <c r="A102" s="4" t="s">
        <v>4227</v>
      </c>
      <c r="B102" s="4" t="s">
        <v>4132</v>
      </c>
      <c r="C102" s="6">
        <v>45455</v>
      </c>
      <c r="D102" s="4" t="s">
        <v>4096</v>
      </c>
      <c r="E102" s="4" t="s">
        <v>4054</v>
      </c>
      <c r="F102" s="4">
        <v>791.32</v>
      </c>
      <c r="G102" s="4" t="s">
        <v>45</v>
      </c>
      <c r="H102" s="4" t="s">
        <v>4063</v>
      </c>
      <c r="I102" s="4" t="s">
        <v>4087</v>
      </c>
      <c r="J102" s="4"/>
      <c r="K102" s="4">
        <f>VLOOKUP(G102,Exchange_Rates!A:B,2,FALSE)</f>
        <v>1</v>
      </c>
      <c r="L102" s="4">
        <f t="shared" si="1"/>
        <v>791.32</v>
      </c>
    </row>
    <row r="103" spans="1:12" x14ac:dyDescent="0.25">
      <c r="A103" s="4" t="s">
        <v>4228</v>
      </c>
      <c r="B103" s="4" t="s">
        <v>4091</v>
      </c>
      <c r="C103" s="6">
        <v>45414</v>
      </c>
      <c r="D103" s="4" t="s">
        <v>4062</v>
      </c>
      <c r="E103" s="4" t="s">
        <v>4054</v>
      </c>
      <c r="F103" s="4">
        <v>716.82</v>
      </c>
      <c r="G103" s="4" t="s">
        <v>64</v>
      </c>
      <c r="H103" s="4" t="s">
        <v>4063</v>
      </c>
      <c r="I103" s="4" t="s">
        <v>4070</v>
      </c>
      <c r="J103" s="4"/>
      <c r="K103" s="4">
        <f>VLOOKUP(G103,Exchange_Rates!A:B,2,FALSE)</f>
        <v>0.73</v>
      </c>
      <c r="L103" s="4">
        <f t="shared" si="1"/>
        <v>523.27859999999998</v>
      </c>
    </row>
    <row r="104" spans="1:12" x14ac:dyDescent="0.25">
      <c r="A104" s="4" t="s">
        <v>4229</v>
      </c>
      <c r="B104" s="4" t="s">
        <v>4230</v>
      </c>
      <c r="C104" s="6">
        <v>45026</v>
      </c>
      <c r="D104" s="4" t="s">
        <v>4062</v>
      </c>
      <c r="E104" s="4" t="s">
        <v>4054</v>
      </c>
      <c r="F104" s="4">
        <v>31.13</v>
      </c>
      <c r="G104" s="4" t="s">
        <v>64</v>
      </c>
      <c r="H104" s="4" t="s">
        <v>4059</v>
      </c>
      <c r="I104" s="4" t="s">
        <v>4070</v>
      </c>
      <c r="J104" s="4"/>
      <c r="K104" s="4">
        <f>VLOOKUP(G104,Exchange_Rates!A:B,2,FALSE)</f>
        <v>0.73</v>
      </c>
      <c r="L104" s="4">
        <f t="shared" si="1"/>
        <v>22.724899999999998</v>
      </c>
    </row>
    <row r="105" spans="1:12" x14ac:dyDescent="0.25">
      <c r="A105" s="4" t="s">
        <v>4231</v>
      </c>
      <c r="B105" s="4" t="s">
        <v>4232</v>
      </c>
      <c r="C105" s="6">
        <v>45001</v>
      </c>
      <c r="D105" s="4" t="s">
        <v>4062</v>
      </c>
      <c r="E105" s="4" t="s">
        <v>4054</v>
      </c>
      <c r="F105" s="4">
        <v>323.47000000000003</v>
      </c>
      <c r="G105" s="4" t="s">
        <v>42</v>
      </c>
      <c r="H105" s="4" t="s">
        <v>4063</v>
      </c>
      <c r="I105" s="4" t="s">
        <v>4056</v>
      </c>
      <c r="J105" s="4"/>
      <c r="K105" s="4">
        <f>VLOOKUP(G105,Exchange_Rates!A:B,2,FALSE)</f>
        <v>0.66</v>
      </c>
      <c r="L105" s="4">
        <f t="shared" si="1"/>
        <v>213.49020000000002</v>
      </c>
    </row>
    <row r="106" spans="1:12" x14ac:dyDescent="0.25">
      <c r="A106" s="4" t="s">
        <v>4233</v>
      </c>
      <c r="B106" s="4" t="s">
        <v>4158</v>
      </c>
      <c r="C106" s="6">
        <v>45085</v>
      </c>
      <c r="D106" s="4" t="s">
        <v>4096</v>
      </c>
      <c r="E106" s="4" t="s">
        <v>4054</v>
      </c>
      <c r="F106" s="4">
        <v>562.12</v>
      </c>
      <c r="G106" s="4" t="s">
        <v>28</v>
      </c>
      <c r="H106" s="4" t="s">
        <v>4063</v>
      </c>
      <c r="I106" s="4" t="s">
        <v>4070</v>
      </c>
      <c r="J106" s="4"/>
      <c r="K106" s="4">
        <f>VLOOKUP(G106,Exchange_Rates!A:B,2,FALSE)</f>
        <v>1.27</v>
      </c>
      <c r="L106" s="4">
        <f t="shared" si="1"/>
        <v>713.89240000000007</v>
      </c>
    </row>
    <row r="107" spans="1:12" x14ac:dyDescent="0.25">
      <c r="A107" s="4" t="s">
        <v>4234</v>
      </c>
      <c r="B107" s="4" t="s">
        <v>4115</v>
      </c>
      <c r="C107" s="6">
        <v>45185</v>
      </c>
      <c r="D107" s="4" t="s">
        <v>4053</v>
      </c>
      <c r="E107" s="4" t="s">
        <v>4054</v>
      </c>
      <c r="F107" s="4">
        <v>630.76</v>
      </c>
      <c r="G107" s="4" t="s">
        <v>45</v>
      </c>
      <c r="H107" s="4" t="s">
        <v>4059</v>
      </c>
      <c r="I107" s="4" t="s">
        <v>4087</v>
      </c>
      <c r="J107" s="4"/>
      <c r="K107" s="4">
        <f>VLOOKUP(G107,Exchange_Rates!A:B,2,FALSE)</f>
        <v>1</v>
      </c>
      <c r="L107" s="4">
        <f t="shared" si="1"/>
        <v>630.76</v>
      </c>
    </row>
    <row r="108" spans="1:12" x14ac:dyDescent="0.25">
      <c r="A108" s="4" t="s">
        <v>4235</v>
      </c>
      <c r="B108" s="4" t="s">
        <v>4126</v>
      </c>
      <c r="C108" s="6">
        <v>45676</v>
      </c>
      <c r="D108" s="4" t="s">
        <v>4096</v>
      </c>
      <c r="E108" s="4" t="s">
        <v>4054</v>
      </c>
      <c r="F108" s="4">
        <v>131.05000000000001</v>
      </c>
      <c r="G108" s="4" t="s">
        <v>42</v>
      </c>
      <c r="H108" s="4" t="s">
        <v>4063</v>
      </c>
      <c r="I108" s="4" t="s">
        <v>4087</v>
      </c>
      <c r="J108" s="4"/>
      <c r="K108" s="4">
        <f>VLOOKUP(G108,Exchange_Rates!A:B,2,FALSE)</f>
        <v>0.66</v>
      </c>
      <c r="L108" s="4">
        <f t="shared" si="1"/>
        <v>86.493000000000009</v>
      </c>
    </row>
    <row r="109" spans="1:12" x14ac:dyDescent="0.25">
      <c r="A109" s="4" t="s">
        <v>4236</v>
      </c>
      <c r="B109" s="4" t="s">
        <v>4193</v>
      </c>
      <c r="C109" s="6">
        <v>45196</v>
      </c>
      <c r="D109" s="4" t="s">
        <v>4066</v>
      </c>
      <c r="E109" s="4" t="s">
        <v>4054</v>
      </c>
      <c r="F109" s="4">
        <v>221.45</v>
      </c>
      <c r="G109" s="4" t="s">
        <v>42</v>
      </c>
      <c r="H109" s="4" t="s">
        <v>4097</v>
      </c>
      <c r="I109" s="4" t="s">
        <v>4070</v>
      </c>
      <c r="J109" s="4"/>
      <c r="K109" s="4">
        <f>VLOOKUP(G109,Exchange_Rates!A:B,2,FALSE)</f>
        <v>0.66</v>
      </c>
      <c r="L109" s="4">
        <f t="shared" si="1"/>
        <v>146.15700000000001</v>
      </c>
    </row>
    <row r="110" spans="1:12" x14ac:dyDescent="0.25">
      <c r="A110" s="4" t="s">
        <v>4237</v>
      </c>
      <c r="B110" s="4" t="s">
        <v>4078</v>
      </c>
      <c r="C110" s="6">
        <v>45743</v>
      </c>
      <c r="D110" s="4" t="s">
        <v>4053</v>
      </c>
      <c r="E110" s="4" t="s">
        <v>4054</v>
      </c>
      <c r="F110" s="4">
        <v>431.36</v>
      </c>
      <c r="G110" s="4" t="s">
        <v>64</v>
      </c>
      <c r="H110" s="4" t="s">
        <v>4097</v>
      </c>
      <c r="I110" s="4" t="s">
        <v>4056</v>
      </c>
      <c r="J110" s="4"/>
      <c r="K110" s="4">
        <f>VLOOKUP(G110,Exchange_Rates!A:B,2,FALSE)</f>
        <v>0.73</v>
      </c>
      <c r="L110" s="4">
        <f t="shared" si="1"/>
        <v>314.89280000000002</v>
      </c>
    </row>
    <row r="111" spans="1:12" x14ac:dyDescent="0.25">
      <c r="A111" s="4" t="s">
        <v>4238</v>
      </c>
      <c r="B111" s="4" t="s">
        <v>4239</v>
      </c>
      <c r="C111" s="6">
        <v>45308</v>
      </c>
      <c r="D111" s="4" t="s">
        <v>4069</v>
      </c>
      <c r="E111" s="4" t="s">
        <v>4054</v>
      </c>
      <c r="F111" s="4">
        <v>645.15</v>
      </c>
      <c r="G111" s="4" t="s">
        <v>28</v>
      </c>
      <c r="H111" s="4" t="s">
        <v>4063</v>
      </c>
      <c r="I111" s="4" t="s">
        <v>4056</v>
      </c>
      <c r="J111" s="4"/>
      <c r="K111" s="4">
        <f>VLOOKUP(G111,Exchange_Rates!A:B,2,FALSE)</f>
        <v>1.27</v>
      </c>
      <c r="L111" s="4">
        <f t="shared" si="1"/>
        <v>819.34050000000002</v>
      </c>
    </row>
    <row r="112" spans="1:12" x14ac:dyDescent="0.25">
      <c r="A112" s="4" t="s">
        <v>4240</v>
      </c>
      <c r="B112" s="4" t="s">
        <v>4103</v>
      </c>
      <c r="C112" s="6">
        <v>45241</v>
      </c>
      <c r="D112" s="4" t="s">
        <v>4096</v>
      </c>
      <c r="E112" s="4" t="s">
        <v>4054</v>
      </c>
      <c r="F112" s="4">
        <v>195.96</v>
      </c>
      <c r="G112" s="4" t="s">
        <v>36</v>
      </c>
      <c r="H112" s="4" t="s">
        <v>4059</v>
      </c>
      <c r="I112" s="4" t="s">
        <v>4087</v>
      </c>
      <c r="J112" s="4"/>
      <c r="K112" s="4">
        <f>VLOOKUP(G112,Exchange_Rates!A:B,2,FALSE)</f>
        <v>1.08</v>
      </c>
      <c r="L112" s="4">
        <f t="shared" si="1"/>
        <v>211.63680000000002</v>
      </c>
    </row>
    <row r="113" spans="1:12" x14ac:dyDescent="0.25">
      <c r="A113" s="4" t="s">
        <v>4241</v>
      </c>
      <c r="B113" s="4" t="s">
        <v>4242</v>
      </c>
      <c r="C113" s="6">
        <v>45321</v>
      </c>
      <c r="D113" s="4" t="s">
        <v>4069</v>
      </c>
      <c r="E113" s="4" t="s">
        <v>4054</v>
      </c>
      <c r="F113" s="4">
        <v>496.1</v>
      </c>
      <c r="G113" s="4" t="s">
        <v>64</v>
      </c>
      <c r="H113" s="4" t="s">
        <v>4055</v>
      </c>
      <c r="I113" s="4" t="s">
        <v>4087</v>
      </c>
      <c r="J113" s="6">
        <v>45336</v>
      </c>
      <c r="K113" s="4">
        <f>VLOOKUP(G113,Exchange_Rates!A:B,2,FALSE)</f>
        <v>0.73</v>
      </c>
      <c r="L113" s="4">
        <f t="shared" si="1"/>
        <v>362.15300000000002</v>
      </c>
    </row>
    <row r="114" spans="1:12" x14ac:dyDescent="0.25">
      <c r="A114" s="4" t="s">
        <v>4243</v>
      </c>
      <c r="B114" s="4" t="s">
        <v>4244</v>
      </c>
      <c r="C114" s="6">
        <v>45827</v>
      </c>
      <c r="D114" s="4" t="s">
        <v>4066</v>
      </c>
      <c r="E114" s="4" t="s">
        <v>4054</v>
      </c>
      <c r="F114" s="4">
        <v>274.33</v>
      </c>
      <c r="G114" s="4" t="s">
        <v>28</v>
      </c>
      <c r="H114" s="4" t="s">
        <v>4063</v>
      </c>
      <c r="I114" s="4" t="s">
        <v>4070</v>
      </c>
      <c r="J114" s="4"/>
      <c r="K114" s="4">
        <f>VLOOKUP(G114,Exchange_Rates!A:B,2,FALSE)</f>
        <v>1.27</v>
      </c>
      <c r="L114" s="4">
        <f t="shared" si="1"/>
        <v>348.39909999999998</v>
      </c>
    </row>
    <row r="115" spans="1:12" x14ac:dyDescent="0.25">
      <c r="A115" s="4" t="s">
        <v>4245</v>
      </c>
      <c r="B115" s="4" t="s">
        <v>4199</v>
      </c>
      <c r="C115" s="6">
        <v>45329</v>
      </c>
      <c r="D115" s="4" t="s">
        <v>4062</v>
      </c>
      <c r="E115" s="4" t="s">
        <v>4054</v>
      </c>
      <c r="F115" s="4">
        <v>666.62</v>
      </c>
      <c r="G115" s="4" t="s">
        <v>45</v>
      </c>
      <c r="H115" s="4" t="s">
        <v>4097</v>
      </c>
      <c r="I115" s="4" t="s">
        <v>4056</v>
      </c>
      <c r="J115" s="4"/>
      <c r="K115" s="4">
        <f>VLOOKUP(G115,Exchange_Rates!A:B,2,FALSE)</f>
        <v>1</v>
      </c>
      <c r="L115" s="4">
        <f t="shared" si="1"/>
        <v>666.62</v>
      </c>
    </row>
    <row r="116" spans="1:12" x14ac:dyDescent="0.25">
      <c r="A116" s="4" t="s">
        <v>4246</v>
      </c>
      <c r="B116" s="4" t="s">
        <v>4150</v>
      </c>
      <c r="C116" s="6">
        <v>45375</v>
      </c>
      <c r="D116" s="4" t="s">
        <v>4096</v>
      </c>
      <c r="E116" s="4" t="s">
        <v>4054</v>
      </c>
      <c r="F116" s="4">
        <v>684.94</v>
      </c>
      <c r="G116" s="4" t="s">
        <v>64</v>
      </c>
      <c r="H116" s="4" t="s">
        <v>4059</v>
      </c>
      <c r="I116" s="4" t="s">
        <v>4070</v>
      </c>
      <c r="J116" s="4"/>
      <c r="K116" s="4">
        <f>VLOOKUP(G116,Exchange_Rates!A:B,2,FALSE)</f>
        <v>0.73</v>
      </c>
      <c r="L116" s="4">
        <f t="shared" si="1"/>
        <v>500.00620000000004</v>
      </c>
    </row>
    <row r="117" spans="1:12" x14ac:dyDescent="0.25">
      <c r="A117" s="4" t="s">
        <v>4247</v>
      </c>
      <c r="B117" s="4" t="s">
        <v>4112</v>
      </c>
      <c r="C117" s="6">
        <v>44929</v>
      </c>
      <c r="D117" s="4" t="s">
        <v>4096</v>
      </c>
      <c r="E117" s="4" t="s">
        <v>4054</v>
      </c>
      <c r="F117" s="4">
        <v>454.39</v>
      </c>
      <c r="G117" s="4" t="s">
        <v>64</v>
      </c>
      <c r="H117" s="4" t="s">
        <v>4097</v>
      </c>
      <c r="I117" s="4" t="s">
        <v>4056</v>
      </c>
      <c r="J117" s="4"/>
      <c r="K117" s="4">
        <f>VLOOKUP(G117,Exchange_Rates!A:B,2,FALSE)</f>
        <v>0.73</v>
      </c>
      <c r="L117" s="4">
        <f t="shared" si="1"/>
        <v>331.7047</v>
      </c>
    </row>
    <row r="118" spans="1:12" x14ac:dyDescent="0.25">
      <c r="A118" s="4" t="s">
        <v>4248</v>
      </c>
      <c r="B118" s="4" t="s">
        <v>4180</v>
      </c>
      <c r="C118" s="6">
        <v>45182</v>
      </c>
      <c r="D118" s="4" t="s">
        <v>4096</v>
      </c>
      <c r="E118" s="4" t="s">
        <v>4054</v>
      </c>
      <c r="F118" s="4">
        <v>126.56</v>
      </c>
      <c r="G118" s="4" t="s">
        <v>45</v>
      </c>
      <c r="H118" s="4" t="s">
        <v>4097</v>
      </c>
      <c r="I118" s="4" t="s">
        <v>4070</v>
      </c>
      <c r="J118" s="4"/>
      <c r="K118" s="4">
        <f>VLOOKUP(G118,Exchange_Rates!A:B,2,FALSE)</f>
        <v>1</v>
      </c>
      <c r="L118" s="4">
        <f t="shared" si="1"/>
        <v>126.56</v>
      </c>
    </row>
    <row r="119" spans="1:12" x14ac:dyDescent="0.25">
      <c r="A119" s="4" t="s">
        <v>4249</v>
      </c>
      <c r="B119" s="4" t="s">
        <v>4164</v>
      </c>
      <c r="C119" s="6">
        <v>45026</v>
      </c>
      <c r="D119" s="4" t="s">
        <v>4053</v>
      </c>
      <c r="E119" s="4" t="s">
        <v>4054</v>
      </c>
      <c r="F119" s="4">
        <v>216.88</v>
      </c>
      <c r="G119" s="4" t="s">
        <v>42</v>
      </c>
      <c r="H119" s="4" t="s">
        <v>4055</v>
      </c>
      <c r="I119" s="4" t="s">
        <v>4070</v>
      </c>
      <c r="J119" s="6">
        <v>45041</v>
      </c>
      <c r="K119" s="4">
        <f>VLOOKUP(G119,Exchange_Rates!A:B,2,FALSE)</f>
        <v>0.66</v>
      </c>
      <c r="L119" s="4">
        <f t="shared" si="1"/>
        <v>143.14080000000001</v>
      </c>
    </row>
    <row r="120" spans="1:12" x14ac:dyDescent="0.25">
      <c r="A120" s="4" t="s">
        <v>4250</v>
      </c>
      <c r="B120" s="4" t="s">
        <v>4251</v>
      </c>
      <c r="C120" s="6">
        <v>45687</v>
      </c>
      <c r="D120" s="4" t="s">
        <v>4053</v>
      </c>
      <c r="E120" s="4" t="s">
        <v>4054</v>
      </c>
      <c r="F120" s="4">
        <v>382.72</v>
      </c>
      <c r="G120" s="4" t="s">
        <v>45</v>
      </c>
      <c r="H120" s="4" t="s">
        <v>4055</v>
      </c>
      <c r="I120" s="4" t="s">
        <v>4070</v>
      </c>
      <c r="J120" s="6">
        <v>45702</v>
      </c>
      <c r="K120" s="4">
        <f>VLOOKUP(G120,Exchange_Rates!A:B,2,FALSE)</f>
        <v>1</v>
      </c>
      <c r="L120" s="4">
        <f t="shared" si="1"/>
        <v>382.72</v>
      </c>
    </row>
    <row r="121" spans="1:12" x14ac:dyDescent="0.25">
      <c r="A121" s="4" t="s">
        <v>4252</v>
      </c>
      <c r="B121" s="4" t="s">
        <v>4253</v>
      </c>
      <c r="C121" s="6">
        <v>45142</v>
      </c>
      <c r="D121" s="4" t="s">
        <v>4096</v>
      </c>
      <c r="E121" s="4" t="s">
        <v>4054</v>
      </c>
      <c r="F121" s="4">
        <v>402.05</v>
      </c>
      <c r="G121" s="4" t="s">
        <v>45</v>
      </c>
      <c r="H121" s="4" t="s">
        <v>4059</v>
      </c>
      <c r="I121" s="4" t="s">
        <v>4070</v>
      </c>
      <c r="J121" s="4"/>
      <c r="K121" s="4">
        <f>VLOOKUP(G121,Exchange_Rates!A:B,2,FALSE)</f>
        <v>1</v>
      </c>
      <c r="L121" s="4">
        <f t="shared" si="1"/>
        <v>402.05</v>
      </c>
    </row>
    <row r="122" spans="1:12" x14ac:dyDescent="0.25">
      <c r="A122" s="4" t="s">
        <v>4254</v>
      </c>
      <c r="B122" s="4" t="s">
        <v>4255</v>
      </c>
      <c r="C122" s="6">
        <v>45624</v>
      </c>
      <c r="D122" s="4" t="s">
        <v>4066</v>
      </c>
      <c r="E122" s="4" t="s">
        <v>4054</v>
      </c>
      <c r="F122" s="4">
        <v>80.36</v>
      </c>
      <c r="G122" s="4" t="s">
        <v>64</v>
      </c>
      <c r="H122" s="4" t="s">
        <v>4097</v>
      </c>
      <c r="I122" s="4" t="s">
        <v>4070</v>
      </c>
      <c r="J122" s="4"/>
      <c r="K122" s="4">
        <f>VLOOKUP(G122,Exchange_Rates!A:B,2,FALSE)</f>
        <v>0.73</v>
      </c>
      <c r="L122" s="4">
        <f t="shared" si="1"/>
        <v>58.662799999999997</v>
      </c>
    </row>
    <row r="123" spans="1:12" x14ac:dyDescent="0.25">
      <c r="A123" s="4" t="s">
        <v>4256</v>
      </c>
      <c r="B123" s="4" t="s">
        <v>4232</v>
      </c>
      <c r="C123" s="6">
        <v>45198</v>
      </c>
      <c r="D123" s="4" t="s">
        <v>4096</v>
      </c>
      <c r="E123" s="4" t="s">
        <v>4054</v>
      </c>
      <c r="F123" s="4">
        <v>308.88</v>
      </c>
      <c r="G123" s="4" t="s">
        <v>45</v>
      </c>
      <c r="H123" s="4" t="s">
        <v>4063</v>
      </c>
      <c r="I123" s="4" t="s">
        <v>4070</v>
      </c>
      <c r="J123" s="4"/>
      <c r="K123" s="4">
        <f>VLOOKUP(G123,Exchange_Rates!A:B,2,FALSE)</f>
        <v>1</v>
      </c>
      <c r="L123" s="4">
        <f t="shared" si="1"/>
        <v>308.88</v>
      </c>
    </row>
    <row r="124" spans="1:12" x14ac:dyDescent="0.25">
      <c r="A124" s="4" t="s">
        <v>4257</v>
      </c>
      <c r="B124" s="4" t="s">
        <v>4258</v>
      </c>
      <c r="C124" s="6">
        <v>45110</v>
      </c>
      <c r="D124" s="4" t="s">
        <v>4053</v>
      </c>
      <c r="E124" s="4" t="s">
        <v>4054</v>
      </c>
      <c r="F124" s="4">
        <v>536.16</v>
      </c>
      <c r="G124" s="4" t="s">
        <v>36</v>
      </c>
      <c r="H124" s="4" t="s">
        <v>4063</v>
      </c>
      <c r="I124" s="4" t="s">
        <v>4070</v>
      </c>
      <c r="J124" s="4"/>
      <c r="K124" s="4">
        <f>VLOOKUP(G124,Exchange_Rates!A:B,2,FALSE)</f>
        <v>1.08</v>
      </c>
      <c r="L124" s="4">
        <f t="shared" si="1"/>
        <v>579.05280000000005</v>
      </c>
    </row>
    <row r="125" spans="1:12" x14ac:dyDescent="0.25">
      <c r="A125" s="4" t="s">
        <v>4259</v>
      </c>
      <c r="B125" s="4" t="s">
        <v>4103</v>
      </c>
      <c r="C125" s="6">
        <v>44936</v>
      </c>
      <c r="D125" s="4" t="s">
        <v>4069</v>
      </c>
      <c r="E125" s="4" t="s">
        <v>4054</v>
      </c>
      <c r="F125" s="4">
        <v>300.85000000000002</v>
      </c>
      <c r="G125" s="4" t="s">
        <v>42</v>
      </c>
      <c r="H125" s="4" t="s">
        <v>4097</v>
      </c>
      <c r="I125" s="4" t="s">
        <v>4070</v>
      </c>
      <c r="J125" s="4"/>
      <c r="K125" s="4">
        <f>VLOOKUP(G125,Exchange_Rates!A:B,2,FALSE)</f>
        <v>0.66</v>
      </c>
      <c r="L125" s="4">
        <f t="shared" si="1"/>
        <v>198.56100000000004</v>
      </c>
    </row>
    <row r="126" spans="1:12" x14ac:dyDescent="0.25">
      <c r="A126" s="4" t="s">
        <v>4260</v>
      </c>
      <c r="B126" s="4" t="s">
        <v>4178</v>
      </c>
      <c r="C126" s="6">
        <v>45322</v>
      </c>
      <c r="D126" s="4" t="s">
        <v>4066</v>
      </c>
      <c r="E126" s="4" t="s">
        <v>4054</v>
      </c>
      <c r="F126" s="4">
        <v>729.59</v>
      </c>
      <c r="G126" s="4" t="s">
        <v>36</v>
      </c>
      <c r="H126" s="4" t="s">
        <v>4063</v>
      </c>
      <c r="I126" s="4" t="s">
        <v>4087</v>
      </c>
      <c r="J126" s="4"/>
      <c r="K126" s="4">
        <f>VLOOKUP(G126,Exchange_Rates!A:B,2,FALSE)</f>
        <v>1.08</v>
      </c>
      <c r="L126" s="4">
        <f t="shared" si="1"/>
        <v>787.95720000000006</v>
      </c>
    </row>
    <row r="127" spans="1:12" x14ac:dyDescent="0.25">
      <c r="A127" s="4" t="s">
        <v>4261</v>
      </c>
      <c r="B127" s="4" t="s">
        <v>4232</v>
      </c>
      <c r="C127" s="6">
        <v>45393</v>
      </c>
      <c r="D127" s="4" t="s">
        <v>4066</v>
      </c>
      <c r="E127" s="4" t="s">
        <v>4054</v>
      </c>
      <c r="F127" s="4">
        <v>728.43</v>
      </c>
      <c r="G127" s="4" t="s">
        <v>64</v>
      </c>
      <c r="H127" s="4" t="s">
        <v>4059</v>
      </c>
      <c r="I127" s="4" t="s">
        <v>4070</v>
      </c>
      <c r="J127" s="4"/>
      <c r="K127" s="4">
        <f>VLOOKUP(G127,Exchange_Rates!A:B,2,FALSE)</f>
        <v>0.73</v>
      </c>
      <c r="L127" s="4">
        <f t="shared" si="1"/>
        <v>531.75389999999993</v>
      </c>
    </row>
    <row r="128" spans="1:12" x14ac:dyDescent="0.25">
      <c r="A128" s="4" t="s">
        <v>4262</v>
      </c>
      <c r="B128" s="4" t="s">
        <v>4263</v>
      </c>
      <c r="C128" s="6">
        <v>45087</v>
      </c>
      <c r="D128" s="4" t="s">
        <v>4062</v>
      </c>
      <c r="E128" s="4" t="s">
        <v>4054</v>
      </c>
      <c r="F128" s="4">
        <v>255.21</v>
      </c>
      <c r="G128" s="4" t="s">
        <v>42</v>
      </c>
      <c r="H128" s="4" t="s">
        <v>4097</v>
      </c>
      <c r="I128" s="4" t="s">
        <v>4056</v>
      </c>
      <c r="J128" s="4"/>
      <c r="K128" s="4">
        <f>VLOOKUP(G128,Exchange_Rates!A:B,2,FALSE)</f>
        <v>0.66</v>
      </c>
      <c r="L128" s="4">
        <f t="shared" si="1"/>
        <v>168.43860000000001</v>
      </c>
    </row>
    <row r="129" spans="1:12" x14ac:dyDescent="0.25">
      <c r="A129" s="4" t="s">
        <v>4264</v>
      </c>
      <c r="B129" s="4" t="s">
        <v>4129</v>
      </c>
      <c r="C129" s="6">
        <v>45099</v>
      </c>
      <c r="D129" s="4" t="s">
        <v>4066</v>
      </c>
      <c r="E129" s="4" t="s">
        <v>4054</v>
      </c>
      <c r="F129" s="4">
        <v>353.07</v>
      </c>
      <c r="G129" s="4" t="s">
        <v>64</v>
      </c>
      <c r="H129" s="4" t="s">
        <v>4097</v>
      </c>
      <c r="I129" s="4" t="s">
        <v>4070</v>
      </c>
      <c r="J129" s="4"/>
      <c r="K129" s="4">
        <f>VLOOKUP(G129,Exchange_Rates!A:B,2,FALSE)</f>
        <v>0.73</v>
      </c>
      <c r="L129" s="4">
        <f t="shared" si="1"/>
        <v>257.74109999999996</v>
      </c>
    </row>
    <row r="130" spans="1:12" x14ac:dyDescent="0.25">
      <c r="A130" s="4" t="s">
        <v>4265</v>
      </c>
      <c r="B130" s="4" t="s">
        <v>4180</v>
      </c>
      <c r="C130" s="6">
        <v>45521</v>
      </c>
      <c r="D130" s="4" t="s">
        <v>4062</v>
      </c>
      <c r="E130" s="4" t="s">
        <v>4054</v>
      </c>
      <c r="F130" s="4">
        <v>132.77000000000001</v>
      </c>
      <c r="G130" s="4" t="s">
        <v>42</v>
      </c>
      <c r="H130" s="4" t="s">
        <v>4059</v>
      </c>
      <c r="I130" s="4" t="s">
        <v>4087</v>
      </c>
      <c r="J130" s="4"/>
      <c r="K130" s="4">
        <f>VLOOKUP(G130,Exchange_Rates!A:B,2,FALSE)</f>
        <v>0.66</v>
      </c>
      <c r="L130" s="4">
        <f t="shared" si="1"/>
        <v>87.628200000000007</v>
      </c>
    </row>
    <row r="131" spans="1:12" x14ac:dyDescent="0.25">
      <c r="A131" s="4" t="s">
        <v>4266</v>
      </c>
      <c r="B131" s="4" t="s">
        <v>4267</v>
      </c>
      <c r="C131" s="6">
        <v>45450</v>
      </c>
      <c r="D131" s="4" t="s">
        <v>4053</v>
      </c>
      <c r="E131" s="4" t="s">
        <v>4054</v>
      </c>
      <c r="F131" s="4">
        <v>480.47</v>
      </c>
      <c r="G131" s="4" t="s">
        <v>36</v>
      </c>
      <c r="H131" s="4" t="s">
        <v>4063</v>
      </c>
      <c r="I131" s="4" t="s">
        <v>4087</v>
      </c>
      <c r="J131" s="4"/>
      <c r="K131" s="4">
        <f>VLOOKUP(G131,Exchange_Rates!A:B,2,FALSE)</f>
        <v>1.08</v>
      </c>
      <c r="L131" s="4">
        <f t="shared" ref="L131:L194" si="2">F131*K131</f>
        <v>518.90760000000012</v>
      </c>
    </row>
    <row r="132" spans="1:12" x14ac:dyDescent="0.25">
      <c r="A132" s="4" t="s">
        <v>4268</v>
      </c>
      <c r="B132" s="4" t="s">
        <v>4269</v>
      </c>
      <c r="C132" s="6">
        <v>45590</v>
      </c>
      <c r="D132" s="4" t="s">
        <v>4066</v>
      </c>
      <c r="E132" s="4" t="s">
        <v>4054</v>
      </c>
      <c r="F132" s="4">
        <v>68.2</v>
      </c>
      <c r="G132" s="4" t="s">
        <v>45</v>
      </c>
      <c r="H132" s="4" t="s">
        <v>4059</v>
      </c>
      <c r="I132" s="4" t="s">
        <v>4056</v>
      </c>
      <c r="J132" s="4"/>
      <c r="K132" s="4">
        <f>VLOOKUP(G132,Exchange_Rates!A:B,2,FALSE)</f>
        <v>1</v>
      </c>
      <c r="L132" s="4">
        <f t="shared" si="2"/>
        <v>68.2</v>
      </c>
    </row>
    <row r="133" spans="1:12" x14ac:dyDescent="0.25">
      <c r="A133" s="4" t="s">
        <v>4270</v>
      </c>
      <c r="B133" s="4" t="s">
        <v>4242</v>
      </c>
      <c r="C133" s="6">
        <v>45376</v>
      </c>
      <c r="D133" s="4" t="s">
        <v>4096</v>
      </c>
      <c r="E133" s="4" t="s">
        <v>4054</v>
      </c>
      <c r="F133" s="4">
        <v>489.12</v>
      </c>
      <c r="G133" s="4" t="s">
        <v>42</v>
      </c>
      <c r="H133" s="4" t="s">
        <v>4059</v>
      </c>
      <c r="I133" s="4" t="s">
        <v>4087</v>
      </c>
      <c r="J133" s="4"/>
      <c r="K133" s="4">
        <f>VLOOKUP(G133,Exchange_Rates!A:B,2,FALSE)</f>
        <v>0.66</v>
      </c>
      <c r="L133" s="4">
        <f t="shared" si="2"/>
        <v>322.81920000000002</v>
      </c>
    </row>
    <row r="134" spans="1:12" x14ac:dyDescent="0.25">
      <c r="A134" s="4" t="s">
        <v>4271</v>
      </c>
      <c r="B134" s="4" t="s">
        <v>4134</v>
      </c>
      <c r="C134" s="6">
        <v>45187</v>
      </c>
      <c r="D134" s="4" t="s">
        <v>4062</v>
      </c>
      <c r="E134" s="4" t="s">
        <v>4054</v>
      </c>
      <c r="F134" s="4">
        <v>36.57</v>
      </c>
      <c r="G134" s="4" t="s">
        <v>28</v>
      </c>
      <c r="H134" s="4" t="s">
        <v>4063</v>
      </c>
      <c r="I134" s="4" t="s">
        <v>4056</v>
      </c>
      <c r="J134" s="4"/>
      <c r="K134" s="4">
        <f>VLOOKUP(G134,Exchange_Rates!A:B,2,FALSE)</f>
        <v>1.27</v>
      </c>
      <c r="L134" s="4">
        <f t="shared" si="2"/>
        <v>46.443899999999999</v>
      </c>
    </row>
    <row r="135" spans="1:12" x14ac:dyDescent="0.25">
      <c r="A135" s="4" t="s">
        <v>4272</v>
      </c>
      <c r="B135" s="4" t="s">
        <v>4273</v>
      </c>
      <c r="C135" s="6">
        <v>45540</v>
      </c>
      <c r="D135" s="4" t="s">
        <v>4062</v>
      </c>
      <c r="E135" s="4" t="s">
        <v>4054</v>
      </c>
      <c r="F135" s="4">
        <v>230.07</v>
      </c>
      <c r="G135" s="4" t="s">
        <v>36</v>
      </c>
      <c r="H135" s="4" t="s">
        <v>4097</v>
      </c>
      <c r="I135" s="4" t="s">
        <v>4056</v>
      </c>
      <c r="J135" s="4"/>
      <c r="K135" s="4">
        <f>VLOOKUP(G135,Exchange_Rates!A:B,2,FALSE)</f>
        <v>1.08</v>
      </c>
      <c r="L135" s="4">
        <f t="shared" si="2"/>
        <v>248.47560000000001</v>
      </c>
    </row>
    <row r="136" spans="1:12" x14ac:dyDescent="0.25">
      <c r="A136" s="4" t="s">
        <v>4274</v>
      </c>
      <c r="B136" s="4" t="s">
        <v>4204</v>
      </c>
      <c r="C136" s="6">
        <v>45367</v>
      </c>
      <c r="D136" s="4" t="s">
        <v>4062</v>
      </c>
      <c r="E136" s="4" t="s">
        <v>4054</v>
      </c>
      <c r="F136" s="4">
        <v>623.36</v>
      </c>
      <c r="G136" s="4" t="s">
        <v>42</v>
      </c>
      <c r="H136" s="4" t="s">
        <v>4097</v>
      </c>
      <c r="I136" s="4" t="s">
        <v>4087</v>
      </c>
      <c r="J136" s="4"/>
      <c r="K136" s="4">
        <f>VLOOKUP(G136,Exchange_Rates!A:B,2,FALSE)</f>
        <v>0.66</v>
      </c>
      <c r="L136" s="4">
        <f t="shared" si="2"/>
        <v>411.41760000000005</v>
      </c>
    </row>
    <row r="137" spans="1:12" x14ac:dyDescent="0.25">
      <c r="A137" s="4" t="s">
        <v>4275</v>
      </c>
      <c r="B137" s="4" t="s">
        <v>4162</v>
      </c>
      <c r="C137" s="6">
        <v>45206</v>
      </c>
      <c r="D137" s="4" t="s">
        <v>4066</v>
      </c>
      <c r="E137" s="4" t="s">
        <v>4054</v>
      </c>
      <c r="F137" s="4">
        <v>562.78</v>
      </c>
      <c r="G137" s="4" t="s">
        <v>64</v>
      </c>
      <c r="H137" s="4" t="s">
        <v>4059</v>
      </c>
      <c r="I137" s="4" t="s">
        <v>4087</v>
      </c>
      <c r="J137" s="4"/>
      <c r="K137" s="4">
        <f>VLOOKUP(G137,Exchange_Rates!A:B,2,FALSE)</f>
        <v>0.73</v>
      </c>
      <c r="L137" s="4">
        <f t="shared" si="2"/>
        <v>410.82939999999996</v>
      </c>
    </row>
    <row r="138" spans="1:12" x14ac:dyDescent="0.25">
      <c r="A138" s="4" t="s">
        <v>4276</v>
      </c>
      <c r="B138" s="4" t="s">
        <v>4253</v>
      </c>
      <c r="C138" s="6">
        <v>45372</v>
      </c>
      <c r="D138" s="4" t="s">
        <v>4066</v>
      </c>
      <c r="E138" s="4" t="s">
        <v>4054</v>
      </c>
      <c r="F138" s="4">
        <v>123.35</v>
      </c>
      <c r="G138" s="4" t="s">
        <v>45</v>
      </c>
      <c r="H138" s="4" t="s">
        <v>4063</v>
      </c>
      <c r="I138" s="4" t="s">
        <v>4070</v>
      </c>
      <c r="J138" s="4"/>
      <c r="K138" s="4">
        <f>VLOOKUP(G138,Exchange_Rates!A:B,2,FALSE)</f>
        <v>1</v>
      </c>
      <c r="L138" s="4">
        <f t="shared" si="2"/>
        <v>123.35</v>
      </c>
    </row>
    <row r="139" spans="1:12" x14ac:dyDescent="0.25">
      <c r="A139" s="4" t="s">
        <v>4277</v>
      </c>
      <c r="B139" s="4" t="s">
        <v>4095</v>
      </c>
      <c r="C139" s="6">
        <v>45148</v>
      </c>
      <c r="D139" s="4" t="s">
        <v>4069</v>
      </c>
      <c r="E139" s="4" t="s">
        <v>4054</v>
      </c>
      <c r="F139" s="4">
        <v>620.17999999999995</v>
      </c>
      <c r="G139" s="4" t="s">
        <v>64</v>
      </c>
      <c r="H139" s="4" t="s">
        <v>4097</v>
      </c>
      <c r="I139" s="4" t="s">
        <v>4070</v>
      </c>
      <c r="J139" s="4"/>
      <c r="K139" s="4">
        <f>VLOOKUP(G139,Exchange_Rates!A:B,2,FALSE)</f>
        <v>0.73</v>
      </c>
      <c r="L139" s="4">
        <f t="shared" si="2"/>
        <v>452.73139999999995</v>
      </c>
    </row>
    <row r="140" spans="1:12" x14ac:dyDescent="0.25">
      <c r="A140" s="4" t="s">
        <v>4278</v>
      </c>
      <c r="B140" s="4" t="s">
        <v>4197</v>
      </c>
      <c r="C140" s="6">
        <v>45815</v>
      </c>
      <c r="D140" s="4" t="s">
        <v>4069</v>
      </c>
      <c r="E140" s="4" t="s">
        <v>4054</v>
      </c>
      <c r="F140" s="4">
        <v>317.8</v>
      </c>
      <c r="G140" s="4" t="s">
        <v>36</v>
      </c>
      <c r="H140" s="4" t="s">
        <v>4063</v>
      </c>
      <c r="I140" s="4" t="s">
        <v>4070</v>
      </c>
      <c r="J140" s="4"/>
      <c r="K140" s="4">
        <f>VLOOKUP(G140,Exchange_Rates!A:B,2,FALSE)</f>
        <v>1.08</v>
      </c>
      <c r="L140" s="4">
        <f t="shared" si="2"/>
        <v>343.22400000000005</v>
      </c>
    </row>
    <row r="141" spans="1:12" x14ac:dyDescent="0.25">
      <c r="A141" s="4" t="s">
        <v>4279</v>
      </c>
      <c r="B141" s="4" t="s">
        <v>4280</v>
      </c>
      <c r="C141" s="6">
        <v>45722</v>
      </c>
      <c r="D141" s="4" t="s">
        <v>4069</v>
      </c>
      <c r="E141" s="4" t="s">
        <v>4054</v>
      </c>
      <c r="F141" s="4">
        <v>338.95</v>
      </c>
      <c r="G141" s="4" t="s">
        <v>64</v>
      </c>
      <c r="H141" s="4" t="s">
        <v>4097</v>
      </c>
      <c r="I141" s="4" t="s">
        <v>4056</v>
      </c>
      <c r="J141" s="4"/>
      <c r="K141" s="4">
        <f>VLOOKUP(G141,Exchange_Rates!A:B,2,FALSE)</f>
        <v>0.73</v>
      </c>
      <c r="L141" s="4">
        <f t="shared" si="2"/>
        <v>247.43349999999998</v>
      </c>
    </row>
    <row r="142" spans="1:12" x14ac:dyDescent="0.25">
      <c r="A142" s="4" t="s">
        <v>4281</v>
      </c>
      <c r="B142" s="4" t="s">
        <v>4138</v>
      </c>
      <c r="C142" s="6">
        <v>45196</v>
      </c>
      <c r="D142" s="4" t="s">
        <v>4069</v>
      </c>
      <c r="E142" s="4" t="s">
        <v>4054</v>
      </c>
      <c r="F142" s="4">
        <v>22.58</v>
      </c>
      <c r="G142" s="4" t="s">
        <v>45</v>
      </c>
      <c r="H142" s="4" t="s">
        <v>4055</v>
      </c>
      <c r="I142" s="4" t="s">
        <v>4087</v>
      </c>
      <c r="J142" s="6">
        <v>45211</v>
      </c>
      <c r="K142" s="4">
        <f>VLOOKUP(G142,Exchange_Rates!A:B,2,FALSE)</f>
        <v>1</v>
      </c>
      <c r="L142" s="4">
        <f t="shared" si="2"/>
        <v>22.58</v>
      </c>
    </row>
    <row r="143" spans="1:12" x14ac:dyDescent="0.25">
      <c r="A143" s="4" t="s">
        <v>4282</v>
      </c>
      <c r="B143" s="4" t="s">
        <v>4152</v>
      </c>
      <c r="C143" s="6">
        <v>45161</v>
      </c>
      <c r="D143" s="4" t="s">
        <v>4066</v>
      </c>
      <c r="E143" s="4" t="s">
        <v>4054</v>
      </c>
      <c r="F143" s="4">
        <v>437.96</v>
      </c>
      <c r="G143" s="4" t="s">
        <v>64</v>
      </c>
      <c r="H143" s="4" t="s">
        <v>4059</v>
      </c>
      <c r="I143" s="4" t="s">
        <v>4056</v>
      </c>
      <c r="J143" s="4"/>
      <c r="K143" s="4">
        <f>VLOOKUP(G143,Exchange_Rates!A:B,2,FALSE)</f>
        <v>0.73</v>
      </c>
      <c r="L143" s="4">
        <f t="shared" si="2"/>
        <v>319.71079999999995</v>
      </c>
    </row>
    <row r="144" spans="1:12" x14ac:dyDescent="0.25">
      <c r="A144" s="4" t="s">
        <v>4283</v>
      </c>
      <c r="B144" s="4" t="s">
        <v>4156</v>
      </c>
      <c r="C144" s="6">
        <v>45148</v>
      </c>
      <c r="D144" s="4" t="s">
        <v>4069</v>
      </c>
      <c r="E144" s="4" t="s">
        <v>4054</v>
      </c>
      <c r="F144" s="4">
        <v>349.41</v>
      </c>
      <c r="G144" s="4" t="s">
        <v>42</v>
      </c>
      <c r="H144" s="4" t="s">
        <v>4059</v>
      </c>
      <c r="I144" s="4" t="s">
        <v>4087</v>
      </c>
      <c r="J144" s="4"/>
      <c r="K144" s="4">
        <f>VLOOKUP(G144,Exchange_Rates!A:B,2,FALSE)</f>
        <v>0.66</v>
      </c>
      <c r="L144" s="4">
        <f t="shared" si="2"/>
        <v>230.61060000000003</v>
      </c>
    </row>
    <row r="145" spans="1:12" x14ac:dyDescent="0.25">
      <c r="A145" s="4" t="s">
        <v>4284</v>
      </c>
      <c r="B145" s="4" t="s">
        <v>4166</v>
      </c>
      <c r="C145" s="6">
        <v>45099</v>
      </c>
      <c r="D145" s="4" t="s">
        <v>4066</v>
      </c>
      <c r="E145" s="4" t="s">
        <v>4054</v>
      </c>
      <c r="F145" s="4">
        <v>338.93</v>
      </c>
      <c r="G145" s="4" t="s">
        <v>36</v>
      </c>
      <c r="H145" s="4" t="s">
        <v>4097</v>
      </c>
      <c r="I145" s="4" t="s">
        <v>4070</v>
      </c>
      <c r="J145" s="4"/>
      <c r="K145" s="4">
        <f>VLOOKUP(G145,Exchange_Rates!A:B,2,FALSE)</f>
        <v>1.08</v>
      </c>
      <c r="L145" s="4">
        <f t="shared" si="2"/>
        <v>366.04440000000005</v>
      </c>
    </row>
    <row r="146" spans="1:12" x14ac:dyDescent="0.25">
      <c r="A146" s="4" t="s">
        <v>4285</v>
      </c>
      <c r="B146" s="4" t="s">
        <v>4076</v>
      </c>
      <c r="C146" s="6">
        <v>45161</v>
      </c>
      <c r="D146" s="4" t="s">
        <v>4066</v>
      </c>
      <c r="E146" s="4" t="s">
        <v>4054</v>
      </c>
      <c r="F146" s="4">
        <v>135.24</v>
      </c>
      <c r="G146" s="4" t="s">
        <v>28</v>
      </c>
      <c r="H146" s="4" t="s">
        <v>4063</v>
      </c>
      <c r="I146" s="4" t="s">
        <v>4056</v>
      </c>
      <c r="J146" s="4"/>
      <c r="K146" s="4">
        <f>VLOOKUP(G146,Exchange_Rates!A:B,2,FALSE)</f>
        <v>1.27</v>
      </c>
      <c r="L146" s="4">
        <f t="shared" si="2"/>
        <v>171.75480000000002</v>
      </c>
    </row>
    <row r="147" spans="1:12" x14ac:dyDescent="0.25">
      <c r="A147" s="4" t="s">
        <v>4286</v>
      </c>
      <c r="B147" s="4" t="s">
        <v>4101</v>
      </c>
      <c r="C147" s="6">
        <v>44942</v>
      </c>
      <c r="D147" s="4" t="s">
        <v>4069</v>
      </c>
      <c r="E147" s="4" t="s">
        <v>4054</v>
      </c>
      <c r="F147" s="4">
        <v>460.95</v>
      </c>
      <c r="G147" s="4" t="s">
        <v>64</v>
      </c>
      <c r="H147" s="4" t="s">
        <v>4055</v>
      </c>
      <c r="I147" s="4" t="s">
        <v>4056</v>
      </c>
      <c r="J147" s="6">
        <v>44957</v>
      </c>
      <c r="K147" s="4">
        <f>VLOOKUP(G147,Exchange_Rates!A:B,2,FALSE)</f>
        <v>0.73</v>
      </c>
      <c r="L147" s="4">
        <f t="shared" si="2"/>
        <v>336.49349999999998</v>
      </c>
    </row>
    <row r="148" spans="1:12" x14ac:dyDescent="0.25">
      <c r="A148" s="4" t="s">
        <v>4287</v>
      </c>
      <c r="B148" s="4" t="s">
        <v>4258</v>
      </c>
      <c r="C148" s="6">
        <v>45355</v>
      </c>
      <c r="D148" s="4" t="s">
        <v>4096</v>
      </c>
      <c r="E148" s="4" t="s">
        <v>4054</v>
      </c>
      <c r="F148" s="4">
        <v>783.51</v>
      </c>
      <c r="G148" s="4" t="s">
        <v>64</v>
      </c>
      <c r="H148" s="4" t="s">
        <v>4059</v>
      </c>
      <c r="I148" s="4" t="s">
        <v>4070</v>
      </c>
      <c r="J148" s="4"/>
      <c r="K148" s="4">
        <f>VLOOKUP(G148,Exchange_Rates!A:B,2,FALSE)</f>
        <v>0.73</v>
      </c>
      <c r="L148" s="4">
        <f t="shared" si="2"/>
        <v>571.96230000000003</v>
      </c>
    </row>
    <row r="149" spans="1:12" x14ac:dyDescent="0.25">
      <c r="A149" s="4" t="s">
        <v>4288</v>
      </c>
      <c r="B149" s="4" t="s">
        <v>4095</v>
      </c>
      <c r="C149" s="6">
        <v>45640</v>
      </c>
      <c r="D149" s="4" t="s">
        <v>4069</v>
      </c>
      <c r="E149" s="4" t="s">
        <v>4054</v>
      </c>
      <c r="F149" s="4">
        <v>259.25</v>
      </c>
      <c r="G149" s="4" t="s">
        <v>36</v>
      </c>
      <c r="H149" s="4" t="s">
        <v>4059</v>
      </c>
      <c r="I149" s="4" t="s">
        <v>4056</v>
      </c>
      <c r="J149" s="4"/>
      <c r="K149" s="4">
        <f>VLOOKUP(G149,Exchange_Rates!A:B,2,FALSE)</f>
        <v>1.08</v>
      </c>
      <c r="L149" s="4">
        <f t="shared" si="2"/>
        <v>279.99</v>
      </c>
    </row>
    <row r="150" spans="1:12" x14ac:dyDescent="0.25">
      <c r="A150" s="4" t="s">
        <v>4289</v>
      </c>
      <c r="B150" s="4" t="s">
        <v>4206</v>
      </c>
      <c r="C150" s="6">
        <v>45469</v>
      </c>
      <c r="D150" s="4" t="s">
        <v>4096</v>
      </c>
      <c r="E150" s="4" t="s">
        <v>4054</v>
      </c>
      <c r="F150" s="4">
        <v>795.64</v>
      </c>
      <c r="G150" s="4" t="s">
        <v>45</v>
      </c>
      <c r="H150" s="4" t="s">
        <v>4097</v>
      </c>
      <c r="I150" s="4" t="s">
        <v>4056</v>
      </c>
      <c r="J150" s="4"/>
      <c r="K150" s="4">
        <f>VLOOKUP(G150,Exchange_Rates!A:B,2,FALSE)</f>
        <v>1</v>
      </c>
      <c r="L150" s="4">
        <f t="shared" si="2"/>
        <v>795.64</v>
      </c>
    </row>
    <row r="151" spans="1:12" x14ac:dyDescent="0.25">
      <c r="A151" s="4" t="s">
        <v>4290</v>
      </c>
      <c r="B151" s="4" t="s">
        <v>4225</v>
      </c>
      <c r="C151" s="6">
        <v>45476</v>
      </c>
      <c r="D151" s="4" t="s">
        <v>4066</v>
      </c>
      <c r="E151" s="4" t="s">
        <v>4054</v>
      </c>
      <c r="F151" s="4">
        <v>150.08000000000001</v>
      </c>
      <c r="G151" s="4" t="s">
        <v>45</v>
      </c>
      <c r="H151" s="4" t="s">
        <v>4055</v>
      </c>
      <c r="I151" s="4" t="s">
        <v>4056</v>
      </c>
      <c r="J151" s="6">
        <v>45491</v>
      </c>
      <c r="K151" s="4">
        <f>VLOOKUP(G151,Exchange_Rates!A:B,2,FALSE)</f>
        <v>1</v>
      </c>
      <c r="L151" s="4">
        <f t="shared" si="2"/>
        <v>150.08000000000001</v>
      </c>
    </row>
    <row r="152" spans="1:12" x14ac:dyDescent="0.25">
      <c r="A152" s="4" t="s">
        <v>4291</v>
      </c>
      <c r="B152" s="4" t="s">
        <v>4204</v>
      </c>
      <c r="C152" s="6">
        <v>45666</v>
      </c>
      <c r="D152" s="4" t="s">
        <v>4062</v>
      </c>
      <c r="E152" s="4" t="s">
        <v>4054</v>
      </c>
      <c r="F152" s="4">
        <v>468.66</v>
      </c>
      <c r="G152" s="4" t="s">
        <v>28</v>
      </c>
      <c r="H152" s="4" t="s">
        <v>4097</v>
      </c>
      <c r="I152" s="4" t="s">
        <v>4087</v>
      </c>
      <c r="J152" s="4"/>
      <c r="K152" s="4">
        <f>VLOOKUP(G152,Exchange_Rates!A:B,2,FALSE)</f>
        <v>1.27</v>
      </c>
      <c r="L152" s="4">
        <f t="shared" si="2"/>
        <v>595.19820000000004</v>
      </c>
    </row>
    <row r="153" spans="1:12" x14ac:dyDescent="0.25">
      <c r="A153" s="4" t="s">
        <v>4292</v>
      </c>
      <c r="B153" s="4" t="s">
        <v>4173</v>
      </c>
      <c r="C153" s="6">
        <v>45783</v>
      </c>
      <c r="D153" s="4" t="s">
        <v>4053</v>
      </c>
      <c r="E153" s="4" t="s">
        <v>4054</v>
      </c>
      <c r="F153" s="4">
        <v>215.09</v>
      </c>
      <c r="G153" s="4" t="s">
        <v>28</v>
      </c>
      <c r="H153" s="4" t="s">
        <v>4097</v>
      </c>
      <c r="I153" s="4" t="s">
        <v>4070</v>
      </c>
      <c r="J153" s="4"/>
      <c r="K153" s="4">
        <f>VLOOKUP(G153,Exchange_Rates!A:B,2,FALSE)</f>
        <v>1.27</v>
      </c>
      <c r="L153" s="4">
        <f t="shared" si="2"/>
        <v>273.16430000000003</v>
      </c>
    </row>
    <row r="154" spans="1:12" x14ac:dyDescent="0.25">
      <c r="A154" s="4" t="s">
        <v>4293</v>
      </c>
      <c r="B154" s="4" t="s">
        <v>4197</v>
      </c>
      <c r="C154" s="6">
        <v>45155</v>
      </c>
      <c r="D154" s="4" t="s">
        <v>4066</v>
      </c>
      <c r="E154" s="4" t="s">
        <v>4054</v>
      </c>
      <c r="F154" s="4">
        <v>249.65</v>
      </c>
      <c r="G154" s="4" t="s">
        <v>42</v>
      </c>
      <c r="H154" s="4" t="s">
        <v>4063</v>
      </c>
      <c r="I154" s="4" t="s">
        <v>4070</v>
      </c>
      <c r="J154" s="4"/>
      <c r="K154" s="4">
        <f>VLOOKUP(G154,Exchange_Rates!A:B,2,FALSE)</f>
        <v>0.66</v>
      </c>
      <c r="L154" s="4">
        <f t="shared" si="2"/>
        <v>164.76900000000001</v>
      </c>
    </row>
    <row r="155" spans="1:12" x14ac:dyDescent="0.25">
      <c r="A155" s="4" t="s">
        <v>4294</v>
      </c>
      <c r="B155" s="4" t="s">
        <v>4295</v>
      </c>
      <c r="C155" s="6">
        <v>45167</v>
      </c>
      <c r="D155" s="4" t="s">
        <v>4069</v>
      </c>
      <c r="E155" s="4" t="s">
        <v>4054</v>
      </c>
      <c r="F155" s="4">
        <v>20.149999999999999</v>
      </c>
      <c r="G155" s="4" t="s">
        <v>36</v>
      </c>
      <c r="H155" s="4" t="s">
        <v>4055</v>
      </c>
      <c r="I155" s="4" t="s">
        <v>4087</v>
      </c>
      <c r="J155" s="6">
        <v>45182</v>
      </c>
      <c r="K155" s="4">
        <f>VLOOKUP(G155,Exchange_Rates!A:B,2,FALSE)</f>
        <v>1.08</v>
      </c>
      <c r="L155" s="4">
        <f t="shared" si="2"/>
        <v>21.762</v>
      </c>
    </row>
    <row r="156" spans="1:12" x14ac:dyDescent="0.25">
      <c r="A156" s="4" t="s">
        <v>4296</v>
      </c>
      <c r="B156" s="4" t="s">
        <v>4150</v>
      </c>
      <c r="C156" s="6">
        <v>45013</v>
      </c>
      <c r="D156" s="4" t="s">
        <v>4062</v>
      </c>
      <c r="E156" s="4" t="s">
        <v>4054</v>
      </c>
      <c r="F156" s="4">
        <v>603.91</v>
      </c>
      <c r="G156" s="4" t="s">
        <v>45</v>
      </c>
      <c r="H156" s="4" t="s">
        <v>4097</v>
      </c>
      <c r="I156" s="4" t="s">
        <v>4056</v>
      </c>
      <c r="J156" s="4"/>
      <c r="K156" s="4">
        <f>VLOOKUP(G156,Exchange_Rates!A:B,2,FALSE)</f>
        <v>1</v>
      </c>
      <c r="L156" s="4">
        <f t="shared" si="2"/>
        <v>603.91</v>
      </c>
    </row>
    <row r="157" spans="1:12" x14ac:dyDescent="0.25">
      <c r="A157" s="4" t="s">
        <v>4297</v>
      </c>
      <c r="B157" s="4" t="s">
        <v>4180</v>
      </c>
      <c r="C157" s="6">
        <v>45656</v>
      </c>
      <c r="D157" s="4" t="s">
        <v>4069</v>
      </c>
      <c r="E157" s="4" t="s">
        <v>4054</v>
      </c>
      <c r="F157" s="4">
        <v>283.74</v>
      </c>
      <c r="G157" s="4" t="s">
        <v>42</v>
      </c>
      <c r="H157" s="4" t="s">
        <v>4059</v>
      </c>
      <c r="I157" s="4" t="s">
        <v>4087</v>
      </c>
      <c r="J157" s="4"/>
      <c r="K157" s="4">
        <f>VLOOKUP(G157,Exchange_Rates!A:B,2,FALSE)</f>
        <v>0.66</v>
      </c>
      <c r="L157" s="4">
        <f t="shared" si="2"/>
        <v>187.26840000000001</v>
      </c>
    </row>
    <row r="158" spans="1:12" x14ac:dyDescent="0.25">
      <c r="A158" s="4" t="s">
        <v>4298</v>
      </c>
      <c r="B158" s="4" t="s">
        <v>4230</v>
      </c>
      <c r="C158" s="6">
        <v>45484</v>
      </c>
      <c r="D158" s="4" t="s">
        <v>4062</v>
      </c>
      <c r="E158" s="4" t="s">
        <v>4054</v>
      </c>
      <c r="F158" s="4">
        <v>239.94</v>
      </c>
      <c r="G158" s="4" t="s">
        <v>36</v>
      </c>
      <c r="H158" s="4" t="s">
        <v>4055</v>
      </c>
      <c r="I158" s="4" t="s">
        <v>4056</v>
      </c>
      <c r="J158" s="6">
        <v>45499</v>
      </c>
      <c r="K158" s="4">
        <f>VLOOKUP(G158,Exchange_Rates!A:B,2,FALSE)</f>
        <v>1.08</v>
      </c>
      <c r="L158" s="4">
        <f t="shared" si="2"/>
        <v>259.1352</v>
      </c>
    </row>
    <row r="159" spans="1:12" x14ac:dyDescent="0.25">
      <c r="A159" s="4" t="s">
        <v>4299</v>
      </c>
      <c r="B159" s="4" t="s">
        <v>4300</v>
      </c>
      <c r="C159" s="6">
        <v>45153</v>
      </c>
      <c r="D159" s="4" t="s">
        <v>4096</v>
      </c>
      <c r="E159" s="4" t="s">
        <v>4054</v>
      </c>
      <c r="F159" s="4">
        <v>246.02</v>
      </c>
      <c r="G159" s="4" t="s">
        <v>64</v>
      </c>
      <c r="H159" s="4" t="s">
        <v>4063</v>
      </c>
      <c r="I159" s="4" t="s">
        <v>4070</v>
      </c>
      <c r="J159" s="4"/>
      <c r="K159" s="4">
        <f>VLOOKUP(G159,Exchange_Rates!A:B,2,FALSE)</f>
        <v>0.73</v>
      </c>
      <c r="L159" s="4">
        <f t="shared" si="2"/>
        <v>179.59460000000001</v>
      </c>
    </row>
    <row r="160" spans="1:12" x14ac:dyDescent="0.25">
      <c r="A160" s="4" t="s">
        <v>4301</v>
      </c>
      <c r="B160" s="4" t="s">
        <v>4302</v>
      </c>
      <c r="C160" s="6">
        <v>45622</v>
      </c>
      <c r="D160" s="4" t="s">
        <v>4066</v>
      </c>
      <c r="E160" s="4" t="s">
        <v>4054</v>
      </c>
      <c r="F160" s="4">
        <v>81.08</v>
      </c>
      <c r="G160" s="4" t="s">
        <v>64</v>
      </c>
      <c r="H160" s="4" t="s">
        <v>4059</v>
      </c>
      <c r="I160" s="4" t="s">
        <v>4070</v>
      </c>
      <c r="J160" s="4"/>
      <c r="K160" s="4">
        <f>VLOOKUP(G160,Exchange_Rates!A:B,2,FALSE)</f>
        <v>0.73</v>
      </c>
      <c r="L160" s="4">
        <f t="shared" si="2"/>
        <v>59.188399999999994</v>
      </c>
    </row>
    <row r="161" spans="1:12" x14ac:dyDescent="0.25">
      <c r="A161" s="4" t="s">
        <v>4303</v>
      </c>
      <c r="B161" s="4" t="s">
        <v>4304</v>
      </c>
      <c r="C161" s="6">
        <v>45217</v>
      </c>
      <c r="D161" s="4" t="s">
        <v>4066</v>
      </c>
      <c r="E161" s="4" t="s">
        <v>4054</v>
      </c>
      <c r="F161" s="4">
        <v>380.52</v>
      </c>
      <c r="G161" s="4" t="s">
        <v>28</v>
      </c>
      <c r="H161" s="4" t="s">
        <v>4097</v>
      </c>
      <c r="I161" s="4" t="s">
        <v>4056</v>
      </c>
      <c r="J161" s="4"/>
      <c r="K161" s="4">
        <f>VLOOKUP(G161,Exchange_Rates!A:B,2,FALSE)</f>
        <v>1.27</v>
      </c>
      <c r="L161" s="4">
        <f t="shared" si="2"/>
        <v>483.2604</v>
      </c>
    </row>
    <row r="162" spans="1:12" x14ac:dyDescent="0.25">
      <c r="A162" s="4" t="s">
        <v>4305</v>
      </c>
      <c r="B162" s="4" t="s">
        <v>4306</v>
      </c>
      <c r="C162" s="6">
        <v>45663</v>
      </c>
      <c r="D162" s="4" t="s">
        <v>4066</v>
      </c>
      <c r="E162" s="4" t="s">
        <v>4054</v>
      </c>
      <c r="F162" s="4">
        <v>338.32</v>
      </c>
      <c r="G162" s="4" t="s">
        <v>28</v>
      </c>
      <c r="H162" s="4" t="s">
        <v>4059</v>
      </c>
      <c r="I162" s="4" t="s">
        <v>4056</v>
      </c>
      <c r="J162" s="4"/>
      <c r="K162" s="4">
        <f>VLOOKUP(G162,Exchange_Rates!A:B,2,FALSE)</f>
        <v>1.27</v>
      </c>
      <c r="L162" s="4">
        <f t="shared" si="2"/>
        <v>429.66640000000001</v>
      </c>
    </row>
    <row r="163" spans="1:12" x14ac:dyDescent="0.25">
      <c r="A163" s="4" t="s">
        <v>4307</v>
      </c>
      <c r="B163" s="4" t="s">
        <v>4308</v>
      </c>
      <c r="C163" s="6">
        <v>45344</v>
      </c>
      <c r="D163" s="4" t="s">
        <v>4066</v>
      </c>
      <c r="E163" s="4" t="s">
        <v>4054</v>
      </c>
      <c r="F163" s="4">
        <v>429.51</v>
      </c>
      <c r="G163" s="4" t="s">
        <v>64</v>
      </c>
      <c r="H163" s="4" t="s">
        <v>4059</v>
      </c>
      <c r="I163" s="4" t="s">
        <v>4087</v>
      </c>
      <c r="J163" s="4"/>
      <c r="K163" s="4">
        <f>VLOOKUP(G163,Exchange_Rates!A:B,2,FALSE)</f>
        <v>0.73</v>
      </c>
      <c r="L163" s="4">
        <f t="shared" si="2"/>
        <v>313.54230000000001</v>
      </c>
    </row>
    <row r="164" spans="1:12" x14ac:dyDescent="0.25">
      <c r="A164" s="4" t="s">
        <v>4309</v>
      </c>
      <c r="B164" s="4" t="s">
        <v>4300</v>
      </c>
      <c r="C164" s="6">
        <v>45752</v>
      </c>
      <c r="D164" s="4" t="s">
        <v>4069</v>
      </c>
      <c r="E164" s="4" t="s">
        <v>4054</v>
      </c>
      <c r="F164" s="4">
        <v>656.13</v>
      </c>
      <c r="G164" s="4" t="s">
        <v>36</v>
      </c>
      <c r="H164" s="4" t="s">
        <v>4055</v>
      </c>
      <c r="I164" s="4" t="s">
        <v>4087</v>
      </c>
      <c r="J164" s="6">
        <v>45767</v>
      </c>
      <c r="K164" s="4">
        <f>VLOOKUP(G164,Exchange_Rates!A:B,2,FALSE)</f>
        <v>1.08</v>
      </c>
      <c r="L164" s="4">
        <f t="shared" si="2"/>
        <v>708.62040000000002</v>
      </c>
    </row>
    <row r="165" spans="1:12" x14ac:dyDescent="0.25">
      <c r="A165" s="4" t="s">
        <v>4310</v>
      </c>
      <c r="B165" s="4" t="s">
        <v>4086</v>
      </c>
      <c r="C165" s="6">
        <v>45078</v>
      </c>
      <c r="D165" s="4" t="s">
        <v>4066</v>
      </c>
      <c r="E165" s="4" t="s">
        <v>4054</v>
      </c>
      <c r="F165" s="4">
        <v>744.38</v>
      </c>
      <c r="G165" s="4" t="s">
        <v>45</v>
      </c>
      <c r="H165" s="4" t="s">
        <v>4097</v>
      </c>
      <c r="I165" s="4" t="s">
        <v>4056</v>
      </c>
      <c r="J165" s="4"/>
      <c r="K165" s="4">
        <f>VLOOKUP(G165,Exchange_Rates!A:B,2,FALSE)</f>
        <v>1</v>
      </c>
      <c r="L165" s="4">
        <f t="shared" si="2"/>
        <v>744.38</v>
      </c>
    </row>
    <row r="166" spans="1:12" x14ac:dyDescent="0.25">
      <c r="A166" s="4" t="s">
        <v>4311</v>
      </c>
      <c r="B166" s="4" t="s">
        <v>4080</v>
      </c>
      <c r="C166" s="6">
        <v>45826</v>
      </c>
      <c r="D166" s="4" t="s">
        <v>4053</v>
      </c>
      <c r="E166" s="4" t="s">
        <v>4054</v>
      </c>
      <c r="F166" s="4">
        <v>761.69</v>
      </c>
      <c r="G166" s="4" t="s">
        <v>42</v>
      </c>
      <c r="H166" s="4" t="s">
        <v>4055</v>
      </c>
      <c r="I166" s="4" t="s">
        <v>4056</v>
      </c>
      <c r="J166" s="6">
        <v>45841</v>
      </c>
      <c r="K166" s="4">
        <f>VLOOKUP(G166,Exchange_Rates!A:B,2,FALSE)</f>
        <v>0.66</v>
      </c>
      <c r="L166" s="4">
        <f t="shared" si="2"/>
        <v>502.71540000000005</v>
      </c>
    </row>
    <row r="167" spans="1:12" x14ac:dyDescent="0.25">
      <c r="A167" s="4" t="s">
        <v>4312</v>
      </c>
      <c r="B167" s="4" t="s">
        <v>4150</v>
      </c>
      <c r="C167" s="6">
        <v>45781</v>
      </c>
      <c r="D167" s="4" t="s">
        <v>4069</v>
      </c>
      <c r="E167" s="4" t="s">
        <v>4054</v>
      </c>
      <c r="F167" s="4">
        <v>518.87</v>
      </c>
      <c r="G167" s="4" t="s">
        <v>28</v>
      </c>
      <c r="H167" s="4" t="s">
        <v>4063</v>
      </c>
      <c r="I167" s="4" t="s">
        <v>4087</v>
      </c>
      <c r="J167" s="4"/>
      <c r="K167" s="4">
        <f>VLOOKUP(G167,Exchange_Rates!A:B,2,FALSE)</f>
        <v>1.27</v>
      </c>
      <c r="L167" s="4">
        <f t="shared" si="2"/>
        <v>658.96490000000006</v>
      </c>
    </row>
    <row r="168" spans="1:12" x14ac:dyDescent="0.25">
      <c r="A168" s="4" t="s">
        <v>4313</v>
      </c>
      <c r="B168" s="4" t="s">
        <v>4124</v>
      </c>
      <c r="C168" s="6">
        <v>45587</v>
      </c>
      <c r="D168" s="4" t="s">
        <v>4066</v>
      </c>
      <c r="E168" s="4" t="s">
        <v>4054</v>
      </c>
      <c r="F168" s="4">
        <v>81.7</v>
      </c>
      <c r="G168" s="4" t="s">
        <v>45</v>
      </c>
      <c r="H168" s="4" t="s">
        <v>4097</v>
      </c>
      <c r="I168" s="4" t="s">
        <v>4087</v>
      </c>
      <c r="J168" s="4"/>
      <c r="K168" s="4">
        <f>VLOOKUP(G168,Exchange_Rates!A:B,2,FALSE)</f>
        <v>1</v>
      </c>
      <c r="L168" s="4">
        <f t="shared" si="2"/>
        <v>81.7</v>
      </c>
    </row>
    <row r="169" spans="1:12" x14ac:dyDescent="0.25">
      <c r="A169" s="4" t="s">
        <v>4314</v>
      </c>
      <c r="B169" s="4" t="s">
        <v>4103</v>
      </c>
      <c r="C169" s="6">
        <v>44959</v>
      </c>
      <c r="D169" s="4" t="s">
        <v>4062</v>
      </c>
      <c r="E169" s="4" t="s">
        <v>4054</v>
      </c>
      <c r="F169" s="4">
        <v>106.77</v>
      </c>
      <c r="G169" s="4" t="s">
        <v>64</v>
      </c>
      <c r="H169" s="4" t="s">
        <v>4059</v>
      </c>
      <c r="I169" s="4" t="s">
        <v>4056</v>
      </c>
      <c r="J169" s="4"/>
      <c r="K169" s="4">
        <f>VLOOKUP(G169,Exchange_Rates!A:B,2,FALSE)</f>
        <v>0.73</v>
      </c>
      <c r="L169" s="4">
        <f t="shared" si="2"/>
        <v>77.942099999999996</v>
      </c>
    </row>
    <row r="170" spans="1:12" x14ac:dyDescent="0.25">
      <c r="A170" s="4" t="s">
        <v>4315</v>
      </c>
      <c r="B170" s="4" t="s">
        <v>4115</v>
      </c>
      <c r="C170" s="6">
        <v>45483</v>
      </c>
      <c r="D170" s="4" t="s">
        <v>4062</v>
      </c>
      <c r="E170" s="4" t="s">
        <v>4054</v>
      </c>
      <c r="F170" s="4">
        <v>425.64</v>
      </c>
      <c r="G170" s="4" t="s">
        <v>64</v>
      </c>
      <c r="H170" s="4" t="s">
        <v>4055</v>
      </c>
      <c r="I170" s="4" t="s">
        <v>4087</v>
      </c>
      <c r="J170" s="6">
        <v>45498</v>
      </c>
      <c r="K170" s="4">
        <f>VLOOKUP(G170,Exchange_Rates!A:B,2,FALSE)</f>
        <v>0.73</v>
      </c>
      <c r="L170" s="4">
        <f t="shared" si="2"/>
        <v>310.71719999999999</v>
      </c>
    </row>
    <row r="171" spans="1:12" x14ac:dyDescent="0.25">
      <c r="A171" s="4" t="s">
        <v>4316</v>
      </c>
      <c r="B171" s="4" t="s">
        <v>4317</v>
      </c>
      <c r="C171" s="6">
        <v>45297</v>
      </c>
      <c r="D171" s="4" t="s">
        <v>4069</v>
      </c>
      <c r="E171" s="4" t="s">
        <v>4054</v>
      </c>
      <c r="F171" s="4">
        <v>312.12</v>
      </c>
      <c r="G171" s="4" t="s">
        <v>45</v>
      </c>
      <c r="H171" s="4" t="s">
        <v>4097</v>
      </c>
      <c r="I171" s="4" t="s">
        <v>4087</v>
      </c>
      <c r="J171" s="4"/>
      <c r="K171" s="4">
        <f>VLOOKUP(G171,Exchange_Rates!A:B,2,FALSE)</f>
        <v>1</v>
      </c>
      <c r="L171" s="4">
        <f t="shared" si="2"/>
        <v>312.12</v>
      </c>
    </row>
    <row r="172" spans="1:12" x14ac:dyDescent="0.25">
      <c r="A172" s="4" t="s">
        <v>4318</v>
      </c>
      <c r="B172" s="4" t="s">
        <v>4061</v>
      </c>
      <c r="C172" s="6">
        <v>45802</v>
      </c>
      <c r="D172" s="4" t="s">
        <v>4096</v>
      </c>
      <c r="E172" s="4" t="s">
        <v>4054</v>
      </c>
      <c r="F172" s="4">
        <v>389.97</v>
      </c>
      <c r="G172" s="4" t="s">
        <v>42</v>
      </c>
      <c r="H172" s="4" t="s">
        <v>4059</v>
      </c>
      <c r="I172" s="4" t="s">
        <v>4056</v>
      </c>
      <c r="J172" s="4"/>
      <c r="K172" s="4">
        <f>VLOOKUP(G172,Exchange_Rates!A:B,2,FALSE)</f>
        <v>0.66</v>
      </c>
      <c r="L172" s="4">
        <f t="shared" si="2"/>
        <v>257.3802</v>
      </c>
    </row>
    <row r="173" spans="1:12" x14ac:dyDescent="0.25">
      <c r="A173" s="4" t="s">
        <v>4319</v>
      </c>
      <c r="B173" s="4" t="s">
        <v>4202</v>
      </c>
      <c r="C173" s="6">
        <v>45029</v>
      </c>
      <c r="D173" s="4" t="s">
        <v>4096</v>
      </c>
      <c r="E173" s="4" t="s">
        <v>4054</v>
      </c>
      <c r="F173" s="4">
        <v>367.46</v>
      </c>
      <c r="G173" s="4" t="s">
        <v>45</v>
      </c>
      <c r="H173" s="4" t="s">
        <v>4097</v>
      </c>
      <c r="I173" s="4" t="s">
        <v>4087</v>
      </c>
      <c r="J173" s="4"/>
      <c r="K173" s="4">
        <f>VLOOKUP(G173,Exchange_Rates!A:B,2,FALSE)</f>
        <v>1</v>
      </c>
      <c r="L173" s="4">
        <f t="shared" si="2"/>
        <v>367.46</v>
      </c>
    </row>
    <row r="174" spans="1:12" x14ac:dyDescent="0.25">
      <c r="A174" s="4" t="s">
        <v>4320</v>
      </c>
      <c r="B174" s="4" t="s">
        <v>4321</v>
      </c>
      <c r="C174" s="6">
        <v>45103</v>
      </c>
      <c r="D174" s="4" t="s">
        <v>4062</v>
      </c>
      <c r="E174" s="4" t="s">
        <v>4054</v>
      </c>
      <c r="F174" s="4">
        <v>448.83</v>
      </c>
      <c r="G174" s="4" t="s">
        <v>42</v>
      </c>
      <c r="H174" s="4" t="s">
        <v>4063</v>
      </c>
      <c r="I174" s="4" t="s">
        <v>4087</v>
      </c>
      <c r="J174" s="4"/>
      <c r="K174" s="4">
        <f>VLOOKUP(G174,Exchange_Rates!A:B,2,FALSE)</f>
        <v>0.66</v>
      </c>
      <c r="L174" s="4">
        <f t="shared" si="2"/>
        <v>296.2278</v>
      </c>
    </row>
    <row r="175" spans="1:12" x14ac:dyDescent="0.25">
      <c r="A175" s="4" t="s">
        <v>4322</v>
      </c>
      <c r="B175" s="4" t="s">
        <v>4267</v>
      </c>
      <c r="C175" s="6">
        <v>45253</v>
      </c>
      <c r="D175" s="4" t="s">
        <v>4069</v>
      </c>
      <c r="E175" s="4" t="s">
        <v>4054</v>
      </c>
      <c r="F175" s="4">
        <v>367.26</v>
      </c>
      <c r="G175" s="4" t="s">
        <v>45</v>
      </c>
      <c r="H175" s="4" t="s">
        <v>4059</v>
      </c>
      <c r="I175" s="4" t="s">
        <v>4087</v>
      </c>
      <c r="J175" s="4"/>
      <c r="K175" s="4">
        <f>VLOOKUP(G175,Exchange_Rates!A:B,2,FALSE)</f>
        <v>1</v>
      </c>
      <c r="L175" s="4">
        <f t="shared" si="2"/>
        <v>367.26</v>
      </c>
    </row>
    <row r="176" spans="1:12" x14ac:dyDescent="0.25">
      <c r="A176" s="4" t="s">
        <v>4323</v>
      </c>
      <c r="B176" s="4" t="s">
        <v>4324</v>
      </c>
      <c r="C176" s="6">
        <v>45166</v>
      </c>
      <c r="D176" s="4" t="s">
        <v>4053</v>
      </c>
      <c r="E176" s="4" t="s">
        <v>4054</v>
      </c>
      <c r="F176" s="4">
        <v>218.52</v>
      </c>
      <c r="G176" s="4" t="s">
        <v>28</v>
      </c>
      <c r="H176" s="4" t="s">
        <v>4055</v>
      </c>
      <c r="I176" s="4" t="s">
        <v>4056</v>
      </c>
      <c r="J176" s="6">
        <v>45181</v>
      </c>
      <c r="K176" s="4">
        <f>VLOOKUP(G176,Exchange_Rates!A:B,2,FALSE)</f>
        <v>1.27</v>
      </c>
      <c r="L176" s="4">
        <f t="shared" si="2"/>
        <v>277.5204</v>
      </c>
    </row>
    <row r="177" spans="1:12" x14ac:dyDescent="0.25">
      <c r="A177" s="4" t="s">
        <v>4325</v>
      </c>
      <c r="B177" s="4" t="s">
        <v>4099</v>
      </c>
      <c r="C177" s="6">
        <v>45126</v>
      </c>
      <c r="D177" s="4" t="s">
        <v>4069</v>
      </c>
      <c r="E177" s="4" t="s">
        <v>4054</v>
      </c>
      <c r="F177" s="4">
        <v>631.04999999999995</v>
      </c>
      <c r="G177" s="4" t="s">
        <v>28</v>
      </c>
      <c r="H177" s="4" t="s">
        <v>4097</v>
      </c>
      <c r="I177" s="4" t="s">
        <v>4070</v>
      </c>
      <c r="J177" s="4"/>
      <c r="K177" s="4">
        <f>VLOOKUP(G177,Exchange_Rates!A:B,2,FALSE)</f>
        <v>1.27</v>
      </c>
      <c r="L177" s="4">
        <f t="shared" si="2"/>
        <v>801.43349999999998</v>
      </c>
    </row>
    <row r="178" spans="1:12" x14ac:dyDescent="0.25">
      <c r="A178" s="4" t="s">
        <v>4326</v>
      </c>
      <c r="B178" s="4" t="s">
        <v>4308</v>
      </c>
      <c r="C178" s="6">
        <v>45501</v>
      </c>
      <c r="D178" s="4" t="s">
        <v>4066</v>
      </c>
      <c r="E178" s="4" t="s">
        <v>4054</v>
      </c>
      <c r="F178" s="4">
        <v>436.02</v>
      </c>
      <c r="G178" s="4" t="s">
        <v>36</v>
      </c>
      <c r="H178" s="4" t="s">
        <v>4063</v>
      </c>
      <c r="I178" s="4" t="s">
        <v>4087</v>
      </c>
      <c r="J178" s="4"/>
      <c r="K178" s="4">
        <f>VLOOKUP(G178,Exchange_Rates!A:B,2,FALSE)</f>
        <v>1.08</v>
      </c>
      <c r="L178" s="4">
        <f t="shared" si="2"/>
        <v>470.90160000000003</v>
      </c>
    </row>
    <row r="179" spans="1:12" x14ac:dyDescent="0.25">
      <c r="A179" s="4" t="s">
        <v>4327</v>
      </c>
      <c r="B179" s="4" t="s">
        <v>4199</v>
      </c>
      <c r="C179" s="6">
        <v>45228</v>
      </c>
      <c r="D179" s="4" t="s">
        <v>4096</v>
      </c>
      <c r="E179" s="4" t="s">
        <v>4054</v>
      </c>
      <c r="F179" s="4">
        <v>205.16</v>
      </c>
      <c r="G179" s="4" t="s">
        <v>64</v>
      </c>
      <c r="H179" s="4" t="s">
        <v>4097</v>
      </c>
      <c r="I179" s="4" t="s">
        <v>4056</v>
      </c>
      <c r="J179" s="4"/>
      <c r="K179" s="4">
        <f>VLOOKUP(G179,Exchange_Rates!A:B,2,FALSE)</f>
        <v>0.73</v>
      </c>
      <c r="L179" s="4">
        <f t="shared" si="2"/>
        <v>149.76679999999999</v>
      </c>
    </row>
    <row r="180" spans="1:12" x14ac:dyDescent="0.25">
      <c r="A180" s="4" t="s">
        <v>4328</v>
      </c>
      <c r="B180" s="4" t="s">
        <v>4115</v>
      </c>
      <c r="C180" s="6">
        <v>45763</v>
      </c>
      <c r="D180" s="4" t="s">
        <v>4062</v>
      </c>
      <c r="E180" s="4" t="s">
        <v>4054</v>
      </c>
      <c r="F180" s="4">
        <v>116.81</v>
      </c>
      <c r="G180" s="4" t="s">
        <v>42</v>
      </c>
      <c r="H180" s="4" t="s">
        <v>4097</v>
      </c>
      <c r="I180" s="4" t="s">
        <v>4056</v>
      </c>
      <c r="J180" s="4"/>
      <c r="K180" s="4">
        <f>VLOOKUP(G180,Exchange_Rates!A:B,2,FALSE)</f>
        <v>0.66</v>
      </c>
      <c r="L180" s="4">
        <f t="shared" si="2"/>
        <v>77.0946</v>
      </c>
    </row>
    <row r="181" spans="1:12" x14ac:dyDescent="0.25">
      <c r="A181" s="4" t="s">
        <v>4329</v>
      </c>
      <c r="B181" s="4" t="s">
        <v>4330</v>
      </c>
      <c r="C181" s="6">
        <v>45200</v>
      </c>
      <c r="D181" s="4" t="s">
        <v>4096</v>
      </c>
      <c r="E181" s="4" t="s">
        <v>4054</v>
      </c>
      <c r="F181" s="4">
        <v>599.91</v>
      </c>
      <c r="G181" s="4" t="s">
        <v>42</v>
      </c>
      <c r="H181" s="4" t="s">
        <v>4059</v>
      </c>
      <c r="I181" s="4" t="s">
        <v>4087</v>
      </c>
      <c r="J181" s="4"/>
      <c r="K181" s="4">
        <f>VLOOKUP(G181,Exchange_Rates!A:B,2,FALSE)</f>
        <v>0.66</v>
      </c>
      <c r="L181" s="4">
        <f t="shared" si="2"/>
        <v>395.94060000000002</v>
      </c>
    </row>
    <row r="182" spans="1:12" x14ac:dyDescent="0.25">
      <c r="A182" s="4" t="s">
        <v>4331</v>
      </c>
      <c r="B182" s="4" t="s">
        <v>4082</v>
      </c>
      <c r="C182" s="6">
        <v>44972</v>
      </c>
      <c r="D182" s="4" t="s">
        <v>4062</v>
      </c>
      <c r="E182" s="4" t="s">
        <v>4054</v>
      </c>
      <c r="F182" s="4">
        <v>687.09</v>
      </c>
      <c r="G182" s="4" t="s">
        <v>36</v>
      </c>
      <c r="H182" s="4" t="s">
        <v>4063</v>
      </c>
      <c r="I182" s="4" t="s">
        <v>4087</v>
      </c>
      <c r="J182" s="4"/>
      <c r="K182" s="4">
        <f>VLOOKUP(G182,Exchange_Rates!A:B,2,FALSE)</f>
        <v>1.08</v>
      </c>
      <c r="L182" s="4">
        <f t="shared" si="2"/>
        <v>742.05720000000008</v>
      </c>
    </row>
    <row r="183" spans="1:12" x14ac:dyDescent="0.25">
      <c r="A183" s="4" t="s">
        <v>4332</v>
      </c>
      <c r="B183" s="4" t="s">
        <v>4148</v>
      </c>
      <c r="C183" s="6">
        <v>45750</v>
      </c>
      <c r="D183" s="4" t="s">
        <v>4053</v>
      </c>
      <c r="E183" s="4" t="s">
        <v>4054</v>
      </c>
      <c r="F183" s="4">
        <v>492.19</v>
      </c>
      <c r="G183" s="4" t="s">
        <v>36</v>
      </c>
      <c r="H183" s="4" t="s">
        <v>4059</v>
      </c>
      <c r="I183" s="4" t="s">
        <v>4070</v>
      </c>
      <c r="J183" s="4"/>
      <c r="K183" s="4">
        <f>VLOOKUP(G183,Exchange_Rates!A:B,2,FALSE)</f>
        <v>1.08</v>
      </c>
      <c r="L183" s="4">
        <f t="shared" si="2"/>
        <v>531.5652</v>
      </c>
    </row>
    <row r="184" spans="1:12" x14ac:dyDescent="0.25">
      <c r="A184" s="4" t="s">
        <v>4333</v>
      </c>
      <c r="B184" s="4" t="s">
        <v>4138</v>
      </c>
      <c r="C184" s="6">
        <v>45167</v>
      </c>
      <c r="D184" s="4" t="s">
        <v>4096</v>
      </c>
      <c r="E184" s="4" t="s">
        <v>4054</v>
      </c>
      <c r="F184" s="4">
        <v>623.15</v>
      </c>
      <c r="G184" s="4" t="s">
        <v>42</v>
      </c>
      <c r="H184" s="4" t="s">
        <v>4055</v>
      </c>
      <c r="I184" s="4" t="s">
        <v>4070</v>
      </c>
      <c r="J184" s="6">
        <v>45182</v>
      </c>
      <c r="K184" s="4">
        <f>VLOOKUP(G184,Exchange_Rates!A:B,2,FALSE)</f>
        <v>0.66</v>
      </c>
      <c r="L184" s="4">
        <f t="shared" si="2"/>
        <v>411.279</v>
      </c>
    </row>
    <row r="185" spans="1:12" x14ac:dyDescent="0.25">
      <c r="A185" s="4" t="s">
        <v>4334</v>
      </c>
      <c r="B185" s="4" t="s">
        <v>4080</v>
      </c>
      <c r="C185" s="6">
        <v>45787</v>
      </c>
      <c r="D185" s="4" t="s">
        <v>4053</v>
      </c>
      <c r="E185" s="4" t="s">
        <v>4054</v>
      </c>
      <c r="F185" s="4">
        <v>614.44000000000005</v>
      </c>
      <c r="G185" s="4" t="s">
        <v>45</v>
      </c>
      <c r="H185" s="4" t="s">
        <v>4097</v>
      </c>
      <c r="I185" s="4" t="s">
        <v>4056</v>
      </c>
      <c r="J185" s="4"/>
      <c r="K185" s="4">
        <f>VLOOKUP(G185,Exchange_Rates!A:B,2,FALSE)</f>
        <v>1</v>
      </c>
      <c r="L185" s="4">
        <f t="shared" si="2"/>
        <v>614.44000000000005</v>
      </c>
    </row>
    <row r="186" spans="1:12" x14ac:dyDescent="0.25">
      <c r="A186" s="4" t="s">
        <v>4335</v>
      </c>
      <c r="B186" s="4" t="s">
        <v>4263</v>
      </c>
      <c r="C186" s="6">
        <v>45805</v>
      </c>
      <c r="D186" s="4" t="s">
        <v>4096</v>
      </c>
      <c r="E186" s="4" t="s">
        <v>4054</v>
      </c>
      <c r="F186" s="4">
        <v>211.2</v>
      </c>
      <c r="G186" s="4" t="s">
        <v>64</v>
      </c>
      <c r="H186" s="4" t="s">
        <v>4063</v>
      </c>
      <c r="I186" s="4" t="s">
        <v>4070</v>
      </c>
      <c r="J186" s="4"/>
      <c r="K186" s="4">
        <f>VLOOKUP(G186,Exchange_Rates!A:B,2,FALSE)</f>
        <v>0.73</v>
      </c>
      <c r="L186" s="4">
        <f t="shared" si="2"/>
        <v>154.17599999999999</v>
      </c>
    </row>
    <row r="187" spans="1:12" x14ac:dyDescent="0.25">
      <c r="A187" s="4" t="s">
        <v>4336</v>
      </c>
      <c r="B187" s="4" t="s">
        <v>4138</v>
      </c>
      <c r="C187" s="6">
        <v>45779</v>
      </c>
      <c r="D187" s="4" t="s">
        <v>4062</v>
      </c>
      <c r="E187" s="4" t="s">
        <v>4054</v>
      </c>
      <c r="F187" s="4">
        <v>89.63</v>
      </c>
      <c r="G187" s="4" t="s">
        <v>42</v>
      </c>
      <c r="H187" s="4" t="s">
        <v>4059</v>
      </c>
      <c r="I187" s="4" t="s">
        <v>4087</v>
      </c>
      <c r="J187" s="4"/>
      <c r="K187" s="4">
        <f>VLOOKUP(G187,Exchange_Rates!A:B,2,FALSE)</f>
        <v>0.66</v>
      </c>
      <c r="L187" s="4">
        <f t="shared" si="2"/>
        <v>59.155799999999999</v>
      </c>
    </row>
    <row r="188" spans="1:12" x14ac:dyDescent="0.25">
      <c r="A188" s="4" t="s">
        <v>4337</v>
      </c>
      <c r="B188" s="4" t="s">
        <v>4193</v>
      </c>
      <c r="C188" s="6">
        <v>45812</v>
      </c>
      <c r="D188" s="4" t="s">
        <v>4053</v>
      </c>
      <c r="E188" s="4" t="s">
        <v>4054</v>
      </c>
      <c r="F188" s="4">
        <v>692.25</v>
      </c>
      <c r="G188" s="4" t="s">
        <v>36</v>
      </c>
      <c r="H188" s="4" t="s">
        <v>4055</v>
      </c>
      <c r="I188" s="4" t="s">
        <v>4087</v>
      </c>
      <c r="J188" s="6">
        <v>45827</v>
      </c>
      <c r="K188" s="4">
        <f>VLOOKUP(G188,Exchange_Rates!A:B,2,FALSE)</f>
        <v>1.08</v>
      </c>
      <c r="L188" s="4">
        <f t="shared" si="2"/>
        <v>747.63</v>
      </c>
    </row>
    <row r="189" spans="1:12" x14ac:dyDescent="0.25">
      <c r="A189" s="4" t="s">
        <v>4338</v>
      </c>
      <c r="B189" s="4" t="s">
        <v>4115</v>
      </c>
      <c r="C189" s="6">
        <v>45464</v>
      </c>
      <c r="D189" s="4" t="s">
        <v>4096</v>
      </c>
      <c r="E189" s="4" t="s">
        <v>4054</v>
      </c>
      <c r="F189" s="4">
        <v>366.9</v>
      </c>
      <c r="G189" s="4" t="s">
        <v>36</v>
      </c>
      <c r="H189" s="4" t="s">
        <v>4097</v>
      </c>
      <c r="I189" s="4" t="s">
        <v>4087</v>
      </c>
      <c r="J189" s="4"/>
      <c r="K189" s="4">
        <f>VLOOKUP(G189,Exchange_Rates!A:B,2,FALSE)</f>
        <v>1.08</v>
      </c>
      <c r="L189" s="4">
        <f t="shared" si="2"/>
        <v>396.25200000000001</v>
      </c>
    </row>
    <row r="190" spans="1:12" x14ac:dyDescent="0.25">
      <c r="A190" s="4" t="s">
        <v>4339</v>
      </c>
      <c r="B190" s="4" t="s">
        <v>4182</v>
      </c>
      <c r="C190" s="6">
        <v>45174</v>
      </c>
      <c r="D190" s="4" t="s">
        <v>4053</v>
      </c>
      <c r="E190" s="4" t="s">
        <v>4054</v>
      </c>
      <c r="F190" s="4">
        <v>617.77</v>
      </c>
      <c r="G190" s="4" t="s">
        <v>45</v>
      </c>
      <c r="H190" s="4" t="s">
        <v>4097</v>
      </c>
      <c r="I190" s="4" t="s">
        <v>4087</v>
      </c>
      <c r="J190" s="4"/>
      <c r="K190" s="4">
        <f>VLOOKUP(G190,Exchange_Rates!A:B,2,FALSE)</f>
        <v>1</v>
      </c>
      <c r="L190" s="4">
        <f t="shared" si="2"/>
        <v>617.77</v>
      </c>
    </row>
    <row r="191" spans="1:12" x14ac:dyDescent="0.25">
      <c r="A191" s="4" t="s">
        <v>4340</v>
      </c>
      <c r="B191" s="4" t="s">
        <v>4242</v>
      </c>
      <c r="C191" s="6">
        <v>45718</v>
      </c>
      <c r="D191" s="4" t="s">
        <v>4096</v>
      </c>
      <c r="E191" s="4" t="s">
        <v>4054</v>
      </c>
      <c r="F191" s="4">
        <v>690.48</v>
      </c>
      <c r="G191" s="4" t="s">
        <v>42</v>
      </c>
      <c r="H191" s="4" t="s">
        <v>4059</v>
      </c>
      <c r="I191" s="4" t="s">
        <v>4070</v>
      </c>
      <c r="J191" s="4"/>
      <c r="K191" s="4">
        <f>VLOOKUP(G191,Exchange_Rates!A:B,2,FALSE)</f>
        <v>0.66</v>
      </c>
      <c r="L191" s="4">
        <f t="shared" si="2"/>
        <v>455.71680000000003</v>
      </c>
    </row>
    <row r="192" spans="1:12" x14ac:dyDescent="0.25">
      <c r="A192" s="4" t="s">
        <v>4341</v>
      </c>
      <c r="B192" s="4" t="s">
        <v>4078</v>
      </c>
      <c r="C192" s="6">
        <v>45026</v>
      </c>
      <c r="D192" s="4" t="s">
        <v>4096</v>
      </c>
      <c r="E192" s="4" t="s">
        <v>4054</v>
      </c>
      <c r="F192" s="4">
        <v>592.89</v>
      </c>
      <c r="G192" s="4" t="s">
        <v>64</v>
      </c>
      <c r="H192" s="4" t="s">
        <v>4055</v>
      </c>
      <c r="I192" s="4" t="s">
        <v>4070</v>
      </c>
      <c r="J192" s="6">
        <v>45041</v>
      </c>
      <c r="K192" s="4">
        <f>VLOOKUP(G192,Exchange_Rates!A:B,2,FALSE)</f>
        <v>0.73</v>
      </c>
      <c r="L192" s="4">
        <f t="shared" si="2"/>
        <v>432.80969999999996</v>
      </c>
    </row>
    <row r="193" spans="1:12" x14ac:dyDescent="0.25">
      <c r="A193" s="4" t="s">
        <v>4342</v>
      </c>
      <c r="B193" s="4" t="s">
        <v>4280</v>
      </c>
      <c r="C193" s="6">
        <v>45212</v>
      </c>
      <c r="D193" s="4" t="s">
        <v>4066</v>
      </c>
      <c r="E193" s="4" t="s">
        <v>4054</v>
      </c>
      <c r="F193" s="4">
        <v>217.3</v>
      </c>
      <c r="G193" s="4" t="s">
        <v>42</v>
      </c>
      <c r="H193" s="4" t="s">
        <v>4059</v>
      </c>
      <c r="I193" s="4" t="s">
        <v>4087</v>
      </c>
      <c r="J193" s="4"/>
      <c r="K193" s="4">
        <f>VLOOKUP(G193,Exchange_Rates!A:B,2,FALSE)</f>
        <v>0.66</v>
      </c>
      <c r="L193" s="4">
        <f t="shared" si="2"/>
        <v>143.41800000000001</v>
      </c>
    </row>
    <row r="194" spans="1:12" x14ac:dyDescent="0.25">
      <c r="A194" s="4" t="s">
        <v>4343</v>
      </c>
      <c r="B194" s="4" t="s">
        <v>4253</v>
      </c>
      <c r="C194" s="6">
        <v>45605</v>
      </c>
      <c r="D194" s="4" t="s">
        <v>4053</v>
      </c>
      <c r="E194" s="4" t="s">
        <v>4054</v>
      </c>
      <c r="F194" s="4">
        <v>576.16</v>
      </c>
      <c r="G194" s="4" t="s">
        <v>64</v>
      </c>
      <c r="H194" s="4" t="s">
        <v>4063</v>
      </c>
      <c r="I194" s="4" t="s">
        <v>4070</v>
      </c>
      <c r="J194" s="4"/>
      <c r="K194" s="4">
        <f>VLOOKUP(G194,Exchange_Rates!A:B,2,FALSE)</f>
        <v>0.73</v>
      </c>
      <c r="L194" s="4">
        <f t="shared" si="2"/>
        <v>420.59679999999997</v>
      </c>
    </row>
    <row r="195" spans="1:12" x14ac:dyDescent="0.25">
      <c r="A195" s="4" t="s">
        <v>4344</v>
      </c>
      <c r="B195" s="4" t="s">
        <v>4345</v>
      </c>
      <c r="C195" s="6">
        <v>45067</v>
      </c>
      <c r="D195" s="4" t="s">
        <v>4062</v>
      </c>
      <c r="E195" s="4" t="s">
        <v>4054</v>
      </c>
      <c r="F195" s="4">
        <v>70.19</v>
      </c>
      <c r="G195" s="4" t="s">
        <v>64</v>
      </c>
      <c r="H195" s="4" t="s">
        <v>4063</v>
      </c>
      <c r="I195" s="4" t="s">
        <v>4056</v>
      </c>
      <c r="J195" s="4"/>
      <c r="K195" s="4">
        <f>VLOOKUP(G195,Exchange_Rates!A:B,2,FALSE)</f>
        <v>0.73</v>
      </c>
      <c r="L195" s="4">
        <f t="shared" ref="L195:L258" si="3">F195*K195</f>
        <v>51.238699999999994</v>
      </c>
    </row>
    <row r="196" spans="1:12" x14ac:dyDescent="0.25">
      <c r="A196" s="4" t="s">
        <v>4346</v>
      </c>
      <c r="B196" s="4" t="s">
        <v>4115</v>
      </c>
      <c r="C196" s="6">
        <v>45729</v>
      </c>
      <c r="D196" s="4" t="s">
        <v>4062</v>
      </c>
      <c r="E196" s="4" t="s">
        <v>4054</v>
      </c>
      <c r="F196" s="4">
        <v>242.47</v>
      </c>
      <c r="G196" s="4" t="s">
        <v>28</v>
      </c>
      <c r="H196" s="4" t="s">
        <v>4059</v>
      </c>
      <c r="I196" s="4" t="s">
        <v>4056</v>
      </c>
      <c r="J196" s="4"/>
      <c r="K196" s="4">
        <f>VLOOKUP(G196,Exchange_Rates!A:B,2,FALSE)</f>
        <v>1.27</v>
      </c>
      <c r="L196" s="4">
        <f t="shared" si="3"/>
        <v>307.93689999999998</v>
      </c>
    </row>
    <row r="197" spans="1:12" x14ac:dyDescent="0.25">
      <c r="A197" s="4" t="s">
        <v>4347</v>
      </c>
      <c r="B197" s="4" t="s">
        <v>4206</v>
      </c>
      <c r="C197" s="6">
        <v>45313</v>
      </c>
      <c r="D197" s="4" t="s">
        <v>4062</v>
      </c>
      <c r="E197" s="4" t="s">
        <v>4054</v>
      </c>
      <c r="F197" s="4">
        <v>541.55999999999995</v>
      </c>
      <c r="G197" s="4" t="s">
        <v>64</v>
      </c>
      <c r="H197" s="4" t="s">
        <v>4097</v>
      </c>
      <c r="I197" s="4" t="s">
        <v>4056</v>
      </c>
      <c r="J197" s="4"/>
      <c r="K197" s="4">
        <f>VLOOKUP(G197,Exchange_Rates!A:B,2,FALSE)</f>
        <v>0.73</v>
      </c>
      <c r="L197" s="4">
        <f t="shared" si="3"/>
        <v>395.33879999999994</v>
      </c>
    </row>
    <row r="198" spans="1:12" x14ac:dyDescent="0.25">
      <c r="A198" s="4" t="s">
        <v>4348</v>
      </c>
      <c r="B198" s="4" t="s">
        <v>4158</v>
      </c>
      <c r="C198" s="6">
        <v>45665</v>
      </c>
      <c r="D198" s="4" t="s">
        <v>4062</v>
      </c>
      <c r="E198" s="4" t="s">
        <v>4054</v>
      </c>
      <c r="F198" s="4">
        <v>509.64</v>
      </c>
      <c r="G198" s="4" t="s">
        <v>36</v>
      </c>
      <c r="H198" s="4" t="s">
        <v>4063</v>
      </c>
      <c r="I198" s="4" t="s">
        <v>4087</v>
      </c>
      <c r="J198" s="4"/>
      <c r="K198" s="4">
        <f>VLOOKUP(G198,Exchange_Rates!A:B,2,FALSE)</f>
        <v>1.08</v>
      </c>
      <c r="L198" s="4">
        <f t="shared" si="3"/>
        <v>550.41120000000001</v>
      </c>
    </row>
    <row r="199" spans="1:12" x14ac:dyDescent="0.25">
      <c r="A199" s="4" t="s">
        <v>4349</v>
      </c>
      <c r="B199" s="4" t="s">
        <v>4350</v>
      </c>
      <c r="C199" s="6">
        <v>45275</v>
      </c>
      <c r="D199" s="4" t="s">
        <v>4069</v>
      </c>
      <c r="E199" s="4" t="s">
        <v>4054</v>
      </c>
      <c r="F199" s="4">
        <v>515.85</v>
      </c>
      <c r="G199" s="4" t="s">
        <v>64</v>
      </c>
      <c r="H199" s="4" t="s">
        <v>4063</v>
      </c>
      <c r="I199" s="4" t="s">
        <v>4087</v>
      </c>
      <c r="J199" s="4"/>
      <c r="K199" s="4">
        <f>VLOOKUP(G199,Exchange_Rates!A:B,2,FALSE)</f>
        <v>0.73</v>
      </c>
      <c r="L199" s="4">
        <f t="shared" si="3"/>
        <v>376.57049999999998</v>
      </c>
    </row>
    <row r="200" spans="1:12" x14ac:dyDescent="0.25">
      <c r="A200" s="4" t="s">
        <v>4351</v>
      </c>
      <c r="B200" s="4" t="s">
        <v>4136</v>
      </c>
      <c r="C200" s="6">
        <v>45290</v>
      </c>
      <c r="D200" s="4" t="s">
        <v>4062</v>
      </c>
      <c r="E200" s="4" t="s">
        <v>4054</v>
      </c>
      <c r="F200" s="4">
        <v>250.57</v>
      </c>
      <c r="G200" s="4" t="s">
        <v>36</v>
      </c>
      <c r="H200" s="4" t="s">
        <v>4063</v>
      </c>
      <c r="I200" s="4" t="s">
        <v>4056</v>
      </c>
      <c r="J200" s="4"/>
      <c r="K200" s="4">
        <f>VLOOKUP(G200,Exchange_Rates!A:B,2,FALSE)</f>
        <v>1.08</v>
      </c>
      <c r="L200" s="4">
        <f t="shared" si="3"/>
        <v>270.61560000000003</v>
      </c>
    </row>
    <row r="201" spans="1:12" x14ac:dyDescent="0.25">
      <c r="A201" s="4" t="s">
        <v>4352</v>
      </c>
      <c r="B201" s="4" t="s">
        <v>4129</v>
      </c>
      <c r="C201" s="6">
        <v>45729</v>
      </c>
      <c r="D201" s="4" t="s">
        <v>4069</v>
      </c>
      <c r="E201" s="4" t="s">
        <v>4054</v>
      </c>
      <c r="F201" s="4">
        <v>361.67</v>
      </c>
      <c r="G201" s="4" t="s">
        <v>28</v>
      </c>
      <c r="H201" s="4" t="s">
        <v>4059</v>
      </c>
      <c r="I201" s="4" t="s">
        <v>4070</v>
      </c>
      <c r="J201" s="4"/>
      <c r="K201" s="4">
        <f>VLOOKUP(G201,Exchange_Rates!A:B,2,FALSE)</f>
        <v>1.27</v>
      </c>
      <c r="L201" s="4">
        <f t="shared" si="3"/>
        <v>459.32090000000005</v>
      </c>
    </row>
    <row r="202" spans="1:12" x14ac:dyDescent="0.25">
      <c r="A202" s="4" t="s">
        <v>4353</v>
      </c>
      <c r="B202" s="4" t="s">
        <v>4206</v>
      </c>
      <c r="C202" s="6">
        <v>44931</v>
      </c>
      <c r="D202" s="4" t="s">
        <v>4096</v>
      </c>
      <c r="E202" s="4" t="s">
        <v>4054</v>
      </c>
      <c r="F202" s="4">
        <v>390.47</v>
      </c>
      <c r="G202" s="4" t="s">
        <v>64</v>
      </c>
      <c r="H202" s="4" t="s">
        <v>4059</v>
      </c>
      <c r="I202" s="4" t="s">
        <v>4070</v>
      </c>
      <c r="J202" s="4"/>
      <c r="K202" s="4">
        <f>VLOOKUP(G202,Exchange_Rates!A:B,2,FALSE)</f>
        <v>0.73</v>
      </c>
      <c r="L202" s="4">
        <f t="shared" si="3"/>
        <v>285.04310000000004</v>
      </c>
    </row>
    <row r="203" spans="1:12" x14ac:dyDescent="0.25">
      <c r="A203" s="4" t="s">
        <v>4354</v>
      </c>
      <c r="B203" s="4" t="s">
        <v>4199</v>
      </c>
      <c r="C203" s="6">
        <v>45747</v>
      </c>
      <c r="D203" s="4" t="s">
        <v>4062</v>
      </c>
      <c r="E203" s="4" t="s">
        <v>4054</v>
      </c>
      <c r="F203" s="4">
        <v>510.18</v>
      </c>
      <c r="G203" s="4" t="s">
        <v>28</v>
      </c>
      <c r="H203" s="4" t="s">
        <v>4097</v>
      </c>
      <c r="I203" s="4" t="s">
        <v>4087</v>
      </c>
      <c r="J203" s="4"/>
      <c r="K203" s="4">
        <f>VLOOKUP(G203,Exchange_Rates!A:B,2,FALSE)</f>
        <v>1.27</v>
      </c>
      <c r="L203" s="4">
        <f t="shared" si="3"/>
        <v>647.92860000000007</v>
      </c>
    </row>
    <row r="204" spans="1:12" x14ac:dyDescent="0.25">
      <c r="A204" s="4" t="s">
        <v>4355</v>
      </c>
      <c r="B204" s="4" t="s">
        <v>4112</v>
      </c>
      <c r="C204" s="6">
        <v>45815</v>
      </c>
      <c r="D204" s="4" t="s">
        <v>4096</v>
      </c>
      <c r="E204" s="4" t="s">
        <v>4054</v>
      </c>
      <c r="F204" s="4">
        <v>470.56</v>
      </c>
      <c r="G204" s="4" t="s">
        <v>64</v>
      </c>
      <c r="H204" s="4" t="s">
        <v>4059</v>
      </c>
      <c r="I204" s="4" t="s">
        <v>4056</v>
      </c>
      <c r="J204" s="4"/>
      <c r="K204" s="4">
        <f>VLOOKUP(G204,Exchange_Rates!A:B,2,FALSE)</f>
        <v>0.73</v>
      </c>
      <c r="L204" s="4">
        <f t="shared" si="3"/>
        <v>343.50880000000001</v>
      </c>
    </row>
    <row r="205" spans="1:12" x14ac:dyDescent="0.25">
      <c r="A205" s="4" t="s">
        <v>4356</v>
      </c>
      <c r="B205" s="4" t="s">
        <v>4190</v>
      </c>
      <c r="C205" s="6">
        <v>45396</v>
      </c>
      <c r="D205" s="4" t="s">
        <v>4053</v>
      </c>
      <c r="E205" s="4" t="s">
        <v>4054</v>
      </c>
      <c r="F205" s="4">
        <v>556.15</v>
      </c>
      <c r="G205" s="4" t="s">
        <v>36</v>
      </c>
      <c r="H205" s="4" t="s">
        <v>4097</v>
      </c>
      <c r="I205" s="4" t="s">
        <v>4056</v>
      </c>
      <c r="J205" s="4"/>
      <c r="K205" s="4">
        <f>VLOOKUP(G205,Exchange_Rates!A:B,2,FALSE)</f>
        <v>1.08</v>
      </c>
      <c r="L205" s="4">
        <f t="shared" si="3"/>
        <v>600.64200000000005</v>
      </c>
    </row>
    <row r="206" spans="1:12" x14ac:dyDescent="0.25">
      <c r="A206" s="4" t="s">
        <v>4357</v>
      </c>
      <c r="B206" s="4" t="s">
        <v>4086</v>
      </c>
      <c r="C206" s="6">
        <v>45300</v>
      </c>
      <c r="D206" s="4" t="s">
        <v>4062</v>
      </c>
      <c r="E206" s="4" t="s">
        <v>4054</v>
      </c>
      <c r="F206" s="4">
        <v>94.66</v>
      </c>
      <c r="G206" s="4" t="s">
        <v>36</v>
      </c>
      <c r="H206" s="4" t="s">
        <v>4059</v>
      </c>
      <c r="I206" s="4" t="s">
        <v>4087</v>
      </c>
      <c r="J206" s="4"/>
      <c r="K206" s="4">
        <f>VLOOKUP(G206,Exchange_Rates!A:B,2,FALSE)</f>
        <v>1.08</v>
      </c>
      <c r="L206" s="4">
        <f t="shared" si="3"/>
        <v>102.2328</v>
      </c>
    </row>
    <row r="207" spans="1:12" x14ac:dyDescent="0.25">
      <c r="A207" s="4" t="s">
        <v>4358</v>
      </c>
      <c r="B207" s="4" t="s">
        <v>4145</v>
      </c>
      <c r="C207" s="6">
        <v>45472</v>
      </c>
      <c r="D207" s="4" t="s">
        <v>4096</v>
      </c>
      <c r="E207" s="4" t="s">
        <v>4054</v>
      </c>
      <c r="F207" s="4">
        <v>613.88</v>
      </c>
      <c r="G207" s="4" t="s">
        <v>42</v>
      </c>
      <c r="H207" s="4" t="s">
        <v>4097</v>
      </c>
      <c r="I207" s="4" t="s">
        <v>4087</v>
      </c>
      <c r="J207" s="4"/>
      <c r="K207" s="4">
        <f>VLOOKUP(G207,Exchange_Rates!A:B,2,FALSE)</f>
        <v>0.66</v>
      </c>
      <c r="L207" s="4">
        <f t="shared" si="3"/>
        <v>405.16079999999999</v>
      </c>
    </row>
    <row r="208" spans="1:12" x14ac:dyDescent="0.25">
      <c r="A208" s="4" t="s">
        <v>4359</v>
      </c>
      <c r="B208" s="4" t="s">
        <v>4317</v>
      </c>
      <c r="C208" s="6">
        <v>45715</v>
      </c>
      <c r="D208" s="4" t="s">
        <v>4066</v>
      </c>
      <c r="E208" s="4" t="s">
        <v>4054</v>
      </c>
      <c r="F208" s="4">
        <v>467.78</v>
      </c>
      <c r="G208" s="4" t="s">
        <v>45</v>
      </c>
      <c r="H208" s="4" t="s">
        <v>4055</v>
      </c>
      <c r="I208" s="4" t="s">
        <v>4087</v>
      </c>
      <c r="J208" s="6">
        <v>45730</v>
      </c>
      <c r="K208" s="4">
        <f>VLOOKUP(G208,Exchange_Rates!A:B,2,FALSE)</f>
        <v>1</v>
      </c>
      <c r="L208" s="4">
        <f t="shared" si="3"/>
        <v>467.78</v>
      </c>
    </row>
    <row r="209" spans="1:12" x14ac:dyDescent="0.25">
      <c r="A209" s="4" t="s">
        <v>4360</v>
      </c>
      <c r="B209" s="4" t="s">
        <v>4145</v>
      </c>
      <c r="C209" s="6">
        <v>45673</v>
      </c>
      <c r="D209" s="4" t="s">
        <v>4053</v>
      </c>
      <c r="E209" s="4" t="s">
        <v>4054</v>
      </c>
      <c r="F209" s="4">
        <v>487.62</v>
      </c>
      <c r="G209" s="4" t="s">
        <v>36</v>
      </c>
      <c r="H209" s="4" t="s">
        <v>4063</v>
      </c>
      <c r="I209" s="4" t="s">
        <v>4070</v>
      </c>
      <c r="J209" s="4"/>
      <c r="K209" s="4">
        <f>VLOOKUP(G209,Exchange_Rates!A:B,2,FALSE)</f>
        <v>1.08</v>
      </c>
      <c r="L209" s="4">
        <f t="shared" si="3"/>
        <v>526.6296000000001</v>
      </c>
    </row>
    <row r="210" spans="1:12" x14ac:dyDescent="0.25">
      <c r="A210" s="4" t="s">
        <v>4361</v>
      </c>
      <c r="B210" s="4" t="s">
        <v>4362</v>
      </c>
      <c r="C210" s="6">
        <v>45465</v>
      </c>
      <c r="D210" s="4" t="s">
        <v>4062</v>
      </c>
      <c r="E210" s="4" t="s">
        <v>4054</v>
      </c>
      <c r="F210" s="4">
        <v>483.87</v>
      </c>
      <c r="G210" s="4" t="s">
        <v>42</v>
      </c>
      <c r="H210" s="4" t="s">
        <v>4055</v>
      </c>
      <c r="I210" s="4" t="s">
        <v>4087</v>
      </c>
      <c r="J210" s="6">
        <v>45480</v>
      </c>
      <c r="K210" s="4">
        <f>VLOOKUP(G210,Exchange_Rates!A:B,2,FALSE)</f>
        <v>0.66</v>
      </c>
      <c r="L210" s="4">
        <f t="shared" si="3"/>
        <v>319.35419999999999</v>
      </c>
    </row>
    <row r="211" spans="1:12" x14ac:dyDescent="0.25">
      <c r="A211" s="4" t="s">
        <v>4363</v>
      </c>
      <c r="B211" s="4" t="s">
        <v>4099</v>
      </c>
      <c r="C211" s="6">
        <v>45393</v>
      </c>
      <c r="D211" s="4" t="s">
        <v>4062</v>
      </c>
      <c r="E211" s="4" t="s">
        <v>4054</v>
      </c>
      <c r="F211" s="4">
        <v>559.13</v>
      </c>
      <c r="G211" s="4" t="s">
        <v>64</v>
      </c>
      <c r="H211" s="4" t="s">
        <v>4097</v>
      </c>
      <c r="I211" s="4" t="s">
        <v>4056</v>
      </c>
      <c r="J211" s="4"/>
      <c r="K211" s="4">
        <f>VLOOKUP(G211,Exchange_Rates!A:B,2,FALSE)</f>
        <v>0.73</v>
      </c>
      <c r="L211" s="4">
        <f t="shared" si="3"/>
        <v>408.16489999999999</v>
      </c>
    </row>
    <row r="212" spans="1:12" x14ac:dyDescent="0.25">
      <c r="A212" s="4" t="s">
        <v>4364</v>
      </c>
      <c r="B212" s="4" t="s">
        <v>4365</v>
      </c>
      <c r="C212" s="6">
        <v>45591</v>
      </c>
      <c r="D212" s="4" t="s">
        <v>4069</v>
      </c>
      <c r="E212" s="4" t="s">
        <v>4054</v>
      </c>
      <c r="F212" s="4">
        <v>769.66</v>
      </c>
      <c r="G212" s="4" t="s">
        <v>45</v>
      </c>
      <c r="H212" s="4" t="s">
        <v>4097</v>
      </c>
      <c r="I212" s="4" t="s">
        <v>4070</v>
      </c>
      <c r="J212" s="4"/>
      <c r="K212" s="4">
        <f>VLOOKUP(G212,Exchange_Rates!A:B,2,FALSE)</f>
        <v>1</v>
      </c>
      <c r="L212" s="4">
        <f t="shared" si="3"/>
        <v>769.66</v>
      </c>
    </row>
    <row r="213" spans="1:12" x14ac:dyDescent="0.25">
      <c r="A213" s="4" t="s">
        <v>4366</v>
      </c>
      <c r="B213" s="4" t="s">
        <v>4134</v>
      </c>
      <c r="C213" s="6">
        <v>45699</v>
      </c>
      <c r="D213" s="4" t="s">
        <v>4096</v>
      </c>
      <c r="E213" s="4" t="s">
        <v>4054</v>
      </c>
      <c r="F213" s="4">
        <v>146.13999999999999</v>
      </c>
      <c r="G213" s="4" t="s">
        <v>42</v>
      </c>
      <c r="H213" s="4" t="s">
        <v>4063</v>
      </c>
      <c r="I213" s="4" t="s">
        <v>4056</v>
      </c>
      <c r="J213" s="4"/>
      <c r="K213" s="4">
        <f>VLOOKUP(G213,Exchange_Rates!A:B,2,FALSE)</f>
        <v>0.66</v>
      </c>
      <c r="L213" s="4">
        <f t="shared" si="3"/>
        <v>96.452399999999997</v>
      </c>
    </row>
    <row r="214" spans="1:12" x14ac:dyDescent="0.25">
      <c r="A214" s="4" t="s">
        <v>4367</v>
      </c>
      <c r="B214" s="4" t="s">
        <v>4368</v>
      </c>
      <c r="C214" s="6">
        <v>45355</v>
      </c>
      <c r="D214" s="4" t="s">
        <v>4053</v>
      </c>
      <c r="E214" s="4" t="s">
        <v>4054</v>
      </c>
      <c r="F214" s="4">
        <v>370.23</v>
      </c>
      <c r="G214" s="4" t="s">
        <v>45</v>
      </c>
      <c r="H214" s="4" t="s">
        <v>4097</v>
      </c>
      <c r="I214" s="4" t="s">
        <v>4056</v>
      </c>
      <c r="J214" s="4"/>
      <c r="K214" s="4">
        <f>VLOOKUP(G214,Exchange_Rates!A:B,2,FALSE)</f>
        <v>1</v>
      </c>
      <c r="L214" s="4">
        <f t="shared" si="3"/>
        <v>370.23</v>
      </c>
    </row>
    <row r="215" spans="1:12" x14ac:dyDescent="0.25">
      <c r="A215" s="4" t="s">
        <v>4369</v>
      </c>
      <c r="B215" s="4" t="s">
        <v>4253</v>
      </c>
      <c r="C215" s="6">
        <v>45600</v>
      </c>
      <c r="D215" s="4" t="s">
        <v>4069</v>
      </c>
      <c r="E215" s="4" t="s">
        <v>4054</v>
      </c>
      <c r="F215" s="4">
        <v>391.7</v>
      </c>
      <c r="G215" s="4" t="s">
        <v>36</v>
      </c>
      <c r="H215" s="4" t="s">
        <v>4059</v>
      </c>
      <c r="I215" s="4" t="s">
        <v>4070</v>
      </c>
      <c r="J215" s="4"/>
      <c r="K215" s="4">
        <f>VLOOKUP(G215,Exchange_Rates!A:B,2,FALSE)</f>
        <v>1.08</v>
      </c>
      <c r="L215" s="4">
        <f t="shared" si="3"/>
        <v>423.036</v>
      </c>
    </row>
    <row r="216" spans="1:12" x14ac:dyDescent="0.25">
      <c r="A216" s="4" t="s">
        <v>4370</v>
      </c>
      <c r="B216" s="4" t="s">
        <v>4371</v>
      </c>
      <c r="C216" s="6">
        <v>45491</v>
      </c>
      <c r="D216" s="4" t="s">
        <v>4053</v>
      </c>
      <c r="E216" s="4" t="s">
        <v>4054</v>
      </c>
      <c r="F216" s="4">
        <v>176.82</v>
      </c>
      <c r="G216" s="4" t="s">
        <v>36</v>
      </c>
      <c r="H216" s="4" t="s">
        <v>4063</v>
      </c>
      <c r="I216" s="4" t="s">
        <v>4087</v>
      </c>
      <c r="J216" s="4"/>
      <c r="K216" s="4">
        <f>VLOOKUP(G216,Exchange_Rates!A:B,2,FALSE)</f>
        <v>1.08</v>
      </c>
      <c r="L216" s="4">
        <f t="shared" si="3"/>
        <v>190.96559999999999</v>
      </c>
    </row>
    <row r="217" spans="1:12" x14ac:dyDescent="0.25">
      <c r="A217" s="4" t="s">
        <v>4372</v>
      </c>
      <c r="B217" s="4" t="s">
        <v>4086</v>
      </c>
      <c r="C217" s="6">
        <v>45271</v>
      </c>
      <c r="D217" s="4" t="s">
        <v>4096</v>
      </c>
      <c r="E217" s="4" t="s">
        <v>4054</v>
      </c>
      <c r="F217" s="4">
        <v>158.19999999999999</v>
      </c>
      <c r="G217" s="4" t="s">
        <v>64</v>
      </c>
      <c r="H217" s="4" t="s">
        <v>4097</v>
      </c>
      <c r="I217" s="4" t="s">
        <v>4070</v>
      </c>
      <c r="J217" s="4"/>
      <c r="K217" s="4">
        <f>VLOOKUP(G217,Exchange_Rates!A:B,2,FALSE)</f>
        <v>0.73</v>
      </c>
      <c r="L217" s="4">
        <f t="shared" si="3"/>
        <v>115.48599999999999</v>
      </c>
    </row>
    <row r="218" spans="1:12" x14ac:dyDescent="0.25">
      <c r="A218" s="4" t="s">
        <v>4373</v>
      </c>
      <c r="B218" s="4" t="s">
        <v>4089</v>
      </c>
      <c r="C218" s="6">
        <v>45391</v>
      </c>
      <c r="D218" s="4" t="s">
        <v>4069</v>
      </c>
      <c r="E218" s="4" t="s">
        <v>4054</v>
      </c>
      <c r="F218" s="4">
        <v>621.23</v>
      </c>
      <c r="G218" s="4" t="s">
        <v>45</v>
      </c>
      <c r="H218" s="4" t="s">
        <v>4097</v>
      </c>
      <c r="I218" s="4" t="s">
        <v>4056</v>
      </c>
      <c r="J218" s="4"/>
      <c r="K218" s="4">
        <f>VLOOKUP(G218,Exchange_Rates!A:B,2,FALSE)</f>
        <v>1</v>
      </c>
      <c r="L218" s="4">
        <f t="shared" si="3"/>
        <v>621.23</v>
      </c>
    </row>
    <row r="219" spans="1:12" x14ac:dyDescent="0.25">
      <c r="A219" s="4" t="s">
        <v>4374</v>
      </c>
      <c r="B219" s="4" t="s">
        <v>4108</v>
      </c>
      <c r="C219" s="6">
        <v>45349</v>
      </c>
      <c r="D219" s="4" t="s">
        <v>4053</v>
      </c>
      <c r="E219" s="4" t="s">
        <v>4054</v>
      </c>
      <c r="F219" s="4">
        <v>629.16</v>
      </c>
      <c r="G219" s="4" t="s">
        <v>28</v>
      </c>
      <c r="H219" s="4" t="s">
        <v>4097</v>
      </c>
      <c r="I219" s="4" t="s">
        <v>4056</v>
      </c>
      <c r="J219" s="4"/>
      <c r="K219" s="4">
        <f>VLOOKUP(G219,Exchange_Rates!A:B,2,FALSE)</f>
        <v>1.27</v>
      </c>
      <c r="L219" s="4">
        <f t="shared" si="3"/>
        <v>799.03319999999997</v>
      </c>
    </row>
    <row r="220" spans="1:12" x14ac:dyDescent="0.25">
      <c r="A220" s="4" t="s">
        <v>4375</v>
      </c>
      <c r="B220" s="4" t="s">
        <v>4176</v>
      </c>
      <c r="C220" s="6">
        <v>45034</v>
      </c>
      <c r="D220" s="4" t="s">
        <v>4066</v>
      </c>
      <c r="E220" s="4" t="s">
        <v>4054</v>
      </c>
      <c r="F220" s="4">
        <v>262.25</v>
      </c>
      <c r="G220" s="4" t="s">
        <v>45</v>
      </c>
      <c r="H220" s="4" t="s">
        <v>4059</v>
      </c>
      <c r="I220" s="4" t="s">
        <v>4070</v>
      </c>
      <c r="J220" s="4"/>
      <c r="K220" s="4">
        <f>VLOOKUP(G220,Exchange_Rates!A:B,2,FALSE)</f>
        <v>1</v>
      </c>
      <c r="L220" s="4">
        <f t="shared" si="3"/>
        <v>262.25</v>
      </c>
    </row>
    <row r="221" spans="1:12" x14ac:dyDescent="0.25">
      <c r="A221" s="4" t="s">
        <v>4376</v>
      </c>
      <c r="B221" s="4" t="s">
        <v>4219</v>
      </c>
      <c r="C221" s="6">
        <v>45056</v>
      </c>
      <c r="D221" s="4" t="s">
        <v>4062</v>
      </c>
      <c r="E221" s="4" t="s">
        <v>4054</v>
      </c>
      <c r="F221" s="4">
        <v>489.85</v>
      </c>
      <c r="G221" s="4" t="s">
        <v>28</v>
      </c>
      <c r="H221" s="4" t="s">
        <v>4059</v>
      </c>
      <c r="I221" s="4" t="s">
        <v>4087</v>
      </c>
      <c r="J221" s="4"/>
      <c r="K221" s="4">
        <f>VLOOKUP(G221,Exchange_Rates!A:B,2,FALSE)</f>
        <v>1.27</v>
      </c>
      <c r="L221" s="4">
        <f t="shared" si="3"/>
        <v>622.10950000000003</v>
      </c>
    </row>
    <row r="222" spans="1:12" x14ac:dyDescent="0.25">
      <c r="A222" s="4" t="s">
        <v>4377</v>
      </c>
      <c r="B222" s="4" t="s">
        <v>4378</v>
      </c>
      <c r="C222" s="6">
        <v>45413</v>
      </c>
      <c r="D222" s="4" t="s">
        <v>4066</v>
      </c>
      <c r="E222" s="4" t="s">
        <v>4054</v>
      </c>
      <c r="F222" s="4">
        <v>667.2</v>
      </c>
      <c r="G222" s="4" t="s">
        <v>42</v>
      </c>
      <c r="H222" s="4" t="s">
        <v>4063</v>
      </c>
      <c r="I222" s="4" t="s">
        <v>4070</v>
      </c>
      <c r="J222" s="4"/>
      <c r="K222" s="4">
        <f>VLOOKUP(G222,Exchange_Rates!A:B,2,FALSE)</f>
        <v>0.66</v>
      </c>
      <c r="L222" s="4">
        <f t="shared" si="3"/>
        <v>440.35200000000003</v>
      </c>
    </row>
    <row r="223" spans="1:12" x14ac:dyDescent="0.25">
      <c r="A223" s="4" t="s">
        <v>4379</v>
      </c>
      <c r="B223" s="4" t="s">
        <v>4129</v>
      </c>
      <c r="C223" s="6">
        <v>45269</v>
      </c>
      <c r="D223" s="4" t="s">
        <v>4096</v>
      </c>
      <c r="E223" s="4" t="s">
        <v>4054</v>
      </c>
      <c r="F223" s="4">
        <v>731.1</v>
      </c>
      <c r="G223" s="4" t="s">
        <v>42</v>
      </c>
      <c r="H223" s="4" t="s">
        <v>4055</v>
      </c>
      <c r="I223" s="4" t="s">
        <v>4070</v>
      </c>
      <c r="J223" s="6">
        <v>45284</v>
      </c>
      <c r="K223" s="4">
        <f>VLOOKUP(G223,Exchange_Rates!A:B,2,FALSE)</f>
        <v>0.66</v>
      </c>
      <c r="L223" s="4">
        <f t="shared" si="3"/>
        <v>482.52600000000001</v>
      </c>
    </row>
    <row r="224" spans="1:12" x14ac:dyDescent="0.25">
      <c r="A224" s="4" t="s">
        <v>4380</v>
      </c>
      <c r="B224" s="4" t="s">
        <v>4112</v>
      </c>
      <c r="C224" s="6">
        <v>45062</v>
      </c>
      <c r="D224" s="4" t="s">
        <v>4062</v>
      </c>
      <c r="E224" s="4" t="s">
        <v>4054</v>
      </c>
      <c r="F224" s="4">
        <v>459.04</v>
      </c>
      <c r="G224" s="4" t="s">
        <v>45</v>
      </c>
      <c r="H224" s="4" t="s">
        <v>4097</v>
      </c>
      <c r="I224" s="4" t="s">
        <v>4087</v>
      </c>
      <c r="J224" s="4"/>
      <c r="K224" s="4">
        <f>VLOOKUP(G224,Exchange_Rates!A:B,2,FALSE)</f>
        <v>1</v>
      </c>
      <c r="L224" s="4">
        <f t="shared" si="3"/>
        <v>459.04</v>
      </c>
    </row>
    <row r="225" spans="1:12" x14ac:dyDescent="0.25">
      <c r="A225" s="4" t="s">
        <v>4381</v>
      </c>
      <c r="B225" s="4" t="s">
        <v>4182</v>
      </c>
      <c r="C225" s="6">
        <v>45796</v>
      </c>
      <c r="D225" s="4" t="s">
        <v>4053</v>
      </c>
      <c r="E225" s="4" t="s">
        <v>4054</v>
      </c>
      <c r="F225" s="4">
        <v>729.86</v>
      </c>
      <c r="G225" s="4" t="s">
        <v>42</v>
      </c>
      <c r="H225" s="4" t="s">
        <v>4097</v>
      </c>
      <c r="I225" s="4" t="s">
        <v>4087</v>
      </c>
      <c r="J225" s="4"/>
      <c r="K225" s="4">
        <f>VLOOKUP(G225,Exchange_Rates!A:B,2,FALSE)</f>
        <v>0.66</v>
      </c>
      <c r="L225" s="4">
        <f t="shared" si="3"/>
        <v>481.70760000000001</v>
      </c>
    </row>
    <row r="226" spans="1:12" x14ac:dyDescent="0.25">
      <c r="A226" s="4" t="s">
        <v>4382</v>
      </c>
      <c r="B226" s="4" t="s">
        <v>4150</v>
      </c>
      <c r="C226" s="6">
        <v>45733</v>
      </c>
      <c r="D226" s="4" t="s">
        <v>4053</v>
      </c>
      <c r="E226" s="4" t="s">
        <v>4054</v>
      </c>
      <c r="F226" s="4">
        <v>47.25</v>
      </c>
      <c r="G226" s="4" t="s">
        <v>42</v>
      </c>
      <c r="H226" s="4" t="s">
        <v>4097</v>
      </c>
      <c r="I226" s="4" t="s">
        <v>4056</v>
      </c>
      <c r="J226" s="4"/>
      <c r="K226" s="4">
        <f>VLOOKUP(G226,Exchange_Rates!A:B,2,FALSE)</f>
        <v>0.66</v>
      </c>
      <c r="L226" s="4">
        <f t="shared" si="3"/>
        <v>31.185000000000002</v>
      </c>
    </row>
    <row r="227" spans="1:12" x14ac:dyDescent="0.25">
      <c r="A227" s="4" t="s">
        <v>4383</v>
      </c>
      <c r="B227" s="4" t="s">
        <v>4244</v>
      </c>
      <c r="C227" s="6">
        <v>45180</v>
      </c>
      <c r="D227" s="4" t="s">
        <v>4062</v>
      </c>
      <c r="E227" s="4" t="s">
        <v>4054</v>
      </c>
      <c r="F227" s="4">
        <v>66.55</v>
      </c>
      <c r="G227" s="4" t="s">
        <v>36</v>
      </c>
      <c r="H227" s="4" t="s">
        <v>4097</v>
      </c>
      <c r="I227" s="4" t="s">
        <v>4070</v>
      </c>
      <c r="J227" s="4"/>
      <c r="K227" s="4">
        <f>VLOOKUP(G227,Exchange_Rates!A:B,2,FALSE)</f>
        <v>1.08</v>
      </c>
      <c r="L227" s="4">
        <f t="shared" si="3"/>
        <v>71.873999999999995</v>
      </c>
    </row>
    <row r="228" spans="1:12" x14ac:dyDescent="0.25">
      <c r="A228" s="4" t="s">
        <v>4384</v>
      </c>
      <c r="B228" s="4" t="s">
        <v>4385</v>
      </c>
      <c r="C228" s="6">
        <v>45489</v>
      </c>
      <c r="D228" s="4" t="s">
        <v>4096</v>
      </c>
      <c r="E228" s="4" t="s">
        <v>4054</v>
      </c>
      <c r="F228" s="4">
        <v>445.39</v>
      </c>
      <c r="G228" s="4" t="s">
        <v>42</v>
      </c>
      <c r="H228" s="4" t="s">
        <v>4097</v>
      </c>
      <c r="I228" s="4" t="s">
        <v>4056</v>
      </c>
      <c r="J228" s="4"/>
      <c r="K228" s="4">
        <f>VLOOKUP(G228,Exchange_Rates!A:B,2,FALSE)</f>
        <v>0.66</v>
      </c>
      <c r="L228" s="4">
        <f t="shared" si="3"/>
        <v>293.95740000000001</v>
      </c>
    </row>
    <row r="229" spans="1:12" x14ac:dyDescent="0.25">
      <c r="A229" s="4" t="s">
        <v>4386</v>
      </c>
      <c r="B229" s="4" t="s">
        <v>4387</v>
      </c>
      <c r="C229" s="6">
        <v>45636</v>
      </c>
      <c r="D229" s="4" t="s">
        <v>4062</v>
      </c>
      <c r="E229" s="4" t="s">
        <v>4054</v>
      </c>
      <c r="F229" s="4">
        <v>223.78</v>
      </c>
      <c r="G229" s="4" t="s">
        <v>64</v>
      </c>
      <c r="H229" s="4" t="s">
        <v>4055</v>
      </c>
      <c r="I229" s="4" t="s">
        <v>4056</v>
      </c>
      <c r="J229" s="6">
        <v>45651</v>
      </c>
      <c r="K229" s="4">
        <f>VLOOKUP(G229,Exchange_Rates!A:B,2,FALSE)</f>
        <v>0.73</v>
      </c>
      <c r="L229" s="4">
        <f t="shared" si="3"/>
        <v>163.35939999999999</v>
      </c>
    </row>
    <row r="230" spans="1:12" x14ac:dyDescent="0.25">
      <c r="A230" s="4" t="s">
        <v>4388</v>
      </c>
      <c r="B230" s="4" t="s">
        <v>4078</v>
      </c>
      <c r="C230" s="6">
        <v>45495</v>
      </c>
      <c r="D230" s="4" t="s">
        <v>4096</v>
      </c>
      <c r="E230" s="4" t="s">
        <v>4054</v>
      </c>
      <c r="F230" s="4">
        <v>766.5</v>
      </c>
      <c r="G230" s="4" t="s">
        <v>28</v>
      </c>
      <c r="H230" s="4" t="s">
        <v>4063</v>
      </c>
      <c r="I230" s="4" t="s">
        <v>4087</v>
      </c>
      <c r="J230" s="4"/>
      <c r="K230" s="4">
        <f>VLOOKUP(G230,Exchange_Rates!A:B,2,FALSE)</f>
        <v>1.27</v>
      </c>
      <c r="L230" s="4">
        <f t="shared" si="3"/>
        <v>973.45500000000004</v>
      </c>
    </row>
    <row r="231" spans="1:12" x14ac:dyDescent="0.25">
      <c r="A231" s="4" t="s">
        <v>4389</v>
      </c>
      <c r="B231" s="4" t="s">
        <v>4164</v>
      </c>
      <c r="C231" s="6">
        <v>45187</v>
      </c>
      <c r="D231" s="4" t="s">
        <v>4096</v>
      </c>
      <c r="E231" s="4" t="s">
        <v>4054</v>
      </c>
      <c r="F231" s="4">
        <v>91.87</v>
      </c>
      <c r="G231" s="4" t="s">
        <v>45</v>
      </c>
      <c r="H231" s="4" t="s">
        <v>4059</v>
      </c>
      <c r="I231" s="4" t="s">
        <v>4087</v>
      </c>
      <c r="J231" s="4"/>
      <c r="K231" s="4">
        <f>VLOOKUP(G231,Exchange_Rates!A:B,2,FALSE)</f>
        <v>1</v>
      </c>
      <c r="L231" s="4">
        <f t="shared" si="3"/>
        <v>91.87</v>
      </c>
    </row>
    <row r="232" spans="1:12" x14ac:dyDescent="0.25">
      <c r="A232" s="4" t="s">
        <v>4390</v>
      </c>
      <c r="B232" s="4" t="s">
        <v>4065</v>
      </c>
      <c r="C232" s="6">
        <v>45027</v>
      </c>
      <c r="D232" s="4" t="s">
        <v>4062</v>
      </c>
      <c r="E232" s="4" t="s">
        <v>4054</v>
      </c>
      <c r="F232" s="4">
        <v>60.99</v>
      </c>
      <c r="G232" s="4" t="s">
        <v>28</v>
      </c>
      <c r="H232" s="4" t="s">
        <v>4059</v>
      </c>
      <c r="I232" s="4" t="s">
        <v>4070</v>
      </c>
      <c r="J232" s="4"/>
      <c r="K232" s="4">
        <f>VLOOKUP(G232,Exchange_Rates!A:B,2,FALSE)</f>
        <v>1.27</v>
      </c>
      <c r="L232" s="4">
        <f t="shared" si="3"/>
        <v>77.457300000000004</v>
      </c>
    </row>
    <row r="233" spans="1:12" x14ac:dyDescent="0.25">
      <c r="A233" s="4" t="s">
        <v>4391</v>
      </c>
      <c r="B233" s="4" t="s">
        <v>4280</v>
      </c>
      <c r="C233" s="6">
        <v>45465</v>
      </c>
      <c r="D233" s="4" t="s">
        <v>4053</v>
      </c>
      <c r="E233" s="4" t="s">
        <v>4054</v>
      </c>
      <c r="F233" s="4">
        <v>714.11</v>
      </c>
      <c r="G233" s="4" t="s">
        <v>36</v>
      </c>
      <c r="H233" s="4" t="s">
        <v>4059</v>
      </c>
      <c r="I233" s="4" t="s">
        <v>4087</v>
      </c>
      <c r="J233" s="4"/>
      <c r="K233" s="4">
        <f>VLOOKUP(G233,Exchange_Rates!A:B,2,FALSE)</f>
        <v>1.08</v>
      </c>
      <c r="L233" s="4">
        <f t="shared" si="3"/>
        <v>771.23880000000008</v>
      </c>
    </row>
    <row r="234" spans="1:12" x14ac:dyDescent="0.25">
      <c r="A234" s="4" t="s">
        <v>4392</v>
      </c>
      <c r="B234" s="4" t="s">
        <v>4393</v>
      </c>
      <c r="C234" s="6">
        <v>45021</v>
      </c>
      <c r="D234" s="4" t="s">
        <v>4062</v>
      </c>
      <c r="E234" s="4" t="s">
        <v>4054</v>
      </c>
      <c r="F234" s="4">
        <v>391.49</v>
      </c>
      <c r="G234" s="4" t="s">
        <v>28</v>
      </c>
      <c r="H234" s="4" t="s">
        <v>4097</v>
      </c>
      <c r="I234" s="4" t="s">
        <v>4070</v>
      </c>
      <c r="J234" s="4"/>
      <c r="K234" s="4">
        <f>VLOOKUP(G234,Exchange_Rates!A:B,2,FALSE)</f>
        <v>1.27</v>
      </c>
      <c r="L234" s="4">
        <f t="shared" si="3"/>
        <v>497.19230000000005</v>
      </c>
    </row>
    <row r="235" spans="1:12" x14ac:dyDescent="0.25">
      <c r="A235" s="4" t="s">
        <v>4394</v>
      </c>
      <c r="B235" s="4" t="s">
        <v>4232</v>
      </c>
      <c r="C235" s="6">
        <v>44974</v>
      </c>
      <c r="D235" s="4" t="s">
        <v>4066</v>
      </c>
      <c r="E235" s="4" t="s">
        <v>4054</v>
      </c>
      <c r="F235" s="4">
        <v>206.85</v>
      </c>
      <c r="G235" s="4" t="s">
        <v>28</v>
      </c>
      <c r="H235" s="4" t="s">
        <v>4063</v>
      </c>
      <c r="I235" s="4" t="s">
        <v>4070</v>
      </c>
      <c r="J235" s="4"/>
      <c r="K235" s="4">
        <f>VLOOKUP(G235,Exchange_Rates!A:B,2,FALSE)</f>
        <v>1.27</v>
      </c>
      <c r="L235" s="4">
        <f t="shared" si="3"/>
        <v>262.6995</v>
      </c>
    </row>
    <row r="236" spans="1:12" x14ac:dyDescent="0.25">
      <c r="A236" s="4" t="s">
        <v>4395</v>
      </c>
      <c r="B236" s="4" t="s">
        <v>4393</v>
      </c>
      <c r="C236" s="6">
        <v>45002</v>
      </c>
      <c r="D236" s="4" t="s">
        <v>4062</v>
      </c>
      <c r="E236" s="4" t="s">
        <v>4054</v>
      </c>
      <c r="F236" s="4">
        <v>622.08000000000004</v>
      </c>
      <c r="G236" s="4" t="s">
        <v>45</v>
      </c>
      <c r="H236" s="4" t="s">
        <v>4055</v>
      </c>
      <c r="I236" s="4" t="s">
        <v>4056</v>
      </c>
      <c r="J236" s="6">
        <v>45017</v>
      </c>
      <c r="K236" s="4">
        <f>VLOOKUP(G236,Exchange_Rates!A:B,2,FALSE)</f>
        <v>1</v>
      </c>
      <c r="L236" s="4">
        <f t="shared" si="3"/>
        <v>622.08000000000004</v>
      </c>
    </row>
    <row r="237" spans="1:12" x14ac:dyDescent="0.25">
      <c r="A237" s="4" t="s">
        <v>4396</v>
      </c>
      <c r="B237" s="4" t="s">
        <v>4158</v>
      </c>
      <c r="C237" s="6">
        <v>45564</v>
      </c>
      <c r="D237" s="4" t="s">
        <v>4096</v>
      </c>
      <c r="E237" s="4" t="s">
        <v>4054</v>
      </c>
      <c r="F237" s="4">
        <v>86.62</v>
      </c>
      <c r="G237" s="4" t="s">
        <v>28</v>
      </c>
      <c r="H237" s="4" t="s">
        <v>4055</v>
      </c>
      <c r="I237" s="4" t="s">
        <v>4087</v>
      </c>
      <c r="J237" s="6">
        <v>45579</v>
      </c>
      <c r="K237" s="4">
        <f>VLOOKUP(G237,Exchange_Rates!A:B,2,FALSE)</f>
        <v>1.27</v>
      </c>
      <c r="L237" s="4">
        <f t="shared" si="3"/>
        <v>110.0074</v>
      </c>
    </row>
    <row r="238" spans="1:12" x14ac:dyDescent="0.25">
      <c r="A238" s="4" t="s">
        <v>4397</v>
      </c>
      <c r="B238" s="4" t="s">
        <v>4173</v>
      </c>
      <c r="C238" s="6">
        <v>45672</v>
      </c>
      <c r="D238" s="4" t="s">
        <v>4053</v>
      </c>
      <c r="E238" s="4" t="s">
        <v>4054</v>
      </c>
      <c r="F238" s="4">
        <v>722.72</v>
      </c>
      <c r="G238" s="4" t="s">
        <v>45</v>
      </c>
      <c r="H238" s="4" t="s">
        <v>4055</v>
      </c>
      <c r="I238" s="4" t="s">
        <v>4087</v>
      </c>
      <c r="J238" s="6">
        <v>45687</v>
      </c>
      <c r="K238" s="4">
        <f>VLOOKUP(G238,Exchange_Rates!A:B,2,FALSE)</f>
        <v>1</v>
      </c>
      <c r="L238" s="4">
        <f t="shared" si="3"/>
        <v>722.72</v>
      </c>
    </row>
    <row r="239" spans="1:12" x14ac:dyDescent="0.25">
      <c r="A239" s="4" t="s">
        <v>4398</v>
      </c>
      <c r="B239" s="4" t="s">
        <v>4385</v>
      </c>
      <c r="C239" s="6">
        <v>45762</v>
      </c>
      <c r="D239" s="4" t="s">
        <v>4062</v>
      </c>
      <c r="E239" s="4" t="s">
        <v>4054</v>
      </c>
      <c r="F239" s="4">
        <v>731.85</v>
      </c>
      <c r="G239" s="4" t="s">
        <v>45</v>
      </c>
      <c r="H239" s="4" t="s">
        <v>4063</v>
      </c>
      <c r="I239" s="4" t="s">
        <v>4087</v>
      </c>
      <c r="J239" s="4"/>
      <c r="K239" s="4">
        <f>VLOOKUP(G239,Exchange_Rates!A:B,2,FALSE)</f>
        <v>1</v>
      </c>
      <c r="L239" s="4">
        <f t="shared" si="3"/>
        <v>731.85</v>
      </c>
    </row>
    <row r="240" spans="1:12" x14ac:dyDescent="0.25">
      <c r="A240" s="4" t="s">
        <v>4399</v>
      </c>
      <c r="B240" s="4" t="s">
        <v>4393</v>
      </c>
      <c r="C240" s="6">
        <v>45035</v>
      </c>
      <c r="D240" s="4" t="s">
        <v>4053</v>
      </c>
      <c r="E240" s="4" t="s">
        <v>4054</v>
      </c>
      <c r="F240" s="4">
        <v>341.81</v>
      </c>
      <c r="G240" s="4" t="s">
        <v>36</v>
      </c>
      <c r="H240" s="4" t="s">
        <v>4059</v>
      </c>
      <c r="I240" s="4" t="s">
        <v>4087</v>
      </c>
      <c r="J240" s="4"/>
      <c r="K240" s="4">
        <f>VLOOKUP(G240,Exchange_Rates!A:B,2,FALSE)</f>
        <v>1.08</v>
      </c>
      <c r="L240" s="4">
        <f t="shared" si="3"/>
        <v>369.15480000000002</v>
      </c>
    </row>
    <row r="241" spans="1:12" x14ac:dyDescent="0.25">
      <c r="A241" s="4" t="s">
        <v>4400</v>
      </c>
      <c r="B241" s="4" t="s">
        <v>4269</v>
      </c>
      <c r="C241" s="6">
        <v>45506</v>
      </c>
      <c r="D241" s="4" t="s">
        <v>4096</v>
      </c>
      <c r="E241" s="4" t="s">
        <v>4054</v>
      </c>
      <c r="F241" s="4">
        <v>580.91999999999996</v>
      </c>
      <c r="G241" s="4" t="s">
        <v>64</v>
      </c>
      <c r="H241" s="4" t="s">
        <v>4059</v>
      </c>
      <c r="I241" s="4" t="s">
        <v>4070</v>
      </c>
      <c r="J241" s="4"/>
      <c r="K241" s="4">
        <f>VLOOKUP(G241,Exchange_Rates!A:B,2,FALSE)</f>
        <v>0.73</v>
      </c>
      <c r="L241" s="4">
        <f t="shared" si="3"/>
        <v>424.07159999999993</v>
      </c>
    </row>
    <row r="242" spans="1:12" x14ac:dyDescent="0.25">
      <c r="A242" s="4" t="s">
        <v>4401</v>
      </c>
      <c r="B242" s="4" t="s">
        <v>4126</v>
      </c>
      <c r="C242" s="6">
        <v>45277</v>
      </c>
      <c r="D242" s="4" t="s">
        <v>4096</v>
      </c>
      <c r="E242" s="4" t="s">
        <v>4054</v>
      </c>
      <c r="F242" s="4">
        <v>466.05</v>
      </c>
      <c r="G242" s="4" t="s">
        <v>45</v>
      </c>
      <c r="H242" s="4" t="s">
        <v>4063</v>
      </c>
      <c r="I242" s="4" t="s">
        <v>4087</v>
      </c>
      <c r="J242" s="4"/>
      <c r="K242" s="4">
        <f>VLOOKUP(G242,Exchange_Rates!A:B,2,FALSE)</f>
        <v>1</v>
      </c>
      <c r="L242" s="4">
        <f t="shared" si="3"/>
        <v>466.05</v>
      </c>
    </row>
    <row r="243" spans="1:12" x14ac:dyDescent="0.25">
      <c r="A243" s="4" t="s">
        <v>4402</v>
      </c>
      <c r="B243" s="4" t="s">
        <v>4330</v>
      </c>
      <c r="C243" s="6">
        <v>45433</v>
      </c>
      <c r="D243" s="4" t="s">
        <v>4096</v>
      </c>
      <c r="E243" s="4" t="s">
        <v>4054</v>
      </c>
      <c r="F243" s="4">
        <v>24.54</v>
      </c>
      <c r="G243" s="4" t="s">
        <v>28</v>
      </c>
      <c r="H243" s="4" t="s">
        <v>4097</v>
      </c>
      <c r="I243" s="4" t="s">
        <v>4056</v>
      </c>
      <c r="J243" s="4"/>
      <c r="K243" s="4">
        <f>VLOOKUP(G243,Exchange_Rates!A:B,2,FALSE)</f>
        <v>1.27</v>
      </c>
      <c r="L243" s="4">
        <f t="shared" si="3"/>
        <v>31.165800000000001</v>
      </c>
    </row>
    <row r="244" spans="1:12" x14ac:dyDescent="0.25">
      <c r="A244" s="4" t="s">
        <v>4403</v>
      </c>
      <c r="B244" s="4" t="s">
        <v>4058</v>
      </c>
      <c r="C244" s="6">
        <v>45285</v>
      </c>
      <c r="D244" s="4" t="s">
        <v>4053</v>
      </c>
      <c r="E244" s="4" t="s">
        <v>4054</v>
      </c>
      <c r="F244" s="4">
        <v>717.15</v>
      </c>
      <c r="G244" s="4" t="s">
        <v>42</v>
      </c>
      <c r="H244" s="4" t="s">
        <v>4055</v>
      </c>
      <c r="I244" s="4" t="s">
        <v>4056</v>
      </c>
      <c r="J244" s="6">
        <v>45300</v>
      </c>
      <c r="K244" s="4">
        <f>VLOOKUP(G244,Exchange_Rates!A:B,2,FALSE)</f>
        <v>0.66</v>
      </c>
      <c r="L244" s="4">
        <f t="shared" si="3"/>
        <v>473.31900000000002</v>
      </c>
    </row>
    <row r="245" spans="1:12" x14ac:dyDescent="0.25">
      <c r="A245" s="4" t="s">
        <v>4404</v>
      </c>
      <c r="B245" s="4" t="s">
        <v>4405</v>
      </c>
      <c r="C245" s="6">
        <v>45571</v>
      </c>
      <c r="D245" s="4" t="s">
        <v>4062</v>
      </c>
      <c r="E245" s="4" t="s">
        <v>4054</v>
      </c>
      <c r="F245" s="4">
        <v>255.61</v>
      </c>
      <c r="G245" s="4" t="s">
        <v>36</v>
      </c>
      <c r="H245" s="4" t="s">
        <v>4097</v>
      </c>
      <c r="I245" s="4" t="s">
        <v>4056</v>
      </c>
      <c r="J245" s="4"/>
      <c r="K245" s="4">
        <f>VLOOKUP(G245,Exchange_Rates!A:B,2,FALSE)</f>
        <v>1.08</v>
      </c>
      <c r="L245" s="4">
        <f t="shared" si="3"/>
        <v>276.05880000000002</v>
      </c>
    </row>
    <row r="246" spans="1:12" x14ac:dyDescent="0.25">
      <c r="A246" s="4" t="s">
        <v>4406</v>
      </c>
      <c r="B246" s="4" t="s">
        <v>4162</v>
      </c>
      <c r="C246" s="6">
        <v>45533</v>
      </c>
      <c r="D246" s="4" t="s">
        <v>4066</v>
      </c>
      <c r="E246" s="4" t="s">
        <v>4054</v>
      </c>
      <c r="F246" s="4">
        <v>404.76</v>
      </c>
      <c r="G246" s="4" t="s">
        <v>42</v>
      </c>
      <c r="H246" s="4" t="s">
        <v>4063</v>
      </c>
      <c r="I246" s="4" t="s">
        <v>4056</v>
      </c>
      <c r="J246" s="4"/>
      <c r="K246" s="4">
        <f>VLOOKUP(G246,Exchange_Rates!A:B,2,FALSE)</f>
        <v>0.66</v>
      </c>
      <c r="L246" s="4">
        <f t="shared" si="3"/>
        <v>267.14159999999998</v>
      </c>
    </row>
    <row r="247" spans="1:12" x14ac:dyDescent="0.25">
      <c r="A247" s="4" t="s">
        <v>4407</v>
      </c>
      <c r="B247" s="4" t="s">
        <v>4324</v>
      </c>
      <c r="C247" s="6">
        <v>44978</v>
      </c>
      <c r="D247" s="4" t="s">
        <v>4069</v>
      </c>
      <c r="E247" s="4" t="s">
        <v>4054</v>
      </c>
      <c r="F247" s="4">
        <v>82.29</v>
      </c>
      <c r="G247" s="4" t="s">
        <v>28</v>
      </c>
      <c r="H247" s="4" t="s">
        <v>4097</v>
      </c>
      <c r="I247" s="4" t="s">
        <v>4070</v>
      </c>
      <c r="J247" s="4"/>
      <c r="K247" s="4">
        <f>VLOOKUP(G247,Exchange_Rates!A:B,2,FALSE)</f>
        <v>1.27</v>
      </c>
      <c r="L247" s="4">
        <f t="shared" si="3"/>
        <v>104.50830000000001</v>
      </c>
    </row>
    <row r="248" spans="1:12" x14ac:dyDescent="0.25">
      <c r="A248" s="4" t="s">
        <v>4408</v>
      </c>
      <c r="B248" s="4" t="s">
        <v>4306</v>
      </c>
      <c r="C248" s="6">
        <v>44938</v>
      </c>
      <c r="D248" s="4" t="s">
        <v>4066</v>
      </c>
      <c r="E248" s="4" t="s">
        <v>4054</v>
      </c>
      <c r="F248" s="4">
        <v>28.88</v>
      </c>
      <c r="G248" s="4" t="s">
        <v>45</v>
      </c>
      <c r="H248" s="4" t="s">
        <v>4097</v>
      </c>
      <c r="I248" s="4" t="s">
        <v>4070</v>
      </c>
      <c r="J248" s="4"/>
      <c r="K248" s="4">
        <f>VLOOKUP(G248,Exchange_Rates!A:B,2,FALSE)</f>
        <v>1</v>
      </c>
      <c r="L248" s="4">
        <f t="shared" si="3"/>
        <v>28.88</v>
      </c>
    </row>
    <row r="249" spans="1:12" x14ac:dyDescent="0.25">
      <c r="A249" s="4" t="s">
        <v>4409</v>
      </c>
      <c r="B249" s="4" t="s">
        <v>4103</v>
      </c>
      <c r="C249" s="6">
        <v>45014</v>
      </c>
      <c r="D249" s="4" t="s">
        <v>4066</v>
      </c>
      <c r="E249" s="4" t="s">
        <v>4054</v>
      </c>
      <c r="F249" s="4">
        <v>796.21</v>
      </c>
      <c r="G249" s="4" t="s">
        <v>36</v>
      </c>
      <c r="H249" s="4" t="s">
        <v>4063</v>
      </c>
      <c r="I249" s="4" t="s">
        <v>4056</v>
      </c>
      <c r="J249" s="4"/>
      <c r="K249" s="4">
        <f>VLOOKUP(G249,Exchange_Rates!A:B,2,FALSE)</f>
        <v>1.08</v>
      </c>
      <c r="L249" s="4">
        <f t="shared" si="3"/>
        <v>859.90680000000009</v>
      </c>
    </row>
    <row r="250" spans="1:12" x14ac:dyDescent="0.25">
      <c r="A250" s="4" t="s">
        <v>4410</v>
      </c>
      <c r="B250" s="4" t="s">
        <v>4080</v>
      </c>
      <c r="C250" s="6">
        <v>45144</v>
      </c>
      <c r="D250" s="4" t="s">
        <v>4069</v>
      </c>
      <c r="E250" s="4" t="s">
        <v>4054</v>
      </c>
      <c r="F250" s="4">
        <v>391.87</v>
      </c>
      <c r="G250" s="4" t="s">
        <v>45</v>
      </c>
      <c r="H250" s="4" t="s">
        <v>4059</v>
      </c>
      <c r="I250" s="4" t="s">
        <v>4087</v>
      </c>
      <c r="J250" s="4"/>
      <c r="K250" s="4">
        <f>VLOOKUP(G250,Exchange_Rates!A:B,2,FALSE)</f>
        <v>1</v>
      </c>
      <c r="L250" s="4">
        <f t="shared" si="3"/>
        <v>391.87</v>
      </c>
    </row>
    <row r="251" spans="1:12" x14ac:dyDescent="0.25">
      <c r="A251" s="4" t="s">
        <v>4411</v>
      </c>
      <c r="B251" s="4" t="s">
        <v>4255</v>
      </c>
      <c r="C251" s="6">
        <v>45361</v>
      </c>
      <c r="D251" s="4" t="s">
        <v>4069</v>
      </c>
      <c r="E251" s="4" t="s">
        <v>4054</v>
      </c>
      <c r="F251" s="4">
        <v>259.58</v>
      </c>
      <c r="G251" s="4" t="s">
        <v>42</v>
      </c>
      <c r="H251" s="4" t="s">
        <v>4055</v>
      </c>
      <c r="I251" s="4" t="s">
        <v>4070</v>
      </c>
      <c r="J251" s="6">
        <v>45376</v>
      </c>
      <c r="K251" s="4">
        <f>VLOOKUP(G251,Exchange_Rates!A:B,2,FALSE)</f>
        <v>0.66</v>
      </c>
      <c r="L251" s="4">
        <f t="shared" si="3"/>
        <v>171.3228</v>
      </c>
    </row>
    <row r="252" spans="1:12" x14ac:dyDescent="0.25">
      <c r="A252" s="4" t="s">
        <v>4412</v>
      </c>
      <c r="B252" s="4" t="s">
        <v>4269</v>
      </c>
      <c r="C252" s="6">
        <v>45080</v>
      </c>
      <c r="D252" s="4" t="s">
        <v>4053</v>
      </c>
      <c r="E252" s="4" t="s">
        <v>4054</v>
      </c>
      <c r="F252" s="4">
        <v>708.18</v>
      </c>
      <c r="G252" s="4" t="s">
        <v>64</v>
      </c>
      <c r="H252" s="4" t="s">
        <v>4055</v>
      </c>
      <c r="I252" s="4" t="s">
        <v>4056</v>
      </c>
      <c r="J252" s="6">
        <v>45095</v>
      </c>
      <c r="K252" s="4">
        <f>VLOOKUP(G252,Exchange_Rates!A:B,2,FALSE)</f>
        <v>0.73</v>
      </c>
      <c r="L252" s="4">
        <f t="shared" si="3"/>
        <v>516.9713999999999</v>
      </c>
    </row>
    <row r="253" spans="1:12" x14ac:dyDescent="0.25">
      <c r="A253" s="4" t="s">
        <v>4413</v>
      </c>
      <c r="B253" s="4" t="s">
        <v>4068</v>
      </c>
      <c r="C253" s="6">
        <v>44971</v>
      </c>
      <c r="D253" s="4" t="s">
        <v>4096</v>
      </c>
      <c r="E253" s="4" t="s">
        <v>4054</v>
      </c>
      <c r="F253" s="4">
        <v>371.53</v>
      </c>
      <c r="G253" s="4" t="s">
        <v>36</v>
      </c>
      <c r="H253" s="4" t="s">
        <v>4055</v>
      </c>
      <c r="I253" s="4" t="s">
        <v>4056</v>
      </c>
      <c r="J253" s="6">
        <v>44986</v>
      </c>
      <c r="K253" s="4">
        <f>VLOOKUP(G253,Exchange_Rates!A:B,2,FALSE)</f>
        <v>1.08</v>
      </c>
      <c r="L253" s="4">
        <f t="shared" si="3"/>
        <v>401.25240000000002</v>
      </c>
    </row>
    <row r="254" spans="1:12" x14ac:dyDescent="0.25">
      <c r="A254" s="4" t="s">
        <v>4414</v>
      </c>
      <c r="B254" s="4" t="s">
        <v>4080</v>
      </c>
      <c r="C254" s="6">
        <v>45196</v>
      </c>
      <c r="D254" s="4" t="s">
        <v>4062</v>
      </c>
      <c r="E254" s="4" t="s">
        <v>4054</v>
      </c>
      <c r="F254" s="4">
        <v>116.51</v>
      </c>
      <c r="G254" s="4" t="s">
        <v>64</v>
      </c>
      <c r="H254" s="4" t="s">
        <v>4063</v>
      </c>
      <c r="I254" s="4" t="s">
        <v>4056</v>
      </c>
      <c r="J254" s="4"/>
      <c r="K254" s="4">
        <f>VLOOKUP(G254,Exchange_Rates!A:B,2,FALSE)</f>
        <v>0.73</v>
      </c>
      <c r="L254" s="4">
        <f t="shared" si="3"/>
        <v>85.052300000000002</v>
      </c>
    </row>
    <row r="255" spans="1:12" x14ac:dyDescent="0.25">
      <c r="A255" s="4" t="s">
        <v>4415</v>
      </c>
      <c r="B255" s="4" t="s">
        <v>4219</v>
      </c>
      <c r="C255" s="6">
        <v>44996</v>
      </c>
      <c r="D255" s="4" t="s">
        <v>4053</v>
      </c>
      <c r="E255" s="4" t="s">
        <v>4054</v>
      </c>
      <c r="F255" s="4">
        <v>136.32</v>
      </c>
      <c r="G255" s="4" t="s">
        <v>36</v>
      </c>
      <c r="H255" s="4" t="s">
        <v>4059</v>
      </c>
      <c r="I255" s="4" t="s">
        <v>4056</v>
      </c>
      <c r="J255" s="4"/>
      <c r="K255" s="4">
        <f>VLOOKUP(G255,Exchange_Rates!A:B,2,FALSE)</f>
        <v>1.08</v>
      </c>
      <c r="L255" s="4">
        <f t="shared" si="3"/>
        <v>147.22560000000001</v>
      </c>
    </row>
    <row r="256" spans="1:12" x14ac:dyDescent="0.25">
      <c r="A256" s="4" t="s">
        <v>4416</v>
      </c>
      <c r="B256" s="4" t="s">
        <v>4150</v>
      </c>
      <c r="C256" s="6">
        <v>45290</v>
      </c>
      <c r="D256" s="4" t="s">
        <v>4053</v>
      </c>
      <c r="E256" s="4" t="s">
        <v>4054</v>
      </c>
      <c r="F256" s="4">
        <v>271.47000000000003</v>
      </c>
      <c r="G256" s="4" t="s">
        <v>36</v>
      </c>
      <c r="H256" s="4" t="s">
        <v>4059</v>
      </c>
      <c r="I256" s="4" t="s">
        <v>4070</v>
      </c>
      <c r="J256" s="4"/>
      <c r="K256" s="4">
        <f>VLOOKUP(G256,Exchange_Rates!A:B,2,FALSE)</f>
        <v>1.08</v>
      </c>
      <c r="L256" s="4">
        <f t="shared" si="3"/>
        <v>293.18760000000003</v>
      </c>
    </row>
    <row r="257" spans="1:12" x14ac:dyDescent="0.25">
      <c r="A257" s="4" t="s">
        <v>4417</v>
      </c>
      <c r="B257" s="4" t="s">
        <v>4129</v>
      </c>
      <c r="C257" s="6">
        <v>45440</v>
      </c>
      <c r="D257" s="4" t="s">
        <v>4096</v>
      </c>
      <c r="E257" s="4" t="s">
        <v>4054</v>
      </c>
      <c r="F257" s="4">
        <v>289.69</v>
      </c>
      <c r="G257" s="4" t="s">
        <v>45</v>
      </c>
      <c r="H257" s="4" t="s">
        <v>4059</v>
      </c>
      <c r="I257" s="4" t="s">
        <v>4087</v>
      </c>
      <c r="J257" s="4"/>
      <c r="K257" s="4">
        <f>VLOOKUP(G257,Exchange_Rates!A:B,2,FALSE)</f>
        <v>1</v>
      </c>
      <c r="L257" s="4">
        <f t="shared" si="3"/>
        <v>289.69</v>
      </c>
    </row>
    <row r="258" spans="1:12" x14ac:dyDescent="0.25">
      <c r="A258" s="4" t="s">
        <v>4418</v>
      </c>
      <c r="B258" s="4" t="s">
        <v>4419</v>
      </c>
      <c r="C258" s="6">
        <v>45092</v>
      </c>
      <c r="D258" s="4" t="s">
        <v>4069</v>
      </c>
      <c r="E258" s="4" t="s">
        <v>4054</v>
      </c>
      <c r="F258" s="4">
        <v>402.59</v>
      </c>
      <c r="G258" s="4" t="s">
        <v>36</v>
      </c>
      <c r="H258" s="4" t="s">
        <v>4055</v>
      </c>
      <c r="I258" s="4" t="s">
        <v>4070</v>
      </c>
      <c r="J258" s="6">
        <v>45107</v>
      </c>
      <c r="K258" s="4">
        <f>VLOOKUP(G258,Exchange_Rates!A:B,2,FALSE)</f>
        <v>1.08</v>
      </c>
      <c r="L258" s="4">
        <f t="shared" si="3"/>
        <v>434.79719999999998</v>
      </c>
    </row>
    <row r="259" spans="1:12" x14ac:dyDescent="0.25">
      <c r="A259" s="4" t="s">
        <v>4420</v>
      </c>
      <c r="B259" s="4" t="s">
        <v>4421</v>
      </c>
      <c r="C259" s="6">
        <v>45762</v>
      </c>
      <c r="D259" s="4" t="s">
        <v>4096</v>
      </c>
      <c r="E259" s="4" t="s">
        <v>4054</v>
      </c>
      <c r="F259" s="4">
        <v>653.5</v>
      </c>
      <c r="G259" s="4" t="s">
        <v>42</v>
      </c>
      <c r="H259" s="4" t="s">
        <v>4063</v>
      </c>
      <c r="I259" s="4" t="s">
        <v>4070</v>
      </c>
      <c r="J259" s="4"/>
      <c r="K259" s="4">
        <f>VLOOKUP(G259,Exchange_Rates!A:B,2,FALSE)</f>
        <v>0.66</v>
      </c>
      <c r="L259" s="4">
        <f t="shared" ref="L259:L322" si="4">F259*K259</f>
        <v>431.31</v>
      </c>
    </row>
    <row r="260" spans="1:12" x14ac:dyDescent="0.25">
      <c r="A260" s="4" t="s">
        <v>4422</v>
      </c>
      <c r="B260" s="4" t="s">
        <v>4199</v>
      </c>
      <c r="C260" s="6">
        <v>45242</v>
      </c>
      <c r="D260" s="4" t="s">
        <v>4053</v>
      </c>
      <c r="E260" s="4" t="s">
        <v>4054</v>
      </c>
      <c r="F260" s="4">
        <v>259.08</v>
      </c>
      <c r="G260" s="4" t="s">
        <v>28</v>
      </c>
      <c r="H260" s="4" t="s">
        <v>4097</v>
      </c>
      <c r="I260" s="4" t="s">
        <v>4056</v>
      </c>
      <c r="J260" s="4"/>
      <c r="K260" s="4">
        <f>VLOOKUP(G260,Exchange_Rates!A:B,2,FALSE)</f>
        <v>1.27</v>
      </c>
      <c r="L260" s="4">
        <f t="shared" si="4"/>
        <v>329.03159999999997</v>
      </c>
    </row>
    <row r="261" spans="1:12" x14ac:dyDescent="0.25">
      <c r="A261" s="4" t="s">
        <v>4423</v>
      </c>
      <c r="B261" s="4" t="s">
        <v>4239</v>
      </c>
      <c r="C261" s="6">
        <v>44956</v>
      </c>
      <c r="D261" s="4" t="s">
        <v>4069</v>
      </c>
      <c r="E261" s="4" t="s">
        <v>4054</v>
      </c>
      <c r="F261" s="4">
        <v>176.23</v>
      </c>
      <c r="G261" s="4" t="s">
        <v>28</v>
      </c>
      <c r="H261" s="4" t="s">
        <v>4097</v>
      </c>
      <c r="I261" s="4" t="s">
        <v>4070</v>
      </c>
      <c r="J261" s="4"/>
      <c r="K261" s="4">
        <f>VLOOKUP(G261,Exchange_Rates!A:B,2,FALSE)</f>
        <v>1.27</v>
      </c>
      <c r="L261" s="4">
        <f t="shared" si="4"/>
        <v>223.81209999999999</v>
      </c>
    </row>
    <row r="262" spans="1:12" x14ac:dyDescent="0.25">
      <c r="A262" s="4" t="s">
        <v>4424</v>
      </c>
      <c r="B262" s="4" t="s">
        <v>4106</v>
      </c>
      <c r="C262" s="6">
        <v>45012</v>
      </c>
      <c r="D262" s="4" t="s">
        <v>4069</v>
      </c>
      <c r="E262" s="4" t="s">
        <v>4054</v>
      </c>
      <c r="F262" s="4">
        <v>339.08</v>
      </c>
      <c r="G262" s="4" t="s">
        <v>42</v>
      </c>
      <c r="H262" s="4" t="s">
        <v>4059</v>
      </c>
      <c r="I262" s="4" t="s">
        <v>4070</v>
      </c>
      <c r="J262" s="4"/>
      <c r="K262" s="4">
        <f>VLOOKUP(G262,Exchange_Rates!A:B,2,FALSE)</f>
        <v>0.66</v>
      </c>
      <c r="L262" s="4">
        <f t="shared" si="4"/>
        <v>223.7928</v>
      </c>
    </row>
    <row r="263" spans="1:12" x14ac:dyDescent="0.25">
      <c r="A263" s="4" t="s">
        <v>4425</v>
      </c>
      <c r="B263" s="4" t="s">
        <v>4321</v>
      </c>
      <c r="C263" s="6">
        <v>45308</v>
      </c>
      <c r="D263" s="4" t="s">
        <v>4066</v>
      </c>
      <c r="E263" s="4" t="s">
        <v>4054</v>
      </c>
      <c r="F263" s="4">
        <v>324.38</v>
      </c>
      <c r="G263" s="4" t="s">
        <v>45</v>
      </c>
      <c r="H263" s="4" t="s">
        <v>4063</v>
      </c>
      <c r="I263" s="4" t="s">
        <v>4056</v>
      </c>
      <c r="J263" s="4"/>
      <c r="K263" s="4">
        <f>VLOOKUP(G263,Exchange_Rates!A:B,2,FALSE)</f>
        <v>1</v>
      </c>
      <c r="L263" s="4">
        <f t="shared" si="4"/>
        <v>324.38</v>
      </c>
    </row>
    <row r="264" spans="1:12" x14ac:dyDescent="0.25">
      <c r="A264" s="4" t="s">
        <v>4426</v>
      </c>
      <c r="B264" s="4" t="s">
        <v>4421</v>
      </c>
      <c r="C264" s="6">
        <v>45343</v>
      </c>
      <c r="D264" s="4" t="s">
        <v>4069</v>
      </c>
      <c r="E264" s="4" t="s">
        <v>4054</v>
      </c>
      <c r="F264" s="4">
        <v>572.25</v>
      </c>
      <c r="G264" s="4" t="s">
        <v>36</v>
      </c>
      <c r="H264" s="4" t="s">
        <v>4059</v>
      </c>
      <c r="I264" s="4" t="s">
        <v>4087</v>
      </c>
      <c r="J264" s="4"/>
      <c r="K264" s="4">
        <f>VLOOKUP(G264,Exchange_Rates!A:B,2,FALSE)</f>
        <v>1.08</v>
      </c>
      <c r="L264" s="4">
        <f t="shared" si="4"/>
        <v>618.03000000000009</v>
      </c>
    </row>
    <row r="265" spans="1:12" x14ac:dyDescent="0.25">
      <c r="A265" s="4" t="s">
        <v>4427</v>
      </c>
      <c r="B265" s="4" t="s">
        <v>4428</v>
      </c>
      <c r="C265" s="6">
        <v>45417</v>
      </c>
      <c r="D265" s="4" t="s">
        <v>4096</v>
      </c>
      <c r="E265" s="4" t="s">
        <v>4054</v>
      </c>
      <c r="F265" s="4">
        <v>32.46</v>
      </c>
      <c r="G265" s="4" t="s">
        <v>64</v>
      </c>
      <c r="H265" s="4" t="s">
        <v>4063</v>
      </c>
      <c r="I265" s="4" t="s">
        <v>4070</v>
      </c>
      <c r="J265" s="4"/>
      <c r="K265" s="4">
        <f>VLOOKUP(G265,Exchange_Rates!A:B,2,FALSE)</f>
        <v>0.73</v>
      </c>
      <c r="L265" s="4">
        <f t="shared" si="4"/>
        <v>23.695799999999998</v>
      </c>
    </row>
    <row r="266" spans="1:12" x14ac:dyDescent="0.25">
      <c r="A266" s="4" t="s">
        <v>4429</v>
      </c>
      <c r="B266" s="4" t="s">
        <v>4430</v>
      </c>
      <c r="C266" s="6">
        <v>45353</v>
      </c>
      <c r="D266" s="4" t="s">
        <v>4066</v>
      </c>
      <c r="E266" s="4" t="s">
        <v>4054</v>
      </c>
      <c r="F266" s="4">
        <v>247.84</v>
      </c>
      <c r="G266" s="4" t="s">
        <v>28</v>
      </c>
      <c r="H266" s="4" t="s">
        <v>4097</v>
      </c>
      <c r="I266" s="4" t="s">
        <v>4070</v>
      </c>
      <c r="J266" s="4"/>
      <c r="K266" s="4">
        <f>VLOOKUP(G266,Exchange_Rates!A:B,2,FALSE)</f>
        <v>1.27</v>
      </c>
      <c r="L266" s="4">
        <f t="shared" si="4"/>
        <v>314.7568</v>
      </c>
    </row>
    <row r="267" spans="1:12" x14ac:dyDescent="0.25">
      <c r="A267" s="4" t="s">
        <v>4431</v>
      </c>
      <c r="B267" s="4" t="s">
        <v>4430</v>
      </c>
      <c r="C267" s="6">
        <v>45509</v>
      </c>
      <c r="D267" s="4" t="s">
        <v>4062</v>
      </c>
      <c r="E267" s="4" t="s">
        <v>4054</v>
      </c>
      <c r="F267" s="4">
        <v>93.91</v>
      </c>
      <c r="G267" s="4" t="s">
        <v>36</v>
      </c>
      <c r="H267" s="4" t="s">
        <v>4059</v>
      </c>
      <c r="I267" s="4" t="s">
        <v>4087</v>
      </c>
      <c r="J267" s="4"/>
      <c r="K267" s="4">
        <f>VLOOKUP(G267,Exchange_Rates!A:B,2,FALSE)</f>
        <v>1.08</v>
      </c>
      <c r="L267" s="4">
        <f t="shared" si="4"/>
        <v>101.42280000000001</v>
      </c>
    </row>
    <row r="268" spans="1:12" x14ac:dyDescent="0.25">
      <c r="A268" s="4" t="s">
        <v>4432</v>
      </c>
      <c r="B268" s="4" t="s">
        <v>4134</v>
      </c>
      <c r="C268" s="6">
        <v>45734</v>
      </c>
      <c r="D268" s="4" t="s">
        <v>4053</v>
      </c>
      <c r="E268" s="4" t="s">
        <v>4054</v>
      </c>
      <c r="F268" s="4">
        <v>59.5</v>
      </c>
      <c r="G268" s="4" t="s">
        <v>42</v>
      </c>
      <c r="H268" s="4" t="s">
        <v>4063</v>
      </c>
      <c r="I268" s="4" t="s">
        <v>4070</v>
      </c>
      <c r="J268" s="4"/>
      <c r="K268" s="4">
        <f>VLOOKUP(G268,Exchange_Rates!A:B,2,FALSE)</f>
        <v>0.66</v>
      </c>
      <c r="L268" s="4">
        <f t="shared" si="4"/>
        <v>39.270000000000003</v>
      </c>
    </row>
    <row r="269" spans="1:12" x14ac:dyDescent="0.25">
      <c r="A269" s="4" t="s">
        <v>4433</v>
      </c>
      <c r="B269" s="4" t="s">
        <v>4068</v>
      </c>
      <c r="C269" s="6">
        <v>45271</v>
      </c>
      <c r="D269" s="4" t="s">
        <v>4062</v>
      </c>
      <c r="E269" s="4" t="s">
        <v>4054</v>
      </c>
      <c r="F269" s="4">
        <v>407.25</v>
      </c>
      <c r="G269" s="4" t="s">
        <v>42</v>
      </c>
      <c r="H269" s="4" t="s">
        <v>4063</v>
      </c>
      <c r="I269" s="4" t="s">
        <v>4070</v>
      </c>
      <c r="J269" s="4"/>
      <c r="K269" s="4">
        <f>VLOOKUP(G269,Exchange_Rates!A:B,2,FALSE)</f>
        <v>0.66</v>
      </c>
      <c r="L269" s="4">
        <f t="shared" si="4"/>
        <v>268.78500000000003</v>
      </c>
    </row>
    <row r="270" spans="1:12" x14ac:dyDescent="0.25">
      <c r="A270" s="4" t="s">
        <v>4434</v>
      </c>
      <c r="B270" s="4" t="s">
        <v>4112</v>
      </c>
      <c r="C270" s="6">
        <v>44932</v>
      </c>
      <c r="D270" s="4" t="s">
        <v>4069</v>
      </c>
      <c r="E270" s="4" t="s">
        <v>4054</v>
      </c>
      <c r="F270" s="4">
        <v>64.959999999999994</v>
      </c>
      <c r="G270" s="4" t="s">
        <v>64</v>
      </c>
      <c r="H270" s="4" t="s">
        <v>4097</v>
      </c>
      <c r="I270" s="4" t="s">
        <v>4087</v>
      </c>
      <c r="J270" s="4"/>
      <c r="K270" s="4">
        <f>VLOOKUP(G270,Exchange_Rates!A:B,2,FALSE)</f>
        <v>0.73</v>
      </c>
      <c r="L270" s="4">
        <f t="shared" si="4"/>
        <v>47.420799999999993</v>
      </c>
    </row>
    <row r="271" spans="1:12" x14ac:dyDescent="0.25">
      <c r="A271" s="4" t="s">
        <v>4435</v>
      </c>
      <c r="B271" s="4" t="s">
        <v>4362</v>
      </c>
      <c r="C271" s="6">
        <v>45607</v>
      </c>
      <c r="D271" s="4" t="s">
        <v>4096</v>
      </c>
      <c r="E271" s="4" t="s">
        <v>4054</v>
      </c>
      <c r="F271" s="4">
        <v>525.55999999999995</v>
      </c>
      <c r="G271" s="4" t="s">
        <v>36</v>
      </c>
      <c r="H271" s="4" t="s">
        <v>4055</v>
      </c>
      <c r="I271" s="4" t="s">
        <v>4087</v>
      </c>
      <c r="J271" s="6">
        <v>45622</v>
      </c>
      <c r="K271" s="4">
        <f>VLOOKUP(G271,Exchange_Rates!A:B,2,FALSE)</f>
        <v>1.08</v>
      </c>
      <c r="L271" s="4">
        <f t="shared" si="4"/>
        <v>567.60479999999995</v>
      </c>
    </row>
    <row r="272" spans="1:12" x14ac:dyDescent="0.25">
      <c r="A272" s="4" t="s">
        <v>4436</v>
      </c>
      <c r="B272" s="4" t="s">
        <v>4419</v>
      </c>
      <c r="C272" s="6">
        <v>45542</v>
      </c>
      <c r="D272" s="4" t="s">
        <v>4062</v>
      </c>
      <c r="E272" s="4" t="s">
        <v>4054</v>
      </c>
      <c r="F272" s="4">
        <v>763.36</v>
      </c>
      <c r="G272" s="4" t="s">
        <v>36</v>
      </c>
      <c r="H272" s="4" t="s">
        <v>4063</v>
      </c>
      <c r="I272" s="4" t="s">
        <v>4070</v>
      </c>
      <c r="J272" s="4"/>
      <c r="K272" s="4">
        <f>VLOOKUP(G272,Exchange_Rates!A:B,2,FALSE)</f>
        <v>1.08</v>
      </c>
      <c r="L272" s="4">
        <f t="shared" si="4"/>
        <v>824.42880000000002</v>
      </c>
    </row>
    <row r="273" spans="1:12" x14ac:dyDescent="0.25">
      <c r="A273" s="4" t="s">
        <v>4437</v>
      </c>
      <c r="B273" s="4" t="s">
        <v>4330</v>
      </c>
      <c r="C273" s="6">
        <v>45732</v>
      </c>
      <c r="D273" s="4" t="s">
        <v>4066</v>
      </c>
      <c r="E273" s="4" t="s">
        <v>4054</v>
      </c>
      <c r="F273" s="4">
        <v>616.5</v>
      </c>
      <c r="G273" s="4" t="s">
        <v>28</v>
      </c>
      <c r="H273" s="4" t="s">
        <v>4063</v>
      </c>
      <c r="I273" s="4" t="s">
        <v>4070</v>
      </c>
      <c r="J273" s="4"/>
      <c r="K273" s="4">
        <f>VLOOKUP(G273,Exchange_Rates!A:B,2,FALSE)</f>
        <v>1.27</v>
      </c>
      <c r="L273" s="4">
        <f t="shared" si="4"/>
        <v>782.95500000000004</v>
      </c>
    </row>
    <row r="274" spans="1:12" x14ac:dyDescent="0.25">
      <c r="A274" s="4" t="s">
        <v>4438</v>
      </c>
      <c r="B274" s="4" t="s">
        <v>4178</v>
      </c>
      <c r="C274" s="6">
        <v>45731</v>
      </c>
      <c r="D274" s="4" t="s">
        <v>4096</v>
      </c>
      <c r="E274" s="4" t="s">
        <v>4054</v>
      </c>
      <c r="F274" s="4">
        <v>163.71</v>
      </c>
      <c r="G274" s="4" t="s">
        <v>36</v>
      </c>
      <c r="H274" s="4" t="s">
        <v>4059</v>
      </c>
      <c r="I274" s="4" t="s">
        <v>4070</v>
      </c>
      <c r="J274" s="4"/>
      <c r="K274" s="4">
        <f>VLOOKUP(G274,Exchange_Rates!A:B,2,FALSE)</f>
        <v>1.08</v>
      </c>
      <c r="L274" s="4">
        <f t="shared" si="4"/>
        <v>176.80680000000001</v>
      </c>
    </row>
    <row r="275" spans="1:12" x14ac:dyDescent="0.25">
      <c r="A275" s="4" t="s">
        <v>4439</v>
      </c>
      <c r="B275" s="4" t="s">
        <v>4101</v>
      </c>
      <c r="C275" s="6">
        <v>45519</v>
      </c>
      <c r="D275" s="4" t="s">
        <v>4096</v>
      </c>
      <c r="E275" s="4" t="s">
        <v>4054</v>
      </c>
      <c r="F275" s="4">
        <v>407.96</v>
      </c>
      <c r="G275" s="4" t="s">
        <v>64</v>
      </c>
      <c r="H275" s="4" t="s">
        <v>4059</v>
      </c>
      <c r="I275" s="4" t="s">
        <v>4070</v>
      </c>
      <c r="J275" s="4"/>
      <c r="K275" s="4">
        <f>VLOOKUP(G275,Exchange_Rates!A:B,2,FALSE)</f>
        <v>0.73</v>
      </c>
      <c r="L275" s="4">
        <f t="shared" si="4"/>
        <v>297.81079999999997</v>
      </c>
    </row>
    <row r="276" spans="1:12" x14ac:dyDescent="0.25">
      <c r="A276" s="4" t="s">
        <v>4440</v>
      </c>
      <c r="B276" s="4" t="s">
        <v>4405</v>
      </c>
      <c r="C276" s="6">
        <v>45140</v>
      </c>
      <c r="D276" s="4" t="s">
        <v>4069</v>
      </c>
      <c r="E276" s="4" t="s">
        <v>4054</v>
      </c>
      <c r="F276" s="4">
        <v>445.15</v>
      </c>
      <c r="G276" s="4" t="s">
        <v>28</v>
      </c>
      <c r="H276" s="4" t="s">
        <v>4055</v>
      </c>
      <c r="I276" s="4" t="s">
        <v>4056</v>
      </c>
      <c r="J276" s="6">
        <v>45155</v>
      </c>
      <c r="K276" s="4">
        <f>VLOOKUP(G276,Exchange_Rates!A:B,2,FALSE)</f>
        <v>1.27</v>
      </c>
      <c r="L276" s="4">
        <f t="shared" si="4"/>
        <v>565.34050000000002</v>
      </c>
    </row>
    <row r="277" spans="1:12" x14ac:dyDescent="0.25">
      <c r="A277" s="4" t="s">
        <v>4441</v>
      </c>
      <c r="B277" s="4" t="s">
        <v>4442</v>
      </c>
      <c r="C277" s="6">
        <v>45835</v>
      </c>
      <c r="D277" s="4" t="s">
        <v>4053</v>
      </c>
      <c r="E277" s="4" t="s">
        <v>4054</v>
      </c>
      <c r="F277" s="4">
        <v>674.86</v>
      </c>
      <c r="G277" s="4" t="s">
        <v>42</v>
      </c>
      <c r="H277" s="4" t="s">
        <v>4059</v>
      </c>
      <c r="I277" s="4" t="s">
        <v>4087</v>
      </c>
      <c r="J277" s="4"/>
      <c r="K277" s="4">
        <f>VLOOKUP(G277,Exchange_Rates!A:B,2,FALSE)</f>
        <v>0.66</v>
      </c>
      <c r="L277" s="4">
        <f t="shared" si="4"/>
        <v>445.4076</v>
      </c>
    </row>
    <row r="278" spans="1:12" x14ac:dyDescent="0.25">
      <c r="A278" s="4" t="s">
        <v>4443</v>
      </c>
      <c r="B278" s="4" t="s">
        <v>4076</v>
      </c>
      <c r="C278" s="6">
        <v>45207</v>
      </c>
      <c r="D278" s="4" t="s">
        <v>4096</v>
      </c>
      <c r="E278" s="4" t="s">
        <v>4054</v>
      </c>
      <c r="F278" s="4">
        <v>337.92</v>
      </c>
      <c r="G278" s="4" t="s">
        <v>36</v>
      </c>
      <c r="H278" s="4" t="s">
        <v>4063</v>
      </c>
      <c r="I278" s="4" t="s">
        <v>4070</v>
      </c>
      <c r="J278" s="4"/>
      <c r="K278" s="4">
        <f>VLOOKUP(G278,Exchange_Rates!A:B,2,FALSE)</f>
        <v>1.08</v>
      </c>
      <c r="L278" s="4">
        <f t="shared" si="4"/>
        <v>364.95360000000005</v>
      </c>
    </row>
    <row r="279" spans="1:12" x14ac:dyDescent="0.25">
      <c r="A279" s="4" t="s">
        <v>4444</v>
      </c>
      <c r="B279" s="4" t="s">
        <v>4115</v>
      </c>
      <c r="C279" s="6">
        <v>45517</v>
      </c>
      <c r="D279" s="4" t="s">
        <v>4066</v>
      </c>
      <c r="E279" s="4" t="s">
        <v>4054</v>
      </c>
      <c r="F279" s="4">
        <v>454.43</v>
      </c>
      <c r="G279" s="4" t="s">
        <v>42</v>
      </c>
      <c r="H279" s="4" t="s">
        <v>4063</v>
      </c>
      <c r="I279" s="4" t="s">
        <v>4087</v>
      </c>
      <c r="J279" s="4"/>
      <c r="K279" s="4">
        <f>VLOOKUP(G279,Exchange_Rates!A:B,2,FALSE)</f>
        <v>0.66</v>
      </c>
      <c r="L279" s="4">
        <f t="shared" si="4"/>
        <v>299.92380000000003</v>
      </c>
    </row>
    <row r="280" spans="1:12" x14ac:dyDescent="0.25">
      <c r="A280" s="4" t="s">
        <v>4445</v>
      </c>
      <c r="B280" s="4" t="s">
        <v>4129</v>
      </c>
      <c r="C280" s="6">
        <v>44934</v>
      </c>
      <c r="D280" s="4" t="s">
        <v>4062</v>
      </c>
      <c r="E280" s="4" t="s">
        <v>4054</v>
      </c>
      <c r="F280" s="4">
        <v>683.74</v>
      </c>
      <c r="G280" s="4" t="s">
        <v>42</v>
      </c>
      <c r="H280" s="4" t="s">
        <v>4059</v>
      </c>
      <c r="I280" s="4" t="s">
        <v>4056</v>
      </c>
      <c r="J280" s="4"/>
      <c r="K280" s="4">
        <f>VLOOKUP(G280,Exchange_Rates!A:B,2,FALSE)</f>
        <v>0.66</v>
      </c>
      <c r="L280" s="4">
        <f t="shared" si="4"/>
        <v>451.26840000000004</v>
      </c>
    </row>
    <row r="281" spans="1:12" x14ac:dyDescent="0.25">
      <c r="A281" s="4" t="s">
        <v>4446</v>
      </c>
      <c r="B281" s="4" t="s">
        <v>4206</v>
      </c>
      <c r="C281" s="6">
        <v>45104</v>
      </c>
      <c r="D281" s="4" t="s">
        <v>4062</v>
      </c>
      <c r="E281" s="4" t="s">
        <v>4054</v>
      </c>
      <c r="F281" s="4">
        <v>304.27</v>
      </c>
      <c r="G281" s="4" t="s">
        <v>64</v>
      </c>
      <c r="H281" s="4" t="s">
        <v>4055</v>
      </c>
      <c r="I281" s="4" t="s">
        <v>4056</v>
      </c>
      <c r="J281" s="6">
        <v>45119</v>
      </c>
      <c r="K281" s="4">
        <f>VLOOKUP(G281,Exchange_Rates!A:B,2,FALSE)</f>
        <v>0.73</v>
      </c>
      <c r="L281" s="4">
        <f t="shared" si="4"/>
        <v>222.11709999999999</v>
      </c>
    </row>
    <row r="282" spans="1:12" x14ac:dyDescent="0.25">
      <c r="A282" s="4" t="s">
        <v>4447</v>
      </c>
      <c r="B282" s="4" t="s">
        <v>4448</v>
      </c>
      <c r="C282" s="6">
        <v>45090</v>
      </c>
      <c r="D282" s="4" t="s">
        <v>4096</v>
      </c>
      <c r="E282" s="4" t="s">
        <v>4054</v>
      </c>
      <c r="F282" s="4">
        <v>198.48</v>
      </c>
      <c r="G282" s="4" t="s">
        <v>64</v>
      </c>
      <c r="H282" s="4" t="s">
        <v>4063</v>
      </c>
      <c r="I282" s="4" t="s">
        <v>4070</v>
      </c>
      <c r="J282" s="4"/>
      <c r="K282" s="4">
        <f>VLOOKUP(G282,Exchange_Rates!A:B,2,FALSE)</f>
        <v>0.73</v>
      </c>
      <c r="L282" s="4">
        <f t="shared" si="4"/>
        <v>144.8904</v>
      </c>
    </row>
    <row r="283" spans="1:12" x14ac:dyDescent="0.25">
      <c r="A283" s="4" t="s">
        <v>4449</v>
      </c>
      <c r="B283" s="4" t="s">
        <v>4450</v>
      </c>
      <c r="C283" s="6">
        <v>45310</v>
      </c>
      <c r="D283" s="4" t="s">
        <v>4096</v>
      </c>
      <c r="E283" s="4" t="s">
        <v>4054</v>
      </c>
      <c r="F283" s="4">
        <v>64.66</v>
      </c>
      <c r="G283" s="4" t="s">
        <v>45</v>
      </c>
      <c r="H283" s="4" t="s">
        <v>4059</v>
      </c>
      <c r="I283" s="4" t="s">
        <v>4087</v>
      </c>
      <c r="J283" s="4"/>
      <c r="K283" s="4">
        <f>VLOOKUP(G283,Exchange_Rates!A:B,2,FALSE)</f>
        <v>1</v>
      </c>
      <c r="L283" s="4">
        <f t="shared" si="4"/>
        <v>64.66</v>
      </c>
    </row>
    <row r="284" spans="1:12" x14ac:dyDescent="0.25">
      <c r="A284" s="4" t="s">
        <v>4451</v>
      </c>
      <c r="B284" s="4" t="s">
        <v>4230</v>
      </c>
      <c r="C284" s="6">
        <v>45139</v>
      </c>
      <c r="D284" s="4" t="s">
        <v>4053</v>
      </c>
      <c r="E284" s="4" t="s">
        <v>4054</v>
      </c>
      <c r="F284" s="4">
        <v>398.39</v>
      </c>
      <c r="G284" s="4" t="s">
        <v>28</v>
      </c>
      <c r="H284" s="4" t="s">
        <v>4063</v>
      </c>
      <c r="I284" s="4" t="s">
        <v>4070</v>
      </c>
      <c r="J284" s="4"/>
      <c r="K284" s="4">
        <f>VLOOKUP(G284,Exchange_Rates!A:B,2,FALSE)</f>
        <v>1.27</v>
      </c>
      <c r="L284" s="4">
        <f t="shared" si="4"/>
        <v>505.95529999999997</v>
      </c>
    </row>
    <row r="285" spans="1:12" x14ac:dyDescent="0.25">
      <c r="A285" s="4" t="s">
        <v>4452</v>
      </c>
      <c r="B285" s="4" t="s">
        <v>4453</v>
      </c>
      <c r="C285" s="6">
        <v>45243</v>
      </c>
      <c r="D285" s="4" t="s">
        <v>4062</v>
      </c>
      <c r="E285" s="4" t="s">
        <v>4054</v>
      </c>
      <c r="F285" s="4">
        <v>448.63</v>
      </c>
      <c r="G285" s="4" t="s">
        <v>28</v>
      </c>
      <c r="H285" s="4" t="s">
        <v>4059</v>
      </c>
      <c r="I285" s="4" t="s">
        <v>4070</v>
      </c>
      <c r="J285" s="4"/>
      <c r="K285" s="4">
        <f>VLOOKUP(G285,Exchange_Rates!A:B,2,FALSE)</f>
        <v>1.27</v>
      </c>
      <c r="L285" s="4">
        <f t="shared" si="4"/>
        <v>569.76009999999997</v>
      </c>
    </row>
    <row r="286" spans="1:12" x14ac:dyDescent="0.25">
      <c r="A286" s="4" t="s">
        <v>4454</v>
      </c>
      <c r="B286" s="4" t="s">
        <v>4152</v>
      </c>
      <c r="C286" s="6">
        <v>45025</v>
      </c>
      <c r="D286" s="4" t="s">
        <v>4069</v>
      </c>
      <c r="E286" s="4" t="s">
        <v>4054</v>
      </c>
      <c r="F286" s="4">
        <v>322.81</v>
      </c>
      <c r="G286" s="4" t="s">
        <v>64</v>
      </c>
      <c r="H286" s="4" t="s">
        <v>4063</v>
      </c>
      <c r="I286" s="4" t="s">
        <v>4056</v>
      </c>
      <c r="J286" s="4"/>
      <c r="K286" s="4">
        <f>VLOOKUP(G286,Exchange_Rates!A:B,2,FALSE)</f>
        <v>0.73</v>
      </c>
      <c r="L286" s="4">
        <f t="shared" si="4"/>
        <v>235.65129999999999</v>
      </c>
    </row>
    <row r="287" spans="1:12" x14ac:dyDescent="0.25">
      <c r="A287" s="4" t="s">
        <v>4455</v>
      </c>
      <c r="B287" s="4" t="s">
        <v>4232</v>
      </c>
      <c r="C287" s="6">
        <v>45373</v>
      </c>
      <c r="D287" s="4" t="s">
        <v>4069</v>
      </c>
      <c r="E287" s="4" t="s">
        <v>4054</v>
      </c>
      <c r="F287" s="4">
        <v>185.43</v>
      </c>
      <c r="G287" s="4" t="s">
        <v>45</v>
      </c>
      <c r="H287" s="4" t="s">
        <v>4097</v>
      </c>
      <c r="I287" s="4" t="s">
        <v>4056</v>
      </c>
      <c r="J287" s="4"/>
      <c r="K287" s="4">
        <f>VLOOKUP(G287,Exchange_Rates!A:B,2,FALSE)</f>
        <v>1</v>
      </c>
      <c r="L287" s="4">
        <f t="shared" si="4"/>
        <v>185.43</v>
      </c>
    </row>
    <row r="288" spans="1:12" x14ac:dyDescent="0.25">
      <c r="A288" s="4" t="s">
        <v>4456</v>
      </c>
      <c r="B288" s="4" t="s">
        <v>4091</v>
      </c>
      <c r="C288" s="6">
        <v>45603</v>
      </c>
      <c r="D288" s="4" t="s">
        <v>4062</v>
      </c>
      <c r="E288" s="4" t="s">
        <v>4054</v>
      </c>
      <c r="F288" s="4">
        <v>588.23</v>
      </c>
      <c r="G288" s="4" t="s">
        <v>45</v>
      </c>
      <c r="H288" s="4" t="s">
        <v>4063</v>
      </c>
      <c r="I288" s="4" t="s">
        <v>4070</v>
      </c>
      <c r="J288" s="4"/>
      <c r="K288" s="4">
        <f>VLOOKUP(G288,Exchange_Rates!A:B,2,FALSE)</f>
        <v>1</v>
      </c>
      <c r="L288" s="4">
        <f t="shared" si="4"/>
        <v>588.23</v>
      </c>
    </row>
    <row r="289" spans="1:12" x14ac:dyDescent="0.25">
      <c r="A289" s="4" t="s">
        <v>4457</v>
      </c>
      <c r="B289" s="4" t="s">
        <v>4068</v>
      </c>
      <c r="C289" s="6">
        <v>45794</v>
      </c>
      <c r="D289" s="4" t="s">
        <v>4096</v>
      </c>
      <c r="E289" s="4" t="s">
        <v>4054</v>
      </c>
      <c r="F289" s="4">
        <v>798.77</v>
      </c>
      <c r="G289" s="4" t="s">
        <v>45</v>
      </c>
      <c r="H289" s="4" t="s">
        <v>4059</v>
      </c>
      <c r="I289" s="4" t="s">
        <v>4087</v>
      </c>
      <c r="J289" s="4"/>
      <c r="K289" s="4">
        <f>VLOOKUP(G289,Exchange_Rates!A:B,2,FALSE)</f>
        <v>1</v>
      </c>
      <c r="L289" s="4">
        <f t="shared" si="4"/>
        <v>798.77</v>
      </c>
    </row>
    <row r="290" spans="1:12" x14ac:dyDescent="0.25">
      <c r="A290" s="4" t="s">
        <v>4458</v>
      </c>
      <c r="B290" s="4" t="s">
        <v>4255</v>
      </c>
      <c r="C290" s="6">
        <v>45535</v>
      </c>
      <c r="D290" s="4" t="s">
        <v>4066</v>
      </c>
      <c r="E290" s="4" t="s">
        <v>4054</v>
      </c>
      <c r="F290" s="4">
        <v>312.02</v>
      </c>
      <c r="G290" s="4" t="s">
        <v>45</v>
      </c>
      <c r="H290" s="4" t="s">
        <v>4059</v>
      </c>
      <c r="I290" s="4" t="s">
        <v>4070</v>
      </c>
      <c r="J290" s="4"/>
      <c r="K290" s="4">
        <f>VLOOKUP(G290,Exchange_Rates!A:B,2,FALSE)</f>
        <v>1</v>
      </c>
      <c r="L290" s="4">
        <f t="shared" si="4"/>
        <v>312.02</v>
      </c>
    </row>
    <row r="291" spans="1:12" x14ac:dyDescent="0.25">
      <c r="A291" s="4" t="s">
        <v>4459</v>
      </c>
      <c r="B291" s="4" t="s">
        <v>4076</v>
      </c>
      <c r="C291" s="6">
        <v>45356</v>
      </c>
      <c r="D291" s="4" t="s">
        <v>4066</v>
      </c>
      <c r="E291" s="4" t="s">
        <v>4054</v>
      </c>
      <c r="F291" s="4">
        <v>354.85</v>
      </c>
      <c r="G291" s="4" t="s">
        <v>64</v>
      </c>
      <c r="H291" s="4" t="s">
        <v>4097</v>
      </c>
      <c r="I291" s="4" t="s">
        <v>4087</v>
      </c>
      <c r="J291" s="4"/>
      <c r="K291" s="4">
        <f>VLOOKUP(G291,Exchange_Rates!A:B,2,FALSE)</f>
        <v>0.73</v>
      </c>
      <c r="L291" s="4">
        <f t="shared" si="4"/>
        <v>259.04050000000001</v>
      </c>
    </row>
    <row r="292" spans="1:12" x14ac:dyDescent="0.25">
      <c r="A292" s="4" t="s">
        <v>4460</v>
      </c>
      <c r="B292" s="4" t="s">
        <v>4084</v>
      </c>
      <c r="C292" s="6">
        <v>45047</v>
      </c>
      <c r="D292" s="4" t="s">
        <v>4062</v>
      </c>
      <c r="E292" s="4" t="s">
        <v>4054</v>
      </c>
      <c r="F292" s="4">
        <v>46.28</v>
      </c>
      <c r="G292" s="4" t="s">
        <v>45</v>
      </c>
      <c r="H292" s="4" t="s">
        <v>4063</v>
      </c>
      <c r="I292" s="4" t="s">
        <v>4070</v>
      </c>
      <c r="J292" s="4"/>
      <c r="K292" s="4">
        <f>VLOOKUP(G292,Exchange_Rates!A:B,2,FALSE)</f>
        <v>1</v>
      </c>
      <c r="L292" s="4">
        <f t="shared" si="4"/>
        <v>46.28</v>
      </c>
    </row>
    <row r="293" spans="1:12" x14ac:dyDescent="0.25">
      <c r="A293" s="4" t="s">
        <v>4461</v>
      </c>
      <c r="B293" s="4" t="s">
        <v>4430</v>
      </c>
      <c r="C293" s="6">
        <v>45135</v>
      </c>
      <c r="D293" s="4" t="s">
        <v>4062</v>
      </c>
      <c r="E293" s="4" t="s">
        <v>4054</v>
      </c>
      <c r="F293" s="4">
        <v>128.09</v>
      </c>
      <c r="G293" s="4" t="s">
        <v>45</v>
      </c>
      <c r="H293" s="4" t="s">
        <v>4055</v>
      </c>
      <c r="I293" s="4" t="s">
        <v>4070</v>
      </c>
      <c r="J293" s="6">
        <v>45150</v>
      </c>
      <c r="K293" s="4">
        <f>VLOOKUP(G293,Exchange_Rates!A:B,2,FALSE)</f>
        <v>1</v>
      </c>
      <c r="L293" s="4">
        <f t="shared" si="4"/>
        <v>128.09</v>
      </c>
    </row>
    <row r="294" spans="1:12" x14ac:dyDescent="0.25">
      <c r="A294" s="4" t="s">
        <v>4462</v>
      </c>
      <c r="B294" s="4" t="s">
        <v>4074</v>
      </c>
      <c r="C294" s="6">
        <v>45780</v>
      </c>
      <c r="D294" s="4" t="s">
        <v>4062</v>
      </c>
      <c r="E294" s="4" t="s">
        <v>4054</v>
      </c>
      <c r="F294" s="4">
        <v>794.56</v>
      </c>
      <c r="G294" s="4" t="s">
        <v>36</v>
      </c>
      <c r="H294" s="4" t="s">
        <v>4063</v>
      </c>
      <c r="I294" s="4" t="s">
        <v>4070</v>
      </c>
      <c r="J294" s="4"/>
      <c r="K294" s="4">
        <f>VLOOKUP(G294,Exchange_Rates!A:B,2,FALSE)</f>
        <v>1.08</v>
      </c>
      <c r="L294" s="4">
        <f t="shared" si="4"/>
        <v>858.12480000000005</v>
      </c>
    </row>
    <row r="295" spans="1:12" x14ac:dyDescent="0.25">
      <c r="A295" s="4" t="s">
        <v>4463</v>
      </c>
      <c r="B295" s="4" t="s">
        <v>4430</v>
      </c>
      <c r="C295" s="6">
        <v>45417</v>
      </c>
      <c r="D295" s="4" t="s">
        <v>4069</v>
      </c>
      <c r="E295" s="4" t="s">
        <v>4054</v>
      </c>
      <c r="F295" s="4">
        <v>95.22</v>
      </c>
      <c r="G295" s="4" t="s">
        <v>36</v>
      </c>
      <c r="H295" s="4" t="s">
        <v>4063</v>
      </c>
      <c r="I295" s="4" t="s">
        <v>4087</v>
      </c>
      <c r="J295" s="4"/>
      <c r="K295" s="4">
        <f>VLOOKUP(G295,Exchange_Rates!A:B,2,FALSE)</f>
        <v>1.08</v>
      </c>
      <c r="L295" s="4">
        <f t="shared" si="4"/>
        <v>102.83760000000001</v>
      </c>
    </row>
    <row r="296" spans="1:12" x14ac:dyDescent="0.25">
      <c r="A296" s="4" t="s">
        <v>4464</v>
      </c>
      <c r="B296" s="4" t="s">
        <v>4052</v>
      </c>
      <c r="C296" s="6">
        <v>45799</v>
      </c>
      <c r="D296" s="4" t="s">
        <v>4069</v>
      </c>
      <c r="E296" s="4" t="s">
        <v>4054</v>
      </c>
      <c r="F296" s="4">
        <v>676.95</v>
      </c>
      <c r="G296" s="4" t="s">
        <v>45</v>
      </c>
      <c r="H296" s="4" t="s">
        <v>4059</v>
      </c>
      <c r="I296" s="4" t="s">
        <v>4070</v>
      </c>
      <c r="J296" s="4"/>
      <c r="K296" s="4">
        <f>VLOOKUP(G296,Exchange_Rates!A:B,2,FALSE)</f>
        <v>1</v>
      </c>
      <c r="L296" s="4">
        <f t="shared" si="4"/>
        <v>676.95</v>
      </c>
    </row>
    <row r="297" spans="1:12" x14ac:dyDescent="0.25">
      <c r="A297" s="4" t="s">
        <v>4465</v>
      </c>
      <c r="B297" s="4" t="s">
        <v>4164</v>
      </c>
      <c r="C297" s="6">
        <v>45483</v>
      </c>
      <c r="D297" s="4" t="s">
        <v>4096</v>
      </c>
      <c r="E297" s="4" t="s">
        <v>4054</v>
      </c>
      <c r="F297" s="4">
        <v>560.11</v>
      </c>
      <c r="G297" s="4" t="s">
        <v>36</v>
      </c>
      <c r="H297" s="4" t="s">
        <v>4059</v>
      </c>
      <c r="I297" s="4" t="s">
        <v>4070</v>
      </c>
      <c r="J297" s="4"/>
      <c r="K297" s="4">
        <f>VLOOKUP(G297,Exchange_Rates!A:B,2,FALSE)</f>
        <v>1.08</v>
      </c>
      <c r="L297" s="4">
        <f t="shared" si="4"/>
        <v>604.91880000000003</v>
      </c>
    </row>
    <row r="298" spans="1:12" x14ac:dyDescent="0.25">
      <c r="A298" s="4" t="s">
        <v>4466</v>
      </c>
      <c r="B298" s="4" t="s">
        <v>4204</v>
      </c>
      <c r="C298" s="6">
        <v>45112</v>
      </c>
      <c r="D298" s="4" t="s">
        <v>4096</v>
      </c>
      <c r="E298" s="4" t="s">
        <v>4054</v>
      </c>
      <c r="F298" s="4">
        <v>320.61</v>
      </c>
      <c r="G298" s="4" t="s">
        <v>28</v>
      </c>
      <c r="H298" s="4" t="s">
        <v>4055</v>
      </c>
      <c r="I298" s="4" t="s">
        <v>4056</v>
      </c>
      <c r="J298" s="6">
        <v>45127</v>
      </c>
      <c r="K298" s="4">
        <f>VLOOKUP(G298,Exchange_Rates!A:B,2,FALSE)</f>
        <v>1.27</v>
      </c>
      <c r="L298" s="4">
        <f t="shared" si="4"/>
        <v>407.17470000000003</v>
      </c>
    </row>
    <row r="299" spans="1:12" x14ac:dyDescent="0.25">
      <c r="A299" s="4" t="s">
        <v>4467</v>
      </c>
      <c r="B299" s="4" t="s">
        <v>4345</v>
      </c>
      <c r="C299" s="6">
        <v>44956</v>
      </c>
      <c r="D299" s="4" t="s">
        <v>4053</v>
      </c>
      <c r="E299" s="4" t="s">
        <v>4054</v>
      </c>
      <c r="F299" s="4">
        <v>586.84</v>
      </c>
      <c r="G299" s="4" t="s">
        <v>45</v>
      </c>
      <c r="H299" s="4" t="s">
        <v>4055</v>
      </c>
      <c r="I299" s="4" t="s">
        <v>4070</v>
      </c>
      <c r="J299" s="6">
        <v>44971</v>
      </c>
      <c r="K299" s="4">
        <f>VLOOKUP(G299,Exchange_Rates!A:B,2,FALSE)</f>
        <v>1</v>
      </c>
      <c r="L299" s="4">
        <f t="shared" si="4"/>
        <v>586.84</v>
      </c>
    </row>
    <row r="300" spans="1:12" x14ac:dyDescent="0.25">
      <c r="A300" s="4" t="s">
        <v>4468</v>
      </c>
      <c r="B300" s="4" t="s">
        <v>4143</v>
      </c>
      <c r="C300" s="6">
        <v>45282</v>
      </c>
      <c r="D300" s="4" t="s">
        <v>4053</v>
      </c>
      <c r="E300" s="4" t="s">
        <v>4054</v>
      </c>
      <c r="F300" s="4">
        <v>140.75</v>
      </c>
      <c r="G300" s="4" t="s">
        <v>45</v>
      </c>
      <c r="H300" s="4" t="s">
        <v>4059</v>
      </c>
      <c r="I300" s="4" t="s">
        <v>4056</v>
      </c>
      <c r="J300" s="4"/>
      <c r="K300" s="4">
        <f>VLOOKUP(G300,Exchange_Rates!A:B,2,FALSE)</f>
        <v>1</v>
      </c>
      <c r="L300" s="4">
        <f t="shared" si="4"/>
        <v>140.75</v>
      </c>
    </row>
    <row r="301" spans="1:12" x14ac:dyDescent="0.25">
      <c r="A301" s="4" t="s">
        <v>4469</v>
      </c>
      <c r="B301" s="4" t="s">
        <v>4273</v>
      </c>
      <c r="C301" s="6">
        <v>45598</v>
      </c>
      <c r="D301" s="4" t="s">
        <v>4069</v>
      </c>
      <c r="E301" s="4" t="s">
        <v>4054</v>
      </c>
      <c r="F301" s="4">
        <v>609.83000000000004</v>
      </c>
      <c r="G301" s="4" t="s">
        <v>28</v>
      </c>
      <c r="H301" s="4" t="s">
        <v>4063</v>
      </c>
      <c r="I301" s="4" t="s">
        <v>4070</v>
      </c>
      <c r="J301" s="4"/>
      <c r="K301" s="4">
        <f>VLOOKUP(G301,Exchange_Rates!A:B,2,FALSE)</f>
        <v>1.27</v>
      </c>
      <c r="L301" s="4">
        <f t="shared" si="4"/>
        <v>774.48410000000001</v>
      </c>
    </row>
    <row r="302" spans="1:12" x14ac:dyDescent="0.25">
      <c r="A302" s="4" t="s">
        <v>4470</v>
      </c>
      <c r="B302" s="4" t="s">
        <v>4156</v>
      </c>
      <c r="C302" s="6">
        <v>45100</v>
      </c>
      <c r="D302" s="4" t="s">
        <v>4069</v>
      </c>
      <c r="E302" s="4" t="s">
        <v>4054</v>
      </c>
      <c r="F302" s="4">
        <v>247.87</v>
      </c>
      <c r="G302" s="4" t="s">
        <v>28</v>
      </c>
      <c r="H302" s="4" t="s">
        <v>4059</v>
      </c>
      <c r="I302" s="4" t="s">
        <v>4087</v>
      </c>
      <c r="J302" s="4"/>
      <c r="K302" s="4">
        <f>VLOOKUP(G302,Exchange_Rates!A:B,2,FALSE)</f>
        <v>1.27</v>
      </c>
      <c r="L302" s="4">
        <f t="shared" si="4"/>
        <v>314.79489999999998</v>
      </c>
    </row>
    <row r="303" spans="1:12" x14ac:dyDescent="0.25">
      <c r="A303" s="4" t="s">
        <v>4471</v>
      </c>
      <c r="B303" s="4" t="s">
        <v>4368</v>
      </c>
      <c r="C303" s="6">
        <v>45503</v>
      </c>
      <c r="D303" s="4" t="s">
        <v>4069</v>
      </c>
      <c r="E303" s="4" t="s">
        <v>4054</v>
      </c>
      <c r="F303" s="4">
        <v>472.51</v>
      </c>
      <c r="G303" s="4" t="s">
        <v>64</v>
      </c>
      <c r="H303" s="4" t="s">
        <v>4097</v>
      </c>
      <c r="I303" s="4" t="s">
        <v>4070</v>
      </c>
      <c r="J303" s="4"/>
      <c r="K303" s="4">
        <f>VLOOKUP(G303,Exchange_Rates!A:B,2,FALSE)</f>
        <v>0.73</v>
      </c>
      <c r="L303" s="4">
        <f t="shared" si="4"/>
        <v>344.9323</v>
      </c>
    </row>
    <row r="304" spans="1:12" x14ac:dyDescent="0.25">
      <c r="A304" s="4" t="s">
        <v>4472</v>
      </c>
      <c r="B304" s="4" t="s">
        <v>4164</v>
      </c>
      <c r="C304" s="6">
        <v>45005</v>
      </c>
      <c r="D304" s="4" t="s">
        <v>4062</v>
      </c>
      <c r="E304" s="4" t="s">
        <v>4054</v>
      </c>
      <c r="F304" s="4">
        <v>490.67</v>
      </c>
      <c r="G304" s="4" t="s">
        <v>42</v>
      </c>
      <c r="H304" s="4" t="s">
        <v>4059</v>
      </c>
      <c r="I304" s="4" t="s">
        <v>4087</v>
      </c>
      <c r="J304" s="4"/>
      <c r="K304" s="4">
        <f>VLOOKUP(G304,Exchange_Rates!A:B,2,FALSE)</f>
        <v>0.66</v>
      </c>
      <c r="L304" s="4">
        <f t="shared" si="4"/>
        <v>323.84220000000005</v>
      </c>
    </row>
    <row r="305" spans="1:12" x14ac:dyDescent="0.25">
      <c r="A305" s="4" t="s">
        <v>4473</v>
      </c>
      <c r="B305" s="4" t="s">
        <v>4232</v>
      </c>
      <c r="C305" s="6">
        <v>45702</v>
      </c>
      <c r="D305" s="4" t="s">
        <v>4096</v>
      </c>
      <c r="E305" s="4" t="s">
        <v>4054</v>
      </c>
      <c r="F305" s="4">
        <v>743.54</v>
      </c>
      <c r="G305" s="4" t="s">
        <v>45</v>
      </c>
      <c r="H305" s="4" t="s">
        <v>4063</v>
      </c>
      <c r="I305" s="4" t="s">
        <v>4087</v>
      </c>
      <c r="J305" s="4"/>
      <c r="K305" s="4">
        <f>VLOOKUP(G305,Exchange_Rates!A:B,2,FALSE)</f>
        <v>1</v>
      </c>
      <c r="L305" s="4">
        <f t="shared" si="4"/>
        <v>743.54</v>
      </c>
    </row>
    <row r="306" spans="1:12" x14ac:dyDescent="0.25">
      <c r="A306" s="4" t="s">
        <v>4474</v>
      </c>
      <c r="B306" s="4" t="s">
        <v>4475</v>
      </c>
      <c r="C306" s="6">
        <v>45750</v>
      </c>
      <c r="D306" s="4" t="s">
        <v>4066</v>
      </c>
      <c r="E306" s="4" t="s">
        <v>4054</v>
      </c>
      <c r="F306" s="4">
        <v>257.58999999999997</v>
      </c>
      <c r="G306" s="4" t="s">
        <v>64</v>
      </c>
      <c r="H306" s="4" t="s">
        <v>4097</v>
      </c>
      <c r="I306" s="4" t="s">
        <v>4056</v>
      </c>
      <c r="J306" s="4"/>
      <c r="K306" s="4">
        <f>VLOOKUP(G306,Exchange_Rates!A:B,2,FALSE)</f>
        <v>0.73</v>
      </c>
      <c r="L306" s="4">
        <f t="shared" si="4"/>
        <v>188.04069999999999</v>
      </c>
    </row>
    <row r="307" spans="1:12" x14ac:dyDescent="0.25">
      <c r="A307" s="4" t="s">
        <v>4476</v>
      </c>
      <c r="B307" s="4" t="s">
        <v>4477</v>
      </c>
      <c r="C307" s="6">
        <v>45590</v>
      </c>
      <c r="D307" s="4" t="s">
        <v>4053</v>
      </c>
      <c r="E307" s="4" t="s">
        <v>4054</v>
      </c>
      <c r="F307" s="4">
        <v>65.94</v>
      </c>
      <c r="G307" s="4" t="s">
        <v>42</v>
      </c>
      <c r="H307" s="4" t="s">
        <v>4059</v>
      </c>
      <c r="I307" s="4" t="s">
        <v>4056</v>
      </c>
      <c r="J307" s="4"/>
      <c r="K307" s="4">
        <f>VLOOKUP(G307,Exchange_Rates!A:B,2,FALSE)</f>
        <v>0.66</v>
      </c>
      <c r="L307" s="4">
        <f t="shared" si="4"/>
        <v>43.520400000000002</v>
      </c>
    </row>
    <row r="308" spans="1:12" x14ac:dyDescent="0.25">
      <c r="A308" s="4" t="s">
        <v>4478</v>
      </c>
      <c r="B308" s="4" t="s">
        <v>4126</v>
      </c>
      <c r="C308" s="6">
        <v>45120</v>
      </c>
      <c r="D308" s="4" t="s">
        <v>4066</v>
      </c>
      <c r="E308" s="4" t="s">
        <v>4054</v>
      </c>
      <c r="F308" s="4">
        <v>629.5</v>
      </c>
      <c r="G308" s="4" t="s">
        <v>64</v>
      </c>
      <c r="H308" s="4" t="s">
        <v>4097</v>
      </c>
      <c r="I308" s="4" t="s">
        <v>4087</v>
      </c>
      <c r="J308" s="4"/>
      <c r="K308" s="4">
        <f>VLOOKUP(G308,Exchange_Rates!A:B,2,FALSE)</f>
        <v>0.73</v>
      </c>
      <c r="L308" s="4">
        <f t="shared" si="4"/>
        <v>459.53499999999997</v>
      </c>
    </row>
    <row r="309" spans="1:12" x14ac:dyDescent="0.25">
      <c r="A309" s="4" t="s">
        <v>4479</v>
      </c>
      <c r="B309" s="4" t="s">
        <v>4173</v>
      </c>
      <c r="C309" s="6">
        <v>45709</v>
      </c>
      <c r="D309" s="4" t="s">
        <v>4066</v>
      </c>
      <c r="E309" s="4" t="s">
        <v>4054</v>
      </c>
      <c r="F309" s="4">
        <v>563.27</v>
      </c>
      <c r="G309" s="4" t="s">
        <v>28</v>
      </c>
      <c r="H309" s="4" t="s">
        <v>4059</v>
      </c>
      <c r="I309" s="4" t="s">
        <v>4070</v>
      </c>
      <c r="J309" s="4"/>
      <c r="K309" s="4">
        <f>VLOOKUP(G309,Exchange_Rates!A:B,2,FALSE)</f>
        <v>1.27</v>
      </c>
      <c r="L309" s="4">
        <f t="shared" si="4"/>
        <v>715.35289999999998</v>
      </c>
    </row>
    <row r="310" spans="1:12" x14ac:dyDescent="0.25">
      <c r="A310" s="4" t="s">
        <v>4480</v>
      </c>
      <c r="B310" s="4" t="s">
        <v>4302</v>
      </c>
      <c r="C310" s="6">
        <v>45261</v>
      </c>
      <c r="D310" s="4" t="s">
        <v>4066</v>
      </c>
      <c r="E310" s="4" t="s">
        <v>4054</v>
      </c>
      <c r="F310" s="4">
        <v>513.62</v>
      </c>
      <c r="G310" s="4" t="s">
        <v>28</v>
      </c>
      <c r="H310" s="4" t="s">
        <v>4097</v>
      </c>
      <c r="I310" s="4" t="s">
        <v>4070</v>
      </c>
      <c r="J310" s="4"/>
      <c r="K310" s="4">
        <f>VLOOKUP(G310,Exchange_Rates!A:B,2,FALSE)</f>
        <v>1.27</v>
      </c>
      <c r="L310" s="4">
        <f t="shared" si="4"/>
        <v>652.29740000000004</v>
      </c>
    </row>
    <row r="311" spans="1:12" x14ac:dyDescent="0.25">
      <c r="A311" s="4" t="s">
        <v>4481</v>
      </c>
      <c r="B311" s="4" t="s">
        <v>4132</v>
      </c>
      <c r="C311" s="6">
        <v>45626</v>
      </c>
      <c r="D311" s="4" t="s">
        <v>4066</v>
      </c>
      <c r="E311" s="4" t="s">
        <v>4054</v>
      </c>
      <c r="F311" s="4">
        <v>130.13</v>
      </c>
      <c r="G311" s="4" t="s">
        <v>64</v>
      </c>
      <c r="H311" s="4" t="s">
        <v>4055</v>
      </c>
      <c r="I311" s="4" t="s">
        <v>4087</v>
      </c>
      <c r="J311" s="6">
        <v>45641</v>
      </c>
      <c r="K311" s="4">
        <f>VLOOKUP(G311,Exchange_Rates!A:B,2,FALSE)</f>
        <v>0.73</v>
      </c>
      <c r="L311" s="4">
        <f t="shared" si="4"/>
        <v>94.994900000000001</v>
      </c>
    </row>
    <row r="312" spans="1:12" x14ac:dyDescent="0.25">
      <c r="A312" s="4" t="s">
        <v>4482</v>
      </c>
      <c r="B312" s="4" t="s">
        <v>4273</v>
      </c>
      <c r="C312" s="6">
        <v>45276</v>
      </c>
      <c r="D312" s="4" t="s">
        <v>4053</v>
      </c>
      <c r="E312" s="4" t="s">
        <v>4054</v>
      </c>
      <c r="F312" s="4">
        <v>50.07</v>
      </c>
      <c r="G312" s="4" t="s">
        <v>28</v>
      </c>
      <c r="H312" s="4" t="s">
        <v>4059</v>
      </c>
      <c r="I312" s="4" t="s">
        <v>4087</v>
      </c>
      <c r="J312" s="4"/>
      <c r="K312" s="4">
        <f>VLOOKUP(G312,Exchange_Rates!A:B,2,FALSE)</f>
        <v>1.27</v>
      </c>
      <c r="L312" s="4">
        <f t="shared" si="4"/>
        <v>63.588900000000002</v>
      </c>
    </row>
    <row r="313" spans="1:12" x14ac:dyDescent="0.25">
      <c r="A313" s="4" t="s">
        <v>4483</v>
      </c>
      <c r="B313" s="4" t="s">
        <v>4091</v>
      </c>
      <c r="C313" s="6">
        <v>45747</v>
      </c>
      <c r="D313" s="4" t="s">
        <v>4096</v>
      </c>
      <c r="E313" s="4" t="s">
        <v>4054</v>
      </c>
      <c r="F313" s="4">
        <v>56.56</v>
      </c>
      <c r="G313" s="4" t="s">
        <v>28</v>
      </c>
      <c r="H313" s="4" t="s">
        <v>4063</v>
      </c>
      <c r="I313" s="4" t="s">
        <v>4070</v>
      </c>
      <c r="J313" s="4"/>
      <c r="K313" s="4">
        <f>VLOOKUP(G313,Exchange_Rates!A:B,2,FALSE)</f>
        <v>1.27</v>
      </c>
      <c r="L313" s="4">
        <f t="shared" si="4"/>
        <v>71.83120000000001</v>
      </c>
    </row>
    <row r="314" spans="1:12" x14ac:dyDescent="0.25">
      <c r="A314" s="4" t="s">
        <v>4484</v>
      </c>
      <c r="B314" s="4" t="s">
        <v>4197</v>
      </c>
      <c r="C314" s="6">
        <v>45522</v>
      </c>
      <c r="D314" s="4" t="s">
        <v>4053</v>
      </c>
      <c r="E314" s="4" t="s">
        <v>4054</v>
      </c>
      <c r="F314" s="4">
        <v>327.33</v>
      </c>
      <c r="G314" s="4" t="s">
        <v>36</v>
      </c>
      <c r="H314" s="4" t="s">
        <v>4059</v>
      </c>
      <c r="I314" s="4" t="s">
        <v>4070</v>
      </c>
      <c r="J314" s="4"/>
      <c r="K314" s="4">
        <f>VLOOKUP(G314,Exchange_Rates!A:B,2,FALSE)</f>
        <v>1.08</v>
      </c>
      <c r="L314" s="4">
        <f t="shared" si="4"/>
        <v>353.51640000000003</v>
      </c>
    </row>
    <row r="315" spans="1:12" x14ac:dyDescent="0.25">
      <c r="A315" s="4" t="s">
        <v>4485</v>
      </c>
      <c r="B315" s="4" t="s">
        <v>4106</v>
      </c>
      <c r="C315" s="6">
        <v>44995</v>
      </c>
      <c r="D315" s="4" t="s">
        <v>4062</v>
      </c>
      <c r="E315" s="4" t="s">
        <v>4054</v>
      </c>
      <c r="F315" s="4">
        <v>33.83</v>
      </c>
      <c r="G315" s="4" t="s">
        <v>64</v>
      </c>
      <c r="H315" s="4" t="s">
        <v>4097</v>
      </c>
      <c r="I315" s="4" t="s">
        <v>4087</v>
      </c>
      <c r="J315" s="4"/>
      <c r="K315" s="4">
        <f>VLOOKUP(G315,Exchange_Rates!A:B,2,FALSE)</f>
        <v>0.73</v>
      </c>
      <c r="L315" s="4">
        <f t="shared" si="4"/>
        <v>24.695899999999998</v>
      </c>
    </row>
    <row r="316" spans="1:12" x14ac:dyDescent="0.25">
      <c r="A316" s="4" t="s">
        <v>4486</v>
      </c>
      <c r="B316" s="4" t="s">
        <v>4082</v>
      </c>
      <c r="C316" s="6">
        <v>45724</v>
      </c>
      <c r="D316" s="4" t="s">
        <v>4053</v>
      </c>
      <c r="E316" s="4" t="s">
        <v>4054</v>
      </c>
      <c r="F316" s="4">
        <v>724.38</v>
      </c>
      <c r="G316" s="4" t="s">
        <v>42</v>
      </c>
      <c r="H316" s="4" t="s">
        <v>4055</v>
      </c>
      <c r="I316" s="4" t="s">
        <v>4056</v>
      </c>
      <c r="J316" s="6">
        <v>45739</v>
      </c>
      <c r="K316" s="4">
        <f>VLOOKUP(G316,Exchange_Rates!A:B,2,FALSE)</f>
        <v>0.66</v>
      </c>
      <c r="L316" s="4">
        <f t="shared" si="4"/>
        <v>478.0908</v>
      </c>
    </row>
    <row r="317" spans="1:12" x14ac:dyDescent="0.25">
      <c r="A317" s="4" t="s">
        <v>4487</v>
      </c>
      <c r="B317" s="4" t="s">
        <v>4295</v>
      </c>
      <c r="C317" s="6">
        <v>44958</v>
      </c>
      <c r="D317" s="4" t="s">
        <v>4053</v>
      </c>
      <c r="E317" s="4" t="s">
        <v>4054</v>
      </c>
      <c r="F317" s="4">
        <v>267.31</v>
      </c>
      <c r="G317" s="4" t="s">
        <v>42</v>
      </c>
      <c r="H317" s="4" t="s">
        <v>4097</v>
      </c>
      <c r="I317" s="4" t="s">
        <v>4070</v>
      </c>
      <c r="J317" s="4"/>
      <c r="K317" s="4">
        <f>VLOOKUP(G317,Exchange_Rates!A:B,2,FALSE)</f>
        <v>0.66</v>
      </c>
      <c r="L317" s="4">
        <f t="shared" si="4"/>
        <v>176.4246</v>
      </c>
    </row>
    <row r="318" spans="1:12" x14ac:dyDescent="0.25">
      <c r="A318" s="4" t="s">
        <v>4488</v>
      </c>
      <c r="B318" s="4" t="s">
        <v>4122</v>
      </c>
      <c r="C318" s="6">
        <v>45293</v>
      </c>
      <c r="D318" s="4" t="s">
        <v>4062</v>
      </c>
      <c r="E318" s="4" t="s">
        <v>4054</v>
      </c>
      <c r="F318" s="4">
        <v>633.9</v>
      </c>
      <c r="G318" s="4" t="s">
        <v>36</v>
      </c>
      <c r="H318" s="4" t="s">
        <v>4055</v>
      </c>
      <c r="I318" s="4" t="s">
        <v>4056</v>
      </c>
      <c r="J318" s="6">
        <v>45308</v>
      </c>
      <c r="K318" s="4">
        <f>VLOOKUP(G318,Exchange_Rates!A:B,2,FALSE)</f>
        <v>1.08</v>
      </c>
      <c r="L318" s="4">
        <f t="shared" si="4"/>
        <v>684.61199999999997</v>
      </c>
    </row>
    <row r="319" spans="1:12" x14ac:dyDescent="0.25">
      <c r="A319" s="4" t="s">
        <v>4489</v>
      </c>
      <c r="B319" s="4" t="s">
        <v>4095</v>
      </c>
      <c r="C319" s="6">
        <v>45198</v>
      </c>
      <c r="D319" s="4" t="s">
        <v>4062</v>
      </c>
      <c r="E319" s="4" t="s">
        <v>4054</v>
      </c>
      <c r="F319" s="4">
        <v>397.15</v>
      </c>
      <c r="G319" s="4" t="s">
        <v>64</v>
      </c>
      <c r="H319" s="4" t="s">
        <v>4059</v>
      </c>
      <c r="I319" s="4" t="s">
        <v>4070</v>
      </c>
      <c r="J319" s="4"/>
      <c r="K319" s="4">
        <f>VLOOKUP(G319,Exchange_Rates!A:B,2,FALSE)</f>
        <v>0.73</v>
      </c>
      <c r="L319" s="4">
        <f t="shared" si="4"/>
        <v>289.91949999999997</v>
      </c>
    </row>
    <row r="320" spans="1:12" x14ac:dyDescent="0.25">
      <c r="A320" s="4" t="s">
        <v>4490</v>
      </c>
      <c r="B320" s="4" t="s">
        <v>4244</v>
      </c>
      <c r="C320" s="6">
        <v>45082</v>
      </c>
      <c r="D320" s="4" t="s">
        <v>4062</v>
      </c>
      <c r="E320" s="4" t="s">
        <v>4054</v>
      </c>
      <c r="F320" s="4">
        <v>248.75</v>
      </c>
      <c r="G320" s="4" t="s">
        <v>64</v>
      </c>
      <c r="H320" s="4" t="s">
        <v>4097</v>
      </c>
      <c r="I320" s="4" t="s">
        <v>4087</v>
      </c>
      <c r="J320" s="4"/>
      <c r="K320" s="4">
        <f>VLOOKUP(G320,Exchange_Rates!A:B,2,FALSE)</f>
        <v>0.73</v>
      </c>
      <c r="L320" s="4">
        <f t="shared" si="4"/>
        <v>181.58750000000001</v>
      </c>
    </row>
    <row r="321" spans="1:12" x14ac:dyDescent="0.25">
      <c r="A321" s="4" t="s">
        <v>4491</v>
      </c>
      <c r="B321" s="4" t="s">
        <v>4475</v>
      </c>
      <c r="C321" s="6">
        <v>45738</v>
      </c>
      <c r="D321" s="4" t="s">
        <v>4096</v>
      </c>
      <c r="E321" s="4" t="s">
        <v>4054</v>
      </c>
      <c r="F321" s="4">
        <v>320.19</v>
      </c>
      <c r="G321" s="4" t="s">
        <v>28</v>
      </c>
      <c r="H321" s="4" t="s">
        <v>4059</v>
      </c>
      <c r="I321" s="4" t="s">
        <v>4056</v>
      </c>
      <c r="J321" s="4"/>
      <c r="K321" s="4">
        <f>VLOOKUP(G321,Exchange_Rates!A:B,2,FALSE)</f>
        <v>1.27</v>
      </c>
      <c r="L321" s="4">
        <f t="shared" si="4"/>
        <v>406.6413</v>
      </c>
    </row>
    <row r="322" spans="1:12" x14ac:dyDescent="0.25">
      <c r="A322" s="4" t="s">
        <v>4492</v>
      </c>
      <c r="B322" s="4" t="s">
        <v>4145</v>
      </c>
      <c r="C322" s="6">
        <v>45192</v>
      </c>
      <c r="D322" s="4" t="s">
        <v>4053</v>
      </c>
      <c r="E322" s="4" t="s">
        <v>4054</v>
      </c>
      <c r="F322" s="4">
        <v>73.36</v>
      </c>
      <c r="G322" s="4" t="s">
        <v>64</v>
      </c>
      <c r="H322" s="4" t="s">
        <v>4055</v>
      </c>
      <c r="I322" s="4" t="s">
        <v>4087</v>
      </c>
      <c r="J322" s="6">
        <v>45207</v>
      </c>
      <c r="K322" s="4">
        <f>VLOOKUP(G322,Exchange_Rates!A:B,2,FALSE)</f>
        <v>0.73</v>
      </c>
      <c r="L322" s="4">
        <f t="shared" si="4"/>
        <v>53.552799999999998</v>
      </c>
    </row>
    <row r="323" spans="1:12" x14ac:dyDescent="0.25">
      <c r="A323" s="4" t="s">
        <v>4493</v>
      </c>
      <c r="B323" s="4" t="s">
        <v>4421</v>
      </c>
      <c r="C323" s="6">
        <v>45766</v>
      </c>
      <c r="D323" s="4" t="s">
        <v>4062</v>
      </c>
      <c r="E323" s="4" t="s">
        <v>4054</v>
      </c>
      <c r="F323" s="4">
        <v>445.19</v>
      </c>
      <c r="G323" s="4" t="s">
        <v>64</v>
      </c>
      <c r="H323" s="4" t="s">
        <v>4055</v>
      </c>
      <c r="I323" s="4" t="s">
        <v>4070</v>
      </c>
      <c r="J323" s="6">
        <v>45781</v>
      </c>
      <c r="K323" s="4">
        <f>VLOOKUP(G323,Exchange_Rates!A:B,2,FALSE)</f>
        <v>0.73</v>
      </c>
      <c r="L323" s="4">
        <f t="shared" ref="L323:L386" si="5">F323*K323</f>
        <v>324.98869999999999</v>
      </c>
    </row>
    <row r="324" spans="1:12" x14ac:dyDescent="0.25">
      <c r="A324" s="4" t="s">
        <v>4494</v>
      </c>
      <c r="B324" s="4" t="s">
        <v>4182</v>
      </c>
      <c r="C324" s="6">
        <v>45192</v>
      </c>
      <c r="D324" s="4" t="s">
        <v>4069</v>
      </c>
      <c r="E324" s="4" t="s">
        <v>4054</v>
      </c>
      <c r="F324" s="4">
        <v>454.27</v>
      </c>
      <c r="G324" s="4" t="s">
        <v>28</v>
      </c>
      <c r="H324" s="4" t="s">
        <v>4097</v>
      </c>
      <c r="I324" s="4" t="s">
        <v>4070</v>
      </c>
      <c r="J324" s="4"/>
      <c r="K324" s="4">
        <f>VLOOKUP(G324,Exchange_Rates!A:B,2,FALSE)</f>
        <v>1.27</v>
      </c>
      <c r="L324" s="4">
        <f t="shared" si="5"/>
        <v>576.92290000000003</v>
      </c>
    </row>
    <row r="325" spans="1:12" x14ac:dyDescent="0.25">
      <c r="A325" s="4" t="s">
        <v>4495</v>
      </c>
      <c r="B325" s="4" t="s">
        <v>4453</v>
      </c>
      <c r="C325" s="6">
        <v>45080</v>
      </c>
      <c r="D325" s="4" t="s">
        <v>4053</v>
      </c>
      <c r="E325" s="4" t="s">
        <v>4054</v>
      </c>
      <c r="F325" s="4">
        <v>386.91</v>
      </c>
      <c r="G325" s="4" t="s">
        <v>45</v>
      </c>
      <c r="H325" s="4" t="s">
        <v>4063</v>
      </c>
      <c r="I325" s="4" t="s">
        <v>4056</v>
      </c>
      <c r="J325" s="4"/>
      <c r="K325" s="4">
        <f>VLOOKUP(G325,Exchange_Rates!A:B,2,FALSE)</f>
        <v>1</v>
      </c>
      <c r="L325" s="4">
        <f t="shared" si="5"/>
        <v>386.91</v>
      </c>
    </row>
    <row r="326" spans="1:12" x14ac:dyDescent="0.25">
      <c r="A326" s="4" t="s">
        <v>4496</v>
      </c>
      <c r="B326" s="4" t="s">
        <v>4497</v>
      </c>
      <c r="C326" s="6">
        <v>45628</v>
      </c>
      <c r="D326" s="4" t="s">
        <v>4069</v>
      </c>
      <c r="E326" s="4" t="s">
        <v>4054</v>
      </c>
      <c r="F326" s="4">
        <v>265.87</v>
      </c>
      <c r="G326" s="4" t="s">
        <v>45</v>
      </c>
      <c r="H326" s="4" t="s">
        <v>4097</v>
      </c>
      <c r="I326" s="4" t="s">
        <v>4056</v>
      </c>
      <c r="J326" s="4"/>
      <c r="K326" s="4">
        <f>VLOOKUP(G326,Exchange_Rates!A:B,2,FALSE)</f>
        <v>1</v>
      </c>
      <c r="L326" s="4">
        <f t="shared" si="5"/>
        <v>265.87</v>
      </c>
    </row>
    <row r="327" spans="1:12" x14ac:dyDescent="0.25">
      <c r="A327" s="4" t="s">
        <v>4498</v>
      </c>
      <c r="B327" s="4" t="s">
        <v>4078</v>
      </c>
      <c r="C327" s="6">
        <v>45578</v>
      </c>
      <c r="D327" s="4" t="s">
        <v>4062</v>
      </c>
      <c r="E327" s="4" t="s">
        <v>4054</v>
      </c>
      <c r="F327" s="4">
        <v>364.35</v>
      </c>
      <c r="G327" s="4" t="s">
        <v>36</v>
      </c>
      <c r="H327" s="4" t="s">
        <v>4097</v>
      </c>
      <c r="I327" s="4" t="s">
        <v>4070</v>
      </c>
      <c r="J327" s="4"/>
      <c r="K327" s="4">
        <f>VLOOKUP(G327,Exchange_Rates!A:B,2,FALSE)</f>
        <v>1.08</v>
      </c>
      <c r="L327" s="4">
        <f t="shared" si="5"/>
        <v>393.49800000000005</v>
      </c>
    </row>
    <row r="328" spans="1:12" x14ac:dyDescent="0.25">
      <c r="A328" s="4" t="s">
        <v>4499</v>
      </c>
      <c r="B328" s="4" t="s">
        <v>4387</v>
      </c>
      <c r="C328" s="6">
        <v>45576</v>
      </c>
      <c r="D328" s="4" t="s">
        <v>4069</v>
      </c>
      <c r="E328" s="4" t="s">
        <v>4054</v>
      </c>
      <c r="F328" s="4">
        <v>89.12</v>
      </c>
      <c r="G328" s="4" t="s">
        <v>42</v>
      </c>
      <c r="H328" s="4" t="s">
        <v>4063</v>
      </c>
      <c r="I328" s="4" t="s">
        <v>4087</v>
      </c>
      <c r="J328" s="4"/>
      <c r="K328" s="4">
        <f>VLOOKUP(G328,Exchange_Rates!A:B,2,FALSE)</f>
        <v>0.66</v>
      </c>
      <c r="L328" s="4">
        <f t="shared" si="5"/>
        <v>58.819200000000009</v>
      </c>
    </row>
    <row r="329" spans="1:12" x14ac:dyDescent="0.25">
      <c r="A329" s="4" t="s">
        <v>4500</v>
      </c>
      <c r="B329" s="4" t="s">
        <v>4112</v>
      </c>
      <c r="C329" s="6">
        <v>45174</v>
      </c>
      <c r="D329" s="4" t="s">
        <v>4053</v>
      </c>
      <c r="E329" s="4" t="s">
        <v>4054</v>
      </c>
      <c r="F329" s="4">
        <v>93.96</v>
      </c>
      <c r="G329" s="4" t="s">
        <v>64</v>
      </c>
      <c r="H329" s="4" t="s">
        <v>4055</v>
      </c>
      <c r="I329" s="4" t="s">
        <v>4070</v>
      </c>
      <c r="J329" s="6">
        <v>45189</v>
      </c>
      <c r="K329" s="4">
        <f>VLOOKUP(G329,Exchange_Rates!A:B,2,FALSE)</f>
        <v>0.73</v>
      </c>
      <c r="L329" s="4">
        <f t="shared" si="5"/>
        <v>68.590799999999987</v>
      </c>
    </row>
    <row r="330" spans="1:12" x14ac:dyDescent="0.25">
      <c r="A330" s="4" t="s">
        <v>4501</v>
      </c>
      <c r="B330" s="4" t="s">
        <v>4132</v>
      </c>
      <c r="C330" s="6">
        <v>45422</v>
      </c>
      <c r="D330" s="4" t="s">
        <v>4096</v>
      </c>
      <c r="E330" s="4" t="s">
        <v>4054</v>
      </c>
      <c r="F330" s="4">
        <v>608.70000000000005</v>
      </c>
      <c r="G330" s="4" t="s">
        <v>36</v>
      </c>
      <c r="H330" s="4" t="s">
        <v>4059</v>
      </c>
      <c r="I330" s="4" t="s">
        <v>4056</v>
      </c>
      <c r="J330" s="4"/>
      <c r="K330" s="4">
        <f>VLOOKUP(G330,Exchange_Rates!A:B,2,FALSE)</f>
        <v>1.08</v>
      </c>
      <c r="L330" s="4">
        <f t="shared" si="5"/>
        <v>657.39600000000007</v>
      </c>
    </row>
    <row r="331" spans="1:12" x14ac:dyDescent="0.25">
      <c r="A331" s="4" t="s">
        <v>4502</v>
      </c>
      <c r="B331" s="4" t="s">
        <v>4145</v>
      </c>
      <c r="C331" s="6">
        <v>45129</v>
      </c>
      <c r="D331" s="4" t="s">
        <v>4053</v>
      </c>
      <c r="E331" s="4" t="s">
        <v>4054</v>
      </c>
      <c r="F331" s="4">
        <v>42.7</v>
      </c>
      <c r="G331" s="4" t="s">
        <v>45</v>
      </c>
      <c r="H331" s="4" t="s">
        <v>4097</v>
      </c>
      <c r="I331" s="4" t="s">
        <v>4056</v>
      </c>
      <c r="J331" s="4"/>
      <c r="K331" s="4">
        <f>VLOOKUP(G331,Exchange_Rates!A:B,2,FALSE)</f>
        <v>1</v>
      </c>
      <c r="L331" s="4">
        <f t="shared" si="5"/>
        <v>42.7</v>
      </c>
    </row>
    <row r="332" spans="1:12" x14ac:dyDescent="0.25">
      <c r="A332" s="4" t="s">
        <v>4503</v>
      </c>
      <c r="B332" s="4" t="s">
        <v>4269</v>
      </c>
      <c r="C332" s="6">
        <v>45753</v>
      </c>
      <c r="D332" s="4" t="s">
        <v>4096</v>
      </c>
      <c r="E332" s="4" t="s">
        <v>4054</v>
      </c>
      <c r="F332" s="4">
        <v>343.5</v>
      </c>
      <c r="G332" s="4" t="s">
        <v>64</v>
      </c>
      <c r="H332" s="4" t="s">
        <v>4063</v>
      </c>
      <c r="I332" s="4" t="s">
        <v>4070</v>
      </c>
      <c r="J332" s="4"/>
      <c r="K332" s="4">
        <f>VLOOKUP(G332,Exchange_Rates!A:B,2,FALSE)</f>
        <v>0.73</v>
      </c>
      <c r="L332" s="4">
        <f t="shared" si="5"/>
        <v>250.755</v>
      </c>
    </row>
    <row r="333" spans="1:12" x14ac:dyDescent="0.25">
      <c r="A333" s="4" t="s">
        <v>4504</v>
      </c>
      <c r="B333" s="4" t="s">
        <v>4393</v>
      </c>
      <c r="C333" s="6">
        <v>45303</v>
      </c>
      <c r="D333" s="4" t="s">
        <v>4066</v>
      </c>
      <c r="E333" s="4" t="s">
        <v>4054</v>
      </c>
      <c r="F333" s="4">
        <v>726.15</v>
      </c>
      <c r="G333" s="4" t="s">
        <v>45</v>
      </c>
      <c r="H333" s="4" t="s">
        <v>4097</v>
      </c>
      <c r="I333" s="4" t="s">
        <v>4087</v>
      </c>
      <c r="J333" s="4"/>
      <c r="K333" s="4">
        <f>VLOOKUP(G333,Exchange_Rates!A:B,2,FALSE)</f>
        <v>1</v>
      </c>
      <c r="L333" s="4">
        <f t="shared" si="5"/>
        <v>726.15</v>
      </c>
    </row>
    <row r="334" spans="1:12" x14ac:dyDescent="0.25">
      <c r="A334" s="4" t="s">
        <v>4505</v>
      </c>
      <c r="B334" s="4" t="s">
        <v>4453</v>
      </c>
      <c r="C334" s="6">
        <v>45070</v>
      </c>
      <c r="D334" s="4" t="s">
        <v>4062</v>
      </c>
      <c r="E334" s="4" t="s">
        <v>4054</v>
      </c>
      <c r="F334" s="4">
        <v>548.04999999999995</v>
      </c>
      <c r="G334" s="4" t="s">
        <v>42</v>
      </c>
      <c r="H334" s="4" t="s">
        <v>4063</v>
      </c>
      <c r="I334" s="4" t="s">
        <v>4070</v>
      </c>
      <c r="J334" s="4"/>
      <c r="K334" s="4">
        <f>VLOOKUP(G334,Exchange_Rates!A:B,2,FALSE)</f>
        <v>0.66</v>
      </c>
      <c r="L334" s="4">
        <f t="shared" si="5"/>
        <v>361.71299999999997</v>
      </c>
    </row>
    <row r="335" spans="1:12" x14ac:dyDescent="0.25">
      <c r="A335" s="4" t="s">
        <v>4506</v>
      </c>
      <c r="B335" s="4" t="s">
        <v>4184</v>
      </c>
      <c r="C335" s="6">
        <v>45030</v>
      </c>
      <c r="D335" s="4" t="s">
        <v>4069</v>
      </c>
      <c r="E335" s="4" t="s">
        <v>4054</v>
      </c>
      <c r="F335" s="4">
        <v>542.13</v>
      </c>
      <c r="G335" s="4" t="s">
        <v>45</v>
      </c>
      <c r="H335" s="4" t="s">
        <v>4055</v>
      </c>
      <c r="I335" s="4" t="s">
        <v>4087</v>
      </c>
      <c r="J335" s="6">
        <v>45045</v>
      </c>
      <c r="K335" s="4">
        <f>VLOOKUP(G335,Exchange_Rates!A:B,2,FALSE)</f>
        <v>1</v>
      </c>
      <c r="L335" s="4">
        <f t="shared" si="5"/>
        <v>542.13</v>
      </c>
    </row>
    <row r="336" spans="1:12" x14ac:dyDescent="0.25">
      <c r="A336" s="4" t="s">
        <v>4507</v>
      </c>
      <c r="B336" s="4" t="s">
        <v>4101</v>
      </c>
      <c r="C336" s="6">
        <v>45425</v>
      </c>
      <c r="D336" s="4" t="s">
        <v>4069</v>
      </c>
      <c r="E336" s="4" t="s">
        <v>4054</v>
      </c>
      <c r="F336" s="4">
        <v>445.19</v>
      </c>
      <c r="G336" s="4" t="s">
        <v>28</v>
      </c>
      <c r="H336" s="4" t="s">
        <v>4063</v>
      </c>
      <c r="I336" s="4" t="s">
        <v>4056</v>
      </c>
      <c r="J336" s="4"/>
      <c r="K336" s="4">
        <f>VLOOKUP(G336,Exchange_Rates!A:B,2,FALSE)</f>
        <v>1.27</v>
      </c>
      <c r="L336" s="4">
        <f t="shared" si="5"/>
        <v>565.3913</v>
      </c>
    </row>
    <row r="337" spans="1:12" x14ac:dyDescent="0.25">
      <c r="A337" s="4" t="s">
        <v>4508</v>
      </c>
      <c r="B337" s="4" t="s">
        <v>4086</v>
      </c>
      <c r="C337" s="6">
        <v>45168</v>
      </c>
      <c r="D337" s="4" t="s">
        <v>4053</v>
      </c>
      <c r="E337" s="4" t="s">
        <v>4054</v>
      </c>
      <c r="F337" s="4">
        <v>171.94</v>
      </c>
      <c r="G337" s="4" t="s">
        <v>45</v>
      </c>
      <c r="H337" s="4" t="s">
        <v>4063</v>
      </c>
      <c r="I337" s="4" t="s">
        <v>4056</v>
      </c>
      <c r="J337" s="4"/>
      <c r="K337" s="4">
        <f>VLOOKUP(G337,Exchange_Rates!A:B,2,FALSE)</f>
        <v>1</v>
      </c>
      <c r="L337" s="4">
        <f t="shared" si="5"/>
        <v>171.94</v>
      </c>
    </row>
    <row r="338" spans="1:12" x14ac:dyDescent="0.25">
      <c r="A338" s="4" t="s">
        <v>4509</v>
      </c>
      <c r="B338" s="4" t="s">
        <v>4453</v>
      </c>
      <c r="C338" s="6">
        <v>45503</v>
      </c>
      <c r="D338" s="4" t="s">
        <v>4066</v>
      </c>
      <c r="E338" s="4" t="s">
        <v>4054</v>
      </c>
      <c r="F338" s="4">
        <v>411.72</v>
      </c>
      <c r="G338" s="4" t="s">
        <v>45</v>
      </c>
      <c r="H338" s="4" t="s">
        <v>4059</v>
      </c>
      <c r="I338" s="4" t="s">
        <v>4087</v>
      </c>
      <c r="J338" s="4"/>
      <c r="K338" s="4">
        <f>VLOOKUP(G338,Exchange_Rates!A:B,2,FALSE)</f>
        <v>1</v>
      </c>
      <c r="L338" s="4">
        <f t="shared" si="5"/>
        <v>411.72</v>
      </c>
    </row>
    <row r="339" spans="1:12" x14ac:dyDescent="0.25">
      <c r="A339" s="4" t="s">
        <v>4510</v>
      </c>
      <c r="B339" s="4" t="s">
        <v>4158</v>
      </c>
      <c r="C339" s="6">
        <v>45782</v>
      </c>
      <c r="D339" s="4" t="s">
        <v>4066</v>
      </c>
      <c r="E339" s="4" t="s">
        <v>4054</v>
      </c>
      <c r="F339" s="4">
        <v>62.81</v>
      </c>
      <c r="G339" s="4" t="s">
        <v>36</v>
      </c>
      <c r="H339" s="4" t="s">
        <v>4063</v>
      </c>
      <c r="I339" s="4" t="s">
        <v>4087</v>
      </c>
      <c r="J339" s="4"/>
      <c r="K339" s="4">
        <f>VLOOKUP(G339,Exchange_Rates!A:B,2,FALSE)</f>
        <v>1.08</v>
      </c>
      <c r="L339" s="4">
        <f t="shared" si="5"/>
        <v>67.834800000000001</v>
      </c>
    </row>
    <row r="340" spans="1:12" x14ac:dyDescent="0.25">
      <c r="A340" s="4" t="s">
        <v>4511</v>
      </c>
      <c r="B340" s="4" t="s">
        <v>4497</v>
      </c>
      <c r="C340" s="6">
        <v>45322</v>
      </c>
      <c r="D340" s="4" t="s">
        <v>4053</v>
      </c>
      <c r="E340" s="4" t="s">
        <v>4054</v>
      </c>
      <c r="F340" s="4">
        <v>544.24</v>
      </c>
      <c r="G340" s="4" t="s">
        <v>64</v>
      </c>
      <c r="H340" s="4" t="s">
        <v>4063</v>
      </c>
      <c r="I340" s="4" t="s">
        <v>4056</v>
      </c>
      <c r="J340" s="4"/>
      <c r="K340" s="4">
        <f>VLOOKUP(G340,Exchange_Rates!A:B,2,FALSE)</f>
        <v>0.73</v>
      </c>
      <c r="L340" s="4">
        <f t="shared" si="5"/>
        <v>397.29520000000002</v>
      </c>
    </row>
    <row r="341" spans="1:12" x14ac:dyDescent="0.25">
      <c r="A341" s="4" t="s">
        <v>4512</v>
      </c>
      <c r="B341" s="4" t="s">
        <v>4065</v>
      </c>
      <c r="C341" s="6">
        <v>45005</v>
      </c>
      <c r="D341" s="4" t="s">
        <v>4096</v>
      </c>
      <c r="E341" s="4" t="s">
        <v>4054</v>
      </c>
      <c r="F341" s="4">
        <v>403.74</v>
      </c>
      <c r="G341" s="4" t="s">
        <v>28</v>
      </c>
      <c r="H341" s="4" t="s">
        <v>4063</v>
      </c>
      <c r="I341" s="4" t="s">
        <v>4070</v>
      </c>
      <c r="J341" s="4"/>
      <c r="K341" s="4">
        <f>VLOOKUP(G341,Exchange_Rates!A:B,2,FALSE)</f>
        <v>1.27</v>
      </c>
      <c r="L341" s="4">
        <f t="shared" si="5"/>
        <v>512.74980000000005</v>
      </c>
    </row>
    <row r="342" spans="1:12" x14ac:dyDescent="0.25">
      <c r="A342" s="4" t="s">
        <v>4513</v>
      </c>
      <c r="B342" s="4" t="s">
        <v>4419</v>
      </c>
      <c r="C342" s="6">
        <v>44975</v>
      </c>
      <c r="D342" s="4" t="s">
        <v>4053</v>
      </c>
      <c r="E342" s="4" t="s">
        <v>4054</v>
      </c>
      <c r="F342" s="4">
        <v>333.4</v>
      </c>
      <c r="G342" s="4" t="s">
        <v>42</v>
      </c>
      <c r="H342" s="4" t="s">
        <v>4055</v>
      </c>
      <c r="I342" s="4" t="s">
        <v>4056</v>
      </c>
      <c r="J342" s="6">
        <v>44990</v>
      </c>
      <c r="K342" s="4">
        <f>VLOOKUP(G342,Exchange_Rates!A:B,2,FALSE)</f>
        <v>0.66</v>
      </c>
      <c r="L342" s="4">
        <f t="shared" si="5"/>
        <v>220.04399999999998</v>
      </c>
    </row>
    <row r="343" spans="1:12" x14ac:dyDescent="0.25">
      <c r="A343" s="4" t="s">
        <v>4514</v>
      </c>
      <c r="B343" s="4" t="s">
        <v>4515</v>
      </c>
      <c r="C343" s="6">
        <v>45649</v>
      </c>
      <c r="D343" s="4" t="s">
        <v>4069</v>
      </c>
      <c r="E343" s="4" t="s">
        <v>4054</v>
      </c>
      <c r="F343" s="4">
        <v>234.67</v>
      </c>
      <c r="G343" s="4" t="s">
        <v>42</v>
      </c>
      <c r="H343" s="4" t="s">
        <v>4097</v>
      </c>
      <c r="I343" s="4" t="s">
        <v>4056</v>
      </c>
      <c r="J343" s="4"/>
      <c r="K343" s="4">
        <f>VLOOKUP(G343,Exchange_Rates!A:B,2,FALSE)</f>
        <v>0.66</v>
      </c>
      <c r="L343" s="4">
        <f t="shared" si="5"/>
        <v>154.88220000000001</v>
      </c>
    </row>
    <row r="344" spans="1:12" x14ac:dyDescent="0.25">
      <c r="A344" s="4" t="s">
        <v>4516</v>
      </c>
      <c r="B344" s="4" t="s">
        <v>4158</v>
      </c>
      <c r="C344" s="6">
        <v>45160</v>
      </c>
      <c r="D344" s="4" t="s">
        <v>4096</v>
      </c>
      <c r="E344" s="4" t="s">
        <v>4054</v>
      </c>
      <c r="F344" s="4">
        <v>605.37</v>
      </c>
      <c r="G344" s="4" t="s">
        <v>42</v>
      </c>
      <c r="H344" s="4" t="s">
        <v>4063</v>
      </c>
      <c r="I344" s="4" t="s">
        <v>4056</v>
      </c>
      <c r="J344" s="4"/>
      <c r="K344" s="4">
        <f>VLOOKUP(G344,Exchange_Rates!A:B,2,FALSE)</f>
        <v>0.66</v>
      </c>
      <c r="L344" s="4">
        <f t="shared" si="5"/>
        <v>399.54420000000005</v>
      </c>
    </row>
    <row r="345" spans="1:12" x14ac:dyDescent="0.25">
      <c r="A345" s="4" t="s">
        <v>4517</v>
      </c>
      <c r="B345" s="4" t="s">
        <v>4253</v>
      </c>
      <c r="C345" s="6">
        <v>45315</v>
      </c>
      <c r="D345" s="4" t="s">
        <v>4053</v>
      </c>
      <c r="E345" s="4" t="s">
        <v>4054</v>
      </c>
      <c r="F345" s="4">
        <v>576.5</v>
      </c>
      <c r="G345" s="4" t="s">
        <v>64</v>
      </c>
      <c r="H345" s="4" t="s">
        <v>4063</v>
      </c>
      <c r="I345" s="4" t="s">
        <v>4056</v>
      </c>
      <c r="J345" s="4"/>
      <c r="K345" s="4">
        <f>VLOOKUP(G345,Exchange_Rates!A:B,2,FALSE)</f>
        <v>0.73</v>
      </c>
      <c r="L345" s="4">
        <f t="shared" si="5"/>
        <v>420.84499999999997</v>
      </c>
    </row>
    <row r="346" spans="1:12" x14ac:dyDescent="0.25">
      <c r="A346" s="4" t="s">
        <v>4518</v>
      </c>
      <c r="B346" s="4" t="s">
        <v>4150</v>
      </c>
      <c r="C346" s="6">
        <v>45678</v>
      </c>
      <c r="D346" s="4" t="s">
        <v>4069</v>
      </c>
      <c r="E346" s="4" t="s">
        <v>4054</v>
      </c>
      <c r="F346" s="4">
        <v>780.13</v>
      </c>
      <c r="G346" s="4" t="s">
        <v>42</v>
      </c>
      <c r="H346" s="4" t="s">
        <v>4055</v>
      </c>
      <c r="I346" s="4" t="s">
        <v>4087</v>
      </c>
      <c r="J346" s="6">
        <v>45693</v>
      </c>
      <c r="K346" s="4">
        <f>VLOOKUP(G346,Exchange_Rates!A:B,2,FALSE)</f>
        <v>0.66</v>
      </c>
      <c r="L346" s="4">
        <f t="shared" si="5"/>
        <v>514.88580000000002</v>
      </c>
    </row>
    <row r="347" spans="1:12" x14ac:dyDescent="0.25">
      <c r="A347" s="4" t="s">
        <v>4519</v>
      </c>
      <c r="B347" s="4" t="s">
        <v>4520</v>
      </c>
      <c r="C347" s="6">
        <v>45421</v>
      </c>
      <c r="D347" s="4" t="s">
        <v>4053</v>
      </c>
      <c r="E347" s="4" t="s">
        <v>4054</v>
      </c>
      <c r="F347" s="4">
        <v>158.72999999999999</v>
      </c>
      <c r="G347" s="4" t="s">
        <v>64</v>
      </c>
      <c r="H347" s="4" t="s">
        <v>4055</v>
      </c>
      <c r="I347" s="4" t="s">
        <v>4087</v>
      </c>
      <c r="J347" s="6">
        <v>45436</v>
      </c>
      <c r="K347" s="4">
        <f>VLOOKUP(G347,Exchange_Rates!A:B,2,FALSE)</f>
        <v>0.73</v>
      </c>
      <c r="L347" s="4">
        <f t="shared" si="5"/>
        <v>115.87289999999999</v>
      </c>
    </row>
    <row r="348" spans="1:12" x14ac:dyDescent="0.25">
      <c r="A348" s="4" t="s">
        <v>4521</v>
      </c>
      <c r="B348" s="4" t="s">
        <v>4132</v>
      </c>
      <c r="C348" s="6">
        <v>44973</v>
      </c>
      <c r="D348" s="4" t="s">
        <v>4053</v>
      </c>
      <c r="E348" s="4" t="s">
        <v>4054</v>
      </c>
      <c r="F348" s="4">
        <v>54.53</v>
      </c>
      <c r="G348" s="4" t="s">
        <v>28</v>
      </c>
      <c r="H348" s="4" t="s">
        <v>4063</v>
      </c>
      <c r="I348" s="4" t="s">
        <v>4087</v>
      </c>
      <c r="J348" s="4"/>
      <c r="K348" s="4">
        <f>VLOOKUP(G348,Exchange_Rates!A:B,2,FALSE)</f>
        <v>1.27</v>
      </c>
      <c r="L348" s="4">
        <f t="shared" si="5"/>
        <v>69.253100000000003</v>
      </c>
    </row>
    <row r="349" spans="1:12" x14ac:dyDescent="0.25">
      <c r="A349" s="4" t="s">
        <v>4522</v>
      </c>
      <c r="B349" s="4" t="s">
        <v>4145</v>
      </c>
      <c r="C349" s="6">
        <v>45125</v>
      </c>
      <c r="D349" s="4" t="s">
        <v>4053</v>
      </c>
      <c r="E349" s="4" t="s">
        <v>4054</v>
      </c>
      <c r="F349" s="4">
        <v>601.66</v>
      </c>
      <c r="G349" s="4" t="s">
        <v>28</v>
      </c>
      <c r="H349" s="4" t="s">
        <v>4063</v>
      </c>
      <c r="I349" s="4" t="s">
        <v>4087</v>
      </c>
      <c r="J349" s="4"/>
      <c r="K349" s="4">
        <f>VLOOKUP(G349,Exchange_Rates!A:B,2,FALSE)</f>
        <v>1.27</v>
      </c>
      <c r="L349" s="4">
        <f t="shared" si="5"/>
        <v>764.10820000000001</v>
      </c>
    </row>
    <row r="350" spans="1:12" x14ac:dyDescent="0.25">
      <c r="A350" s="4" t="s">
        <v>4523</v>
      </c>
      <c r="B350" s="4" t="s">
        <v>4450</v>
      </c>
      <c r="C350" s="6">
        <v>44931</v>
      </c>
      <c r="D350" s="4" t="s">
        <v>4096</v>
      </c>
      <c r="E350" s="4" t="s">
        <v>4054</v>
      </c>
      <c r="F350" s="4">
        <v>407.6</v>
      </c>
      <c r="G350" s="4" t="s">
        <v>42</v>
      </c>
      <c r="H350" s="4" t="s">
        <v>4063</v>
      </c>
      <c r="I350" s="4" t="s">
        <v>4087</v>
      </c>
      <c r="J350" s="4"/>
      <c r="K350" s="4">
        <f>VLOOKUP(G350,Exchange_Rates!A:B,2,FALSE)</f>
        <v>0.66</v>
      </c>
      <c r="L350" s="4">
        <f t="shared" si="5"/>
        <v>269.01600000000002</v>
      </c>
    </row>
    <row r="351" spans="1:12" x14ac:dyDescent="0.25">
      <c r="A351" s="4" t="s">
        <v>4524</v>
      </c>
      <c r="B351" s="4" t="s">
        <v>4525</v>
      </c>
      <c r="C351" s="6">
        <v>45143</v>
      </c>
      <c r="D351" s="4" t="s">
        <v>4062</v>
      </c>
      <c r="E351" s="4" t="s">
        <v>4054</v>
      </c>
      <c r="F351" s="4">
        <v>523.49</v>
      </c>
      <c r="G351" s="4" t="s">
        <v>45</v>
      </c>
      <c r="H351" s="4" t="s">
        <v>4063</v>
      </c>
      <c r="I351" s="4" t="s">
        <v>4070</v>
      </c>
      <c r="J351" s="4"/>
      <c r="K351" s="4">
        <f>VLOOKUP(G351,Exchange_Rates!A:B,2,FALSE)</f>
        <v>1</v>
      </c>
      <c r="L351" s="4">
        <f t="shared" si="5"/>
        <v>523.49</v>
      </c>
    </row>
    <row r="352" spans="1:12" x14ac:dyDescent="0.25">
      <c r="A352" s="4" t="s">
        <v>4526</v>
      </c>
      <c r="B352" s="4" t="s">
        <v>4258</v>
      </c>
      <c r="C352" s="6">
        <v>45073</v>
      </c>
      <c r="D352" s="4" t="s">
        <v>4066</v>
      </c>
      <c r="E352" s="4" t="s">
        <v>4054</v>
      </c>
      <c r="F352" s="4">
        <v>477.32</v>
      </c>
      <c r="G352" s="4" t="s">
        <v>36</v>
      </c>
      <c r="H352" s="4" t="s">
        <v>4059</v>
      </c>
      <c r="I352" s="4" t="s">
        <v>4070</v>
      </c>
      <c r="J352" s="4"/>
      <c r="K352" s="4">
        <f>VLOOKUP(G352,Exchange_Rates!A:B,2,FALSE)</f>
        <v>1.08</v>
      </c>
      <c r="L352" s="4">
        <f t="shared" si="5"/>
        <v>515.50560000000007</v>
      </c>
    </row>
    <row r="353" spans="1:12" x14ac:dyDescent="0.25">
      <c r="A353" s="4" t="s">
        <v>4527</v>
      </c>
      <c r="B353" s="4" t="s">
        <v>4528</v>
      </c>
      <c r="C353" s="6">
        <v>45036</v>
      </c>
      <c r="D353" s="4" t="s">
        <v>4053</v>
      </c>
      <c r="E353" s="4" t="s">
        <v>4054</v>
      </c>
      <c r="F353" s="4">
        <v>215.71</v>
      </c>
      <c r="G353" s="4" t="s">
        <v>45</v>
      </c>
      <c r="H353" s="4" t="s">
        <v>4063</v>
      </c>
      <c r="I353" s="4" t="s">
        <v>4056</v>
      </c>
      <c r="J353" s="4"/>
      <c r="K353" s="4">
        <f>VLOOKUP(G353,Exchange_Rates!A:B,2,FALSE)</f>
        <v>1</v>
      </c>
      <c r="L353" s="4">
        <f t="shared" si="5"/>
        <v>215.71</v>
      </c>
    </row>
    <row r="354" spans="1:12" x14ac:dyDescent="0.25">
      <c r="A354" s="4" t="s">
        <v>4529</v>
      </c>
      <c r="B354" s="4" t="s">
        <v>4308</v>
      </c>
      <c r="C354" s="6">
        <v>45054</v>
      </c>
      <c r="D354" s="4" t="s">
        <v>4066</v>
      </c>
      <c r="E354" s="4" t="s">
        <v>4054</v>
      </c>
      <c r="F354" s="4">
        <v>103.74</v>
      </c>
      <c r="G354" s="4" t="s">
        <v>42</v>
      </c>
      <c r="H354" s="4" t="s">
        <v>4097</v>
      </c>
      <c r="I354" s="4" t="s">
        <v>4056</v>
      </c>
      <c r="J354" s="4"/>
      <c r="K354" s="4">
        <f>VLOOKUP(G354,Exchange_Rates!A:B,2,FALSE)</f>
        <v>0.66</v>
      </c>
      <c r="L354" s="4">
        <f t="shared" si="5"/>
        <v>68.468400000000003</v>
      </c>
    </row>
    <row r="355" spans="1:12" x14ac:dyDescent="0.25">
      <c r="A355" s="4" t="s">
        <v>4530</v>
      </c>
      <c r="B355" s="4" t="s">
        <v>4061</v>
      </c>
      <c r="C355" s="6">
        <v>45169</v>
      </c>
      <c r="D355" s="4" t="s">
        <v>4066</v>
      </c>
      <c r="E355" s="4" t="s">
        <v>4054</v>
      </c>
      <c r="F355" s="4">
        <v>402.76</v>
      </c>
      <c r="G355" s="4" t="s">
        <v>64</v>
      </c>
      <c r="H355" s="4" t="s">
        <v>4063</v>
      </c>
      <c r="I355" s="4" t="s">
        <v>4056</v>
      </c>
      <c r="J355" s="4"/>
      <c r="K355" s="4">
        <f>VLOOKUP(G355,Exchange_Rates!A:B,2,FALSE)</f>
        <v>0.73</v>
      </c>
      <c r="L355" s="4">
        <f t="shared" si="5"/>
        <v>294.01479999999998</v>
      </c>
    </row>
    <row r="356" spans="1:12" x14ac:dyDescent="0.25">
      <c r="A356" s="4" t="s">
        <v>4531</v>
      </c>
      <c r="B356" s="4" t="s">
        <v>4267</v>
      </c>
      <c r="C356" s="6">
        <v>45042</v>
      </c>
      <c r="D356" s="4" t="s">
        <v>4096</v>
      </c>
      <c r="E356" s="4" t="s">
        <v>4054</v>
      </c>
      <c r="F356" s="4">
        <v>295.49</v>
      </c>
      <c r="G356" s="4" t="s">
        <v>64</v>
      </c>
      <c r="H356" s="4" t="s">
        <v>4097</v>
      </c>
      <c r="I356" s="4" t="s">
        <v>4087</v>
      </c>
      <c r="J356" s="4"/>
      <c r="K356" s="4">
        <f>VLOOKUP(G356,Exchange_Rates!A:B,2,FALSE)</f>
        <v>0.73</v>
      </c>
      <c r="L356" s="4">
        <f t="shared" si="5"/>
        <v>215.70769999999999</v>
      </c>
    </row>
    <row r="357" spans="1:12" x14ac:dyDescent="0.25">
      <c r="A357" s="4" t="s">
        <v>4532</v>
      </c>
      <c r="B357" s="4" t="s">
        <v>4169</v>
      </c>
      <c r="C357" s="6">
        <v>45742</v>
      </c>
      <c r="D357" s="4" t="s">
        <v>4053</v>
      </c>
      <c r="E357" s="4" t="s">
        <v>4054</v>
      </c>
      <c r="F357" s="4">
        <v>105.85</v>
      </c>
      <c r="G357" s="4" t="s">
        <v>45</v>
      </c>
      <c r="H357" s="4" t="s">
        <v>4097</v>
      </c>
      <c r="I357" s="4" t="s">
        <v>4056</v>
      </c>
      <c r="J357" s="4"/>
      <c r="K357" s="4">
        <f>VLOOKUP(G357,Exchange_Rates!A:B,2,FALSE)</f>
        <v>1</v>
      </c>
      <c r="L357" s="4">
        <f t="shared" si="5"/>
        <v>105.85</v>
      </c>
    </row>
    <row r="358" spans="1:12" x14ac:dyDescent="0.25">
      <c r="A358" s="4" t="s">
        <v>4533</v>
      </c>
      <c r="B358" s="4" t="s">
        <v>4193</v>
      </c>
      <c r="C358" s="6">
        <v>45132</v>
      </c>
      <c r="D358" s="4" t="s">
        <v>4069</v>
      </c>
      <c r="E358" s="4" t="s">
        <v>4054</v>
      </c>
      <c r="F358" s="4">
        <v>279.12</v>
      </c>
      <c r="G358" s="4" t="s">
        <v>36</v>
      </c>
      <c r="H358" s="4" t="s">
        <v>4055</v>
      </c>
      <c r="I358" s="4" t="s">
        <v>4087</v>
      </c>
      <c r="J358" s="6">
        <v>45147</v>
      </c>
      <c r="K358" s="4">
        <f>VLOOKUP(G358,Exchange_Rates!A:B,2,FALSE)</f>
        <v>1.08</v>
      </c>
      <c r="L358" s="4">
        <f t="shared" si="5"/>
        <v>301.44960000000003</v>
      </c>
    </row>
    <row r="359" spans="1:12" x14ac:dyDescent="0.25">
      <c r="A359" s="4" t="s">
        <v>4534</v>
      </c>
      <c r="B359" s="4" t="s">
        <v>4162</v>
      </c>
      <c r="C359" s="6">
        <v>45386</v>
      </c>
      <c r="D359" s="4" t="s">
        <v>4066</v>
      </c>
      <c r="E359" s="4" t="s">
        <v>4054</v>
      </c>
      <c r="F359" s="4">
        <v>601.74</v>
      </c>
      <c r="G359" s="4" t="s">
        <v>64</v>
      </c>
      <c r="H359" s="4" t="s">
        <v>4059</v>
      </c>
      <c r="I359" s="4" t="s">
        <v>4087</v>
      </c>
      <c r="J359" s="4"/>
      <c r="K359" s="4">
        <f>VLOOKUP(G359,Exchange_Rates!A:B,2,FALSE)</f>
        <v>0.73</v>
      </c>
      <c r="L359" s="4">
        <f t="shared" si="5"/>
        <v>439.27019999999999</v>
      </c>
    </row>
    <row r="360" spans="1:12" x14ac:dyDescent="0.25">
      <c r="A360" s="4" t="s">
        <v>4535</v>
      </c>
      <c r="B360" s="4" t="s">
        <v>4091</v>
      </c>
      <c r="C360" s="6">
        <v>45196</v>
      </c>
      <c r="D360" s="4" t="s">
        <v>4062</v>
      </c>
      <c r="E360" s="4" t="s">
        <v>4054</v>
      </c>
      <c r="F360" s="4">
        <v>67.790000000000006</v>
      </c>
      <c r="G360" s="4" t="s">
        <v>42</v>
      </c>
      <c r="H360" s="4" t="s">
        <v>4059</v>
      </c>
      <c r="I360" s="4" t="s">
        <v>4070</v>
      </c>
      <c r="J360" s="4"/>
      <c r="K360" s="4">
        <f>VLOOKUP(G360,Exchange_Rates!A:B,2,FALSE)</f>
        <v>0.66</v>
      </c>
      <c r="L360" s="4">
        <f t="shared" si="5"/>
        <v>44.741400000000006</v>
      </c>
    </row>
    <row r="361" spans="1:12" x14ac:dyDescent="0.25">
      <c r="A361" s="4" t="s">
        <v>4536</v>
      </c>
      <c r="B361" s="4" t="s">
        <v>4525</v>
      </c>
      <c r="C361" s="6">
        <v>45835</v>
      </c>
      <c r="D361" s="4" t="s">
        <v>4066</v>
      </c>
      <c r="E361" s="4" t="s">
        <v>4054</v>
      </c>
      <c r="F361" s="4">
        <v>452.55</v>
      </c>
      <c r="G361" s="4" t="s">
        <v>64</v>
      </c>
      <c r="H361" s="4" t="s">
        <v>4097</v>
      </c>
      <c r="I361" s="4" t="s">
        <v>4056</v>
      </c>
      <c r="J361" s="4"/>
      <c r="K361" s="4">
        <f>VLOOKUP(G361,Exchange_Rates!A:B,2,FALSE)</f>
        <v>0.73</v>
      </c>
      <c r="L361" s="4">
        <f t="shared" si="5"/>
        <v>330.36149999999998</v>
      </c>
    </row>
    <row r="362" spans="1:12" x14ac:dyDescent="0.25">
      <c r="A362" s="4" t="s">
        <v>4537</v>
      </c>
      <c r="B362" s="4" t="s">
        <v>4162</v>
      </c>
      <c r="C362" s="6">
        <v>45081</v>
      </c>
      <c r="D362" s="4" t="s">
        <v>4066</v>
      </c>
      <c r="E362" s="4" t="s">
        <v>4054</v>
      </c>
      <c r="F362" s="4">
        <v>328.78</v>
      </c>
      <c r="G362" s="4" t="s">
        <v>42</v>
      </c>
      <c r="H362" s="4" t="s">
        <v>4055</v>
      </c>
      <c r="I362" s="4" t="s">
        <v>4056</v>
      </c>
      <c r="J362" s="6">
        <v>45096</v>
      </c>
      <c r="K362" s="4">
        <f>VLOOKUP(G362,Exchange_Rates!A:B,2,FALSE)</f>
        <v>0.66</v>
      </c>
      <c r="L362" s="4">
        <f t="shared" si="5"/>
        <v>216.9948</v>
      </c>
    </row>
    <row r="363" spans="1:12" x14ac:dyDescent="0.25">
      <c r="A363" s="4" t="s">
        <v>4538</v>
      </c>
      <c r="B363" s="4" t="s">
        <v>4068</v>
      </c>
      <c r="C363" s="6">
        <v>45584</v>
      </c>
      <c r="D363" s="4" t="s">
        <v>4062</v>
      </c>
      <c r="E363" s="4" t="s">
        <v>4054</v>
      </c>
      <c r="F363" s="4">
        <v>139.41</v>
      </c>
      <c r="G363" s="4" t="s">
        <v>64</v>
      </c>
      <c r="H363" s="4" t="s">
        <v>4063</v>
      </c>
      <c r="I363" s="4" t="s">
        <v>4070</v>
      </c>
      <c r="J363" s="4"/>
      <c r="K363" s="4">
        <f>VLOOKUP(G363,Exchange_Rates!A:B,2,FALSE)</f>
        <v>0.73</v>
      </c>
      <c r="L363" s="4">
        <f t="shared" si="5"/>
        <v>101.7693</v>
      </c>
    </row>
    <row r="364" spans="1:12" x14ac:dyDescent="0.25">
      <c r="A364" s="4" t="s">
        <v>4539</v>
      </c>
      <c r="B364" s="4" t="s">
        <v>4421</v>
      </c>
      <c r="C364" s="6">
        <v>44988</v>
      </c>
      <c r="D364" s="4" t="s">
        <v>4066</v>
      </c>
      <c r="E364" s="4" t="s">
        <v>4054</v>
      </c>
      <c r="F364" s="4">
        <v>330.9</v>
      </c>
      <c r="G364" s="4" t="s">
        <v>45</v>
      </c>
      <c r="H364" s="4" t="s">
        <v>4059</v>
      </c>
      <c r="I364" s="4" t="s">
        <v>4070</v>
      </c>
      <c r="J364" s="4"/>
      <c r="K364" s="4">
        <f>VLOOKUP(G364,Exchange_Rates!A:B,2,FALSE)</f>
        <v>1</v>
      </c>
      <c r="L364" s="4">
        <f t="shared" si="5"/>
        <v>330.9</v>
      </c>
    </row>
    <row r="365" spans="1:12" x14ac:dyDescent="0.25">
      <c r="A365" s="4" t="s">
        <v>4540</v>
      </c>
      <c r="B365" s="4" t="s">
        <v>4528</v>
      </c>
      <c r="C365" s="6">
        <v>45050</v>
      </c>
      <c r="D365" s="4" t="s">
        <v>4069</v>
      </c>
      <c r="E365" s="4" t="s">
        <v>4054</v>
      </c>
      <c r="F365" s="4">
        <v>545.84</v>
      </c>
      <c r="G365" s="4" t="s">
        <v>45</v>
      </c>
      <c r="H365" s="4" t="s">
        <v>4059</v>
      </c>
      <c r="I365" s="4" t="s">
        <v>4070</v>
      </c>
      <c r="J365" s="4"/>
      <c r="K365" s="4">
        <f>VLOOKUP(G365,Exchange_Rates!A:B,2,FALSE)</f>
        <v>1</v>
      </c>
      <c r="L365" s="4">
        <f t="shared" si="5"/>
        <v>545.84</v>
      </c>
    </row>
    <row r="366" spans="1:12" x14ac:dyDescent="0.25">
      <c r="A366" s="4" t="s">
        <v>4541</v>
      </c>
      <c r="B366" s="4" t="s">
        <v>4082</v>
      </c>
      <c r="C366" s="6">
        <v>45071</v>
      </c>
      <c r="D366" s="4" t="s">
        <v>4053</v>
      </c>
      <c r="E366" s="4" t="s">
        <v>4054</v>
      </c>
      <c r="F366" s="4">
        <v>744.83</v>
      </c>
      <c r="G366" s="4" t="s">
        <v>42</v>
      </c>
      <c r="H366" s="4" t="s">
        <v>4097</v>
      </c>
      <c r="I366" s="4" t="s">
        <v>4056</v>
      </c>
      <c r="J366" s="4"/>
      <c r="K366" s="4">
        <f>VLOOKUP(G366,Exchange_Rates!A:B,2,FALSE)</f>
        <v>0.66</v>
      </c>
      <c r="L366" s="4">
        <f t="shared" si="5"/>
        <v>491.58780000000007</v>
      </c>
    </row>
    <row r="367" spans="1:12" x14ac:dyDescent="0.25">
      <c r="A367" s="4" t="s">
        <v>4542</v>
      </c>
      <c r="B367" s="4" t="s">
        <v>4078</v>
      </c>
      <c r="C367" s="6">
        <v>45392</v>
      </c>
      <c r="D367" s="4" t="s">
        <v>4062</v>
      </c>
      <c r="E367" s="4" t="s">
        <v>4054</v>
      </c>
      <c r="F367" s="4">
        <v>261.86</v>
      </c>
      <c r="G367" s="4" t="s">
        <v>64</v>
      </c>
      <c r="H367" s="4" t="s">
        <v>4097</v>
      </c>
      <c r="I367" s="4" t="s">
        <v>4070</v>
      </c>
      <c r="J367" s="4"/>
      <c r="K367" s="4">
        <f>VLOOKUP(G367,Exchange_Rates!A:B,2,FALSE)</f>
        <v>0.73</v>
      </c>
      <c r="L367" s="4">
        <f t="shared" si="5"/>
        <v>191.15780000000001</v>
      </c>
    </row>
    <row r="368" spans="1:12" x14ac:dyDescent="0.25">
      <c r="A368" s="4" t="s">
        <v>4543</v>
      </c>
      <c r="B368" s="4" t="s">
        <v>4280</v>
      </c>
      <c r="C368" s="6">
        <v>45758</v>
      </c>
      <c r="D368" s="4" t="s">
        <v>4096</v>
      </c>
      <c r="E368" s="4" t="s">
        <v>4054</v>
      </c>
      <c r="F368" s="4">
        <v>331.98</v>
      </c>
      <c r="G368" s="4" t="s">
        <v>36</v>
      </c>
      <c r="H368" s="4" t="s">
        <v>4063</v>
      </c>
      <c r="I368" s="4" t="s">
        <v>4056</v>
      </c>
      <c r="J368" s="4"/>
      <c r="K368" s="4">
        <f>VLOOKUP(G368,Exchange_Rates!A:B,2,FALSE)</f>
        <v>1.08</v>
      </c>
      <c r="L368" s="4">
        <f t="shared" si="5"/>
        <v>358.53840000000002</v>
      </c>
    </row>
    <row r="369" spans="1:12" x14ac:dyDescent="0.25">
      <c r="A369" s="4" t="s">
        <v>4544</v>
      </c>
      <c r="B369" s="4" t="s">
        <v>4140</v>
      </c>
      <c r="C369" s="6">
        <v>45122</v>
      </c>
      <c r="D369" s="4" t="s">
        <v>4066</v>
      </c>
      <c r="E369" s="4" t="s">
        <v>4054</v>
      </c>
      <c r="F369" s="4">
        <v>197.3</v>
      </c>
      <c r="G369" s="4" t="s">
        <v>36</v>
      </c>
      <c r="H369" s="4" t="s">
        <v>4059</v>
      </c>
      <c r="I369" s="4" t="s">
        <v>4087</v>
      </c>
      <c r="J369" s="4"/>
      <c r="K369" s="4">
        <f>VLOOKUP(G369,Exchange_Rates!A:B,2,FALSE)</f>
        <v>1.08</v>
      </c>
      <c r="L369" s="4">
        <f t="shared" si="5"/>
        <v>213.08400000000003</v>
      </c>
    </row>
    <row r="370" spans="1:12" x14ac:dyDescent="0.25">
      <c r="A370" s="4" t="s">
        <v>4545</v>
      </c>
      <c r="B370" s="4" t="s">
        <v>4197</v>
      </c>
      <c r="C370" s="6">
        <v>45485</v>
      </c>
      <c r="D370" s="4" t="s">
        <v>4053</v>
      </c>
      <c r="E370" s="4" t="s">
        <v>4054</v>
      </c>
      <c r="F370" s="4">
        <v>640.02</v>
      </c>
      <c r="G370" s="4" t="s">
        <v>64</v>
      </c>
      <c r="H370" s="4" t="s">
        <v>4059</v>
      </c>
      <c r="I370" s="4" t="s">
        <v>4056</v>
      </c>
      <c r="J370" s="4"/>
      <c r="K370" s="4">
        <f>VLOOKUP(G370,Exchange_Rates!A:B,2,FALSE)</f>
        <v>0.73</v>
      </c>
      <c r="L370" s="4">
        <f t="shared" si="5"/>
        <v>467.21459999999996</v>
      </c>
    </row>
    <row r="371" spans="1:12" x14ac:dyDescent="0.25">
      <c r="A371" s="4" t="s">
        <v>4546</v>
      </c>
      <c r="B371" s="4" t="s">
        <v>4547</v>
      </c>
      <c r="C371" s="6">
        <v>45277</v>
      </c>
      <c r="D371" s="4" t="s">
        <v>4066</v>
      </c>
      <c r="E371" s="4" t="s">
        <v>4054</v>
      </c>
      <c r="F371" s="4">
        <v>349.78</v>
      </c>
      <c r="G371" s="4" t="s">
        <v>36</v>
      </c>
      <c r="H371" s="4" t="s">
        <v>4063</v>
      </c>
      <c r="I371" s="4" t="s">
        <v>4070</v>
      </c>
      <c r="J371" s="4"/>
      <c r="K371" s="4">
        <f>VLOOKUP(G371,Exchange_Rates!A:B,2,FALSE)</f>
        <v>1.08</v>
      </c>
      <c r="L371" s="4">
        <f t="shared" si="5"/>
        <v>377.76240000000001</v>
      </c>
    </row>
    <row r="372" spans="1:12" x14ac:dyDescent="0.25">
      <c r="A372" s="4" t="s">
        <v>4548</v>
      </c>
      <c r="B372" s="4" t="s">
        <v>4178</v>
      </c>
      <c r="C372" s="6">
        <v>45804</v>
      </c>
      <c r="D372" s="4" t="s">
        <v>4069</v>
      </c>
      <c r="E372" s="4" t="s">
        <v>4054</v>
      </c>
      <c r="F372" s="4">
        <v>683.58</v>
      </c>
      <c r="G372" s="4" t="s">
        <v>42</v>
      </c>
      <c r="H372" s="4" t="s">
        <v>4063</v>
      </c>
      <c r="I372" s="4" t="s">
        <v>4070</v>
      </c>
      <c r="J372" s="4"/>
      <c r="K372" s="4">
        <f>VLOOKUP(G372,Exchange_Rates!A:B,2,FALSE)</f>
        <v>0.66</v>
      </c>
      <c r="L372" s="4">
        <f t="shared" si="5"/>
        <v>451.16280000000006</v>
      </c>
    </row>
    <row r="373" spans="1:12" x14ac:dyDescent="0.25">
      <c r="A373" s="4" t="s">
        <v>4549</v>
      </c>
      <c r="B373" s="4" t="s">
        <v>4525</v>
      </c>
      <c r="C373" s="6">
        <v>45462</v>
      </c>
      <c r="D373" s="4" t="s">
        <v>4069</v>
      </c>
      <c r="E373" s="4" t="s">
        <v>4054</v>
      </c>
      <c r="F373" s="4">
        <v>128.26</v>
      </c>
      <c r="G373" s="4" t="s">
        <v>64</v>
      </c>
      <c r="H373" s="4" t="s">
        <v>4063</v>
      </c>
      <c r="I373" s="4" t="s">
        <v>4070</v>
      </c>
      <c r="J373" s="4"/>
      <c r="K373" s="4">
        <f>VLOOKUP(G373,Exchange_Rates!A:B,2,FALSE)</f>
        <v>0.73</v>
      </c>
      <c r="L373" s="4">
        <f t="shared" si="5"/>
        <v>93.629799999999989</v>
      </c>
    </row>
    <row r="374" spans="1:12" x14ac:dyDescent="0.25">
      <c r="A374" s="4" t="s">
        <v>4550</v>
      </c>
      <c r="B374" s="4" t="s">
        <v>4132</v>
      </c>
      <c r="C374" s="6">
        <v>44995</v>
      </c>
      <c r="D374" s="4" t="s">
        <v>4062</v>
      </c>
      <c r="E374" s="4" t="s">
        <v>4054</v>
      </c>
      <c r="F374" s="4">
        <v>405.35</v>
      </c>
      <c r="G374" s="4" t="s">
        <v>28</v>
      </c>
      <c r="H374" s="4" t="s">
        <v>4055</v>
      </c>
      <c r="I374" s="4" t="s">
        <v>4056</v>
      </c>
      <c r="J374" s="6">
        <v>45010</v>
      </c>
      <c r="K374" s="4">
        <f>VLOOKUP(G374,Exchange_Rates!A:B,2,FALSE)</f>
        <v>1.27</v>
      </c>
      <c r="L374" s="4">
        <f t="shared" si="5"/>
        <v>514.79450000000008</v>
      </c>
    </row>
    <row r="375" spans="1:12" x14ac:dyDescent="0.25">
      <c r="A375" s="4" t="s">
        <v>4551</v>
      </c>
      <c r="B375" s="4" t="s">
        <v>4112</v>
      </c>
      <c r="C375" s="6">
        <v>45538</v>
      </c>
      <c r="D375" s="4" t="s">
        <v>4062</v>
      </c>
      <c r="E375" s="4" t="s">
        <v>4054</v>
      </c>
      <c r="F375" s="4">
        <v>557.52</v>
      </c>
      <c r="G375" s="4" t="s">
        <v>28</v>
      </c>
      <c r="H375" s="4" t="s">
        <v>4097</v>
      </c>
      <c r="I375" s="4" t="s">
        <v>4056</v>
      </c>
      <c r="J375" s="4"/>
      <c r="K375" s="4">
        <f>VLOOKUP(G375,Exchange_Rates!A:B,2,FALSE)</f>
        <v>1.27</v>
      </c>
      <c r="L375" s="4">
        <f t="shared" si="5"/>
        <v>708.05039999999997</v>
      </c>
    </row>
    <row r="376" spans="1:12" x14ac:dyDescent="0.25">
      <c r="A376" s="4" t="s">
        <v>4552</v>
      </c>
      <c r="B376" s="4" t="s">
        <v>4204</v>
      </c>
      <c r="C376" s="6">
        <v>44934</v>
      </c>
      <c r="D376" s="4" t="s">
        <v>4053</v>
      </c>
      <c r="E376" s="4" t="s">
        <v>4054</v>
      </c>
      <c r="F376" s="4">
        <v>404.27</v>
      </c>
      <c r="G376" s="4" t="s">
        <v>42</v>
      </c>
      <c r="H376" s="4" t="s">
        <v>4059</v>
      </c>
      <c r="I376" s="4" t="s">
        <v>4087</v>
      </c>
      <c r="J376" s="4"/>
      <c r="K376" s="4">
        <f>VLOOKUP(G376,Exchange_Rates!A:B,2,FALSE)</f>
        <v>0.66</v>
      </c>
      <c r="L376" s="4">
        <f t="shared" si="5"/>
        <v>266.81819999999999</v>
      </c>
    </row>
    <row r="377" spans="1:12" x14ac:dyDescent="0.25">
      <c r="A377" s="4" t="s">
        <v>4553</v>
      </c>
      <c r="B377" s="4" t="s">
        <v>4089</v>
      </c>
      <c r="C377" s="6">
        <v>45262</v>
      </c>
      <c r="D377" s="4" t="s">
        <v>4062</v>
      </c>
      <c r="E377" s="4" t="s">
        <v>4054</v>
      </c>
      <c r="F377" s="4">
        <v>637.79999999999995</v>
      </c>
      <c r="G377" s="4" t="s">
        <v>28</v>
      </c>
      <c r="H377" s="4" t="s">
        <v>4055</v>
      </c>
      <c r="I377" s="4" t="s">
        <v>4070</v>
      </c>
      <c r="J377" s="6">
        <v>45277</v>
      </c>
      <c r="K377" s="4">
        <f>VLOOKUP(G377,Exchange_Rates!A:B,2,FALSE)</f>
        <v>1.27</v>
      </c>
      <c r="L377" s="4">
        <f t="shared" si="5"/>
        <v>810.00599999999997</v>
      </c>
    </row>
    <row r="378" spans="1:12" x14ac:dyDescent="0.25">
      <c r="A378" s="4" t="s">
        <v>4554</v>
      </c>
      <c r="B378" s="4" t="s">
        <v>4405</v>
      </c>
      <c r="C378" s="6">
        <v>44927</v>
      </c>
      <c r="D378" s="4" t="s">
        <v>4053</v>
      </c>
      <c r="E378" s="4" t="s">
        <v>4054</v>
      </c>
      <c r="F378" s="4">
        <v>573.75</v>
      </c>
      <c r="G378" s="4" t="s">
        <v>45</v>
      </c>
      <c r="H378" s="4" t="s">
        <v>4059</v>
      </c>
      <c r="I378" s="4" t="s">
        <v>4056</v>
      </c>
      <c r="J378" s="4"/>
      <c r="K378" s="4">
        <f>VLOOKUP(G378,Exchange_Rates!A:B,2,FALSE)</f>
        <v>1</v>
      </c>
      <c r="L378" s="4">
        <f t="shared" si="5"/>
        <v>573.75</v>
      </c>
    </row>
    <row r="379" spans="1:12" x14ac:dyDescent="0.25">
      <c r="A379" s="4" t="s">
        <v>4555</v>
      </c>
      <c r="B379" s="4" t="s">
        <v>4061</v>
      </c>
      <c r="C379" s="6">
        <v>44938</v>
      </c>
      <c r="D379" s="4" t="s">
        <v>4066</v>
      </c>
      <c r="E379" s="4" t="s">
        <v>4054</v>
      </c>
      <c r="F379" s="4">
        <v>485.79</v>
      </c>
      <c r="G379" s="4" t="s">
        <v>64</v>
      </c>
      <c r="H379" s="4" t="s">
        <v>4055</v>
      </c>
      <c r="I379" s="4" t="s">
        <v>4087</v>
      </c>
      <c r="J379" s="6">
        <v>44953</v>
      </c>
      <c r="K379" s="4">
        <f>VLOOKUP(G379,Exchange_Rates!A:B,2,FALSE)</f>
        <v>0.73</v>
      </c>
      <c r="L379" s="4">
        <f t="shared" si="5"/>
        <v>354.62670000000003</v>
      </c>
    </row>
    <row r="380" spans="1:12" x14ac:dyDescent="0.25">
      <c r="A380" s="4" t="s">
        <v>4556</v>
      </c>
      <c r="B380" s="4" t="s">
        <v>4448</v>
      </c>
      <c r="C380" s="6">
        <v>45437</v>
      </c>
      <c r="D380" s="4" t="s">
        <v>4062</v>
      </c>
      <c r="E380" s="4" t="s">
        <v>4054</v>
      </c>
      <c r="F380" s="4">
        <v>61.14</v>
      </c>
      <c r="G380" s="4" t="s">
        <v>36</v>
      </c>
      <c r="H380" s="4" t="s">
        <v>4055</v>
      </c>
      <c r="I380" s="4" t="s">
        <v>4056</v>
      </c>
      <c r="J380" s="6">
        <v>45452</v>
      </c>
      <c r="K380" s="4">
        <f>VLOOKUP(G380,Exchange_Rates!A:B,2,FALSE)</f>
        <v>1.08</v>
      </c>
      <c r="L380" s="4">
        <f t="shared" si="5"/>
        <v>66.031199999999998</v>
      </c>
    </row>
    <row r="381" spans="1:12" x14ac:dyDescent="0.25">
      <c r="A381" s="4" t="s">
        <v>4557</v>
      </c>
      <c r="B381" s="4" t="s">
        <v>4558</v>
      </c>
      <c r="C381" s="6">
        <v>45511</v>
      </c>
      <c r="D381" s="4" t="s">
        <v>4062</v>
      </c>
      <c r="E381" s="4" t="s">
        <v>4054</v>
      </c>
      <c r="F381" s="4">
        <v>529.49</v>
      </c>
      <c r="G381" s="4" t="s">
        <v>28</v>
      </c>
      <c r="H381" s="4" t="s">
        <v>4097</v>
      </c>
      <c r="I381" s="4" t="s">
        <v>4056</v>
      </c>
      <c r="J381" s="4"/>
      <c r="K381" s="4">
        <f>VLOOKUP(G381,Exchange_Rates!A:B,2,FALSE)</f>
        <v>1.27</v>
      </c>
      <c r="L381" s="4">
        <f t="shared" si="5"/>
        <v>672.45230000000004</v>
      </c>
    </row>
    <row r="382" spans="1:12" x14ac:dyDescent="0.25">
      <c r="A382" s="4" t="s">
        <v>4559</v>
      </c>
      <c r="B382" s="4" t="s">
        <v>4126</v>
      </c>
      <c r="C382" s="6">
        <v>45257</v>
      </c>
      <c r="D382" s="4" t="s">
        <v>4069</v>
      </c>
      <c r="E382" s="4" t="s">
        <v>4054</v>
      </c>
      <c r="F382" s="4">
        <v>517.46</v>
      </c>
      <c r="G382" s="4" t="s">
        <v>45</v>
      </c>
      <c r="H382" s="4" t="s">
        <v>4063</v>
      </c>
      <c r="I382" s="4" t="s">
        <v>4056</v>
      </c>
      <c r="J382" s="4"/>
      <c r="K382" s="4">
        <f>VLOOKUP(G382,Exchange_Rates!A:B,2,FALSE)</f>
        <v>1</v>
      </c>
      <c r="L382" s="4">
        <f t="shared" si="5"/>
        <v>517.46</v>
      </c>
    </row>
    <row r="383" spans="1:12" x14ac:dyDescent="0.25">
      <c r="A383" s="4" t="s">
        <v>4560</v>
      </c>
      <c r="B383" s="4" t="s">
        <v>4158</v>
      </c>
      <c r="C383" s="6">
        <v>44986</v>
      </c>
      <c r="D383" s="4" t="s">
        <v>4069</v>
      </c>
      <c r="E383" s="4" t="s">
        <v>4054</v>
      </c>
      <c r="F383" s="4">
        <v>250.8</v>
      </c>
      <c r="G383" s="4" t="s">
        <v>45</v>
      </c>
      <c r="H383" s="4" t="s">
        <v>4055</v>
      </c>
      <c r="I383" s="4" t="s">
        <v>4087</v>
      </c>
      <c r="J383" s="6">
        <v>45001</v>
      </c>
      <c r="K383" s="4">
        <f>VLOOKUP(G383,Exchange_Rates!A:B,2,FALSE)</f>
        <v>1</v>
      </c>
      <c r="L383" s="4">
        <f t="shared" si="5"/>
        <v>250.8</v>
      </c>
    </row>
    <row r="384" spans="1:12" x14ac:dyDescent="0.25">
      <c r="A384" s="4" t="s">
        <v>4561</v>
      </c>
      <c r="B384" s="4" t="s">
        <v>4520</v>
      </c>
      <c r="C384" s="6">
        <v>45508</v>
      </c>
      <c r="D384" s="4" t="s">
        <v>4066</v>
      </c>
      <c r="E384" s="4" t="s">
        <v>4054</v>
      </c>
      <c r="F384" s="4">
        <v>157.99</v>
      </c>
      <c r="G384" s="4" t="s">
        <v>45</v>
      </c>
      <c r="H384" s="4" t="s">
        <v>4055</v>
      </c>
      <c r="I384" s="4" t="s">
        <v>4056</v>
      </c>
      <c r="J384" s="6">
        <v>45523</v>
      </c>
      <c r="K384" s="4">
        <f>VLOOKUP(G384,Exchange_Rates!A:B,2,FALSE)</f>
        <v>1</v>
      </c>
      <c r="L384" s="4">
        <f t="shared" si="5"/>
        <v>157.99</v>
      </c>
    </row>
    <row r="385" spans="1:12" x14ac:dyDescent="0.25">
      <c r="A385" s="4" t="s">
        <v>4562</v>
      </c>
      <c r="B385" s="4" t="s">
        <v>4430</v>
      </c>
      <c r="C385" s="6">
        <v>45391</v>
      </c>
      <c r="D385" s="4" t="s">
        <v>4096</v>
      </c>
      <c r="E385" s="4" t="s">
        <v>4054</v>
      </c>
      <c r="F385" s="4">
        <v>27.44</v>
      </c>
      <c r="G385" s="4" t="s">
        <v>45</v>
      </c>
      <c r="H385" s="4" t="s">
        <v>4097</v>
      </c>
      <c r="I385" s="4" t="s">
        <v>4056</v>
      </c>
      <c r="J385" s="4"/>
      <c r="K385" s="4">
        <f>VLOOKUP(G385,Exchange_Rates!A:B,2,FALSE)</f>
        <v>1</v>
      </c>
      <c r="L385" s="4">
        <f t="shared" si="5"/>
        <v>27.44</v>
      </c>
    </row>
    <row r="386" spans="1:12" x14ac:dyDescent="0.25">
      <c r="A386" s="4" t="s">
        <v>4563</v>
      </c>
      <c r="B386" s="4" t="s">
        <v>4365</v>
      </c>
      <c r="C386" s="6">
        <v>45465</v>
      </c>
      <c r="D386" s="4" t="s">
        <v>4062</v>
      </c>
      <c r="E386" s="4" t="s">
        <v>4054</v>
      </c>
      <c r="F386" s="4">
        <v>136.22999999999999</v>
      </c>
      <c r="G386" s="4" t="s">
        <v>42</v>
      </c>
      <c r="H386" s="4" t="s">
        <v>4059</v>
      </c>
      <c r="I386" s="4" t="s">
        <v>4070</v>
      </c>
      <c r="J386" s="4"/>
      <c r="K386" s="4">
        <f>VLOOKUP(G386,Exchange_Rates!A:B,2,FALSE)</f>
        <v>0.66</v>
      </c>
      <c r="L386" s="4">
        <f t="shared" si="5"/>
        <v>89.911799999999999</v>
      </c>
    </row>
    <row r="387" spans="1:12" x14ac:dyDescent="0.25">
      <c r="A387" s="4" t="s">
        <v>4564</v>
      </c>
      <c r="B387" s="4" t="s">
        <v>4132</v>
      </c>
      <c r="C387" s="6">
        <v>45039</v>
      </c>
      <c r="D387" s="4" t="s">
        <v>4069</v>
      </c>
      <c r="E387" s="4" t="s">
        <v>4054</v>
      </c>
      <c r="F387" s="4">
        <v>239</v>
      </c>
      <c r="G387" s="4" t="s">
        <v>28</v>
      </c>
      <c r="H387" s="4" t="s">
        <v>4063</v>
      </c>
      <c r="I387" s="4" t="s">
        <v>4070</v>
      </c>
      <c r="J387" s="4"/>
      <c r="K387" s="4">
        <f>VLOOKUP(G387,Exchange_Rates!A:B,2,FALSE)</f>
        <v>1.27</v>
      </c>
      <c r="L387" s="4">
        <f t="shared" ref="L387:L450" si="6">F387*K387</f>
        <v>303.53000000000003</v>
      </c>
    </row>
    <row r="388" spans="1:12" x14ac:dyDescent="0.25">
      <c r="A388" s="4" t="s">
        <v>4565</v>
      </c>
      <c r="B388" s="4" t="s">
        <v>4156</v>
      </c>
      <c r="C388" s="6">
        <v>45122</v>
      </c>
      <c r="D388" s="4" t="s">
        <v>4069</v>
      </c>
      <c r="E388" s="4" t="s">
        <v>4054</v>
      </c>
      <c r="F388" s="4">
        <v>211.28</v>
      </c>
      <c r="G388" s="4" t="s">
        <v>42</v>
      </c>
      <c r="H388" s="4" t="s">
        <v>4097</v>
      </c>
      <c r="I388" s="4" t="s">
        <v>4087</v>
      </c>
      <c r="J388" s="4"/>
      <c r="K388" s="4">
        <f>VLOOKUP(G388,Exchange_Rates!A:B,2,FALSE)</f>
        <v>0.66</v>
      </c>
      <c r="L388" s="4">
        <f t="shared" si="6"/>
        <v>139.44480000000001</v>
      </c>
    </row>
    <row r="389" spans="1:12" x14ac:dyDescent="0.25">
      <c r="A389" s="4" t="s">
        <v>4566</v>
      </c>
      <c r="B389" s="4" t="s">
        <v>4547</v>
      </c>
      <c r="C389" s="6">
        <v>45085</v>
      </c>
      <c r="D389" s="4" t="s">
        <v>4053</v>
      </c>
      <c r="E389" s="4" t="s">
        <v>4054</v>
      </c>
      <c r="F389" s="4">
        <v>765.7</v>
      </c>
      <c r="G389" s="4" t="s">
        <v>45</v>
      </c>
      <c r="H389" s="4" t="s">
        <v>4059</v>
      </c>
      <c r="I389" s="4" t="s">
        <v>4056</v>
      </c>
      <c r="J389" s="4"/>
      <c r="K389" s="4">
        <f>VLOOKUP(G389,Exchange_Rates!A:B,2,FALSE)</f>
        <v>1</v>
      </c>
      <c r="L389" s="4">
        <f t="shared" si="6"/>
        <v>765.7</v>
      </c>
    </row>
    <row r="390" spans="1:12" x14ac:dyDescent="0.25">
      <c r="A390" s="4" t="s">
        <v>4567</v>
      </c>
      <c r="B390" s="4" t="s">
        <v>4302</v>
      </c>
      <c r="C390" s="6">
        <v>45640</v>
      </c>
      <c r="D390" s="4" t="s">
        <v>4096</v>
      </c>
      <c r="E390" s="4" t="s">
        <v>4054</v>
      </c>
      <c r="F390" s="4">
        <v>113.92</v>
      </c>
      <c r="G390" s="4" t="s">
        <v>42</v>
      </c>
      <c r="H390" s="4" t="s">
        <v>4063</v>
      </c>
      <c r="I390" s="4" t="s">
        <v>4087</v>
      </c>
      <c r="J390" s="4"/>
      <c r="K390" s="4">
        <f>VLOOKUP(G390,Exchange_Rates!A:B,2,FALSE)</f>
        <v>0.66</v>
      </c>
      <c r="L390" s="4">
        <f t="shared" si="6"/>
        <v>75.187200000000004</v>
      </c>
    </row>
    <row r="391" spans="1:12" x14ac:dyDescent="0.25">
      <c r="A391" s="4" t="s">
        <v>4568</v>
      </c>
      <c r="B391" s="4" t="s">
        <v>4569</v>
      </c>
      <c r="C391" s="6">
        <v>45003</v>
      </c>
      <c r="D391" s="4" t="s">
        <v>4066</v>
      </c>
      <c r="E391" s="4" t="s">
        <v>4054</v>
      </c>
      <c r="F391" s="4">
        <v>651.41999999999996</v>
      </c>
      <c r="G391" s="4" t="s">
        <v>36</v>
      </c>
      <c r="H391" s="4" t="s">
        <v>4059</v>
      </c>
      <c r="I391" s="4" t="s">
        <v>4070</v>
      </c>
      <c r="J391" s="4"/>
      <c r="K391" s="4">
        <f>VLOOKUP(G391,Exchange_Rates!A:B,2,FALSE)</f>
        <v>1.08</v>
      </c>
      <c r="L391" s="4">
        <f t="shared" si="6"/>
        <v>703.53359999999998</v>
      </c>
    </row>
    <row r="392" spans="1:12" x14ac:dyDescent="0.25">
      <c r="A392" s="4" t="s">
        <v>4570</v>
      </c>
      <c r="B392" s="4" t="s">
        <v>4072</v>
      </c>
      <c r="C392" s="6">
        <v>45728</v>
      </c>
      <c r="D392" s="4" t="s">
        <v>4069</v>
      </c>
      <c r="E392" s="4" t="s">
        <v>4054</v>
      </c>
      <c r="F392" s="4">
        <v>98.47</v>
      </c>
      <c r="G392" s="4" t="s">
        <v>42</v>
      </c>
      <c r="H392" s="4" t="s">
        <v>4063</v>
      </c>
      <c r="I392" s="4" t="s">
        <v>4056</v>
      </c>
      <c r="J392" s="4"/>
      <c r="K392" s="4">
        <f>VLOOKUP(G392,Exchange_Rates!A:B,2,FALSE)</f>
        <v>0.66</v>
      </c>
      <c r="L392" s="4">
        <f t="shared" si="6"/>
        <v>64.990200000000002</v>
      </c>
    </row>
    <row r="393" spans="1:12" x14ac:dyDescent="0.25">
      <c r="A393" s="4" t="s">
        <v>4571</v>
      </c>
      <c r="B393" s="4" t="s">
        <v>4095</v>
      </c>
      <c r="C393" s="6">
        <v>45741</v>
      </c>
      <c r="D393" s="4" t="s">
        <v>4096</v>
      </c>
      <c r="E393" s="4" t="s">
        <v>4054</v>
      </c>
      <c r="F393" s="4">
        <v>370.84</v>
      </c>
      <c r="G393" s="4" t="s">
        <v>28</v>
      </c>
      <c r="H393" s="4" t="s">
        <v>4059</v>
      </c>
      <c r="I393" s="4" t="s">
        <v>4087</v>
      </c>
      <c r="J393" s="4"/>
      <c r="K393" s="4">
        <f>VLOOKUP(G393,Exchange_Rates!A:B,2,FALSE)</f>
        <v>1.27</v>
      </c>
      <c r="L393" s="4">
        <f t="shared" si="6"/>
        <v>470.96679999999998</v>
      </c>
    </row>
    <row r="394" spans="1:12" x14ac:dyDescent="0.25">
      <c r="A394" s="4" t="s">
        <v>4572</v>
      </c>
      <c r="B394" s="4" t="s">
        <v>4126</v>
      </c>
      <c r="C394" s="6">
        <v>44939</v>
      </c>
      <c r="D394" s="4" t="s">
        <v>4066</v>
      </c>
      <c r="E394" s="4" t="s">
        <v>4054</v>
      </c>
      <c r="F394" s="4">
        <v>144.97999999999999</v>
      </c>
      <c r="G394" s="4" t="s">
        <v>45</v>
      </c>
      <c r="H394" s="4" t="s">
        <v>4055</v>
      </c>
      <c r="I394" s="4" t="s">
        <v>4070</v>
      </c>
      <c r="J394" s="6">
        <v>44954</v>
      </c>
      <c r="K394" s="4">
        <f>VLOOKUP(G394,Exchange_Rates!A:B,2,FALSE)</f>
        <v>1</v>
      </c>
      <c r="L394" s="4">
        <f t="shared" si="6"/>
        <v>144.97999999999999</v>
      </c>
    </row>
    <row r="395" spans="1:12" x14ac:dyDescent="0.25">
      <c r="A395" s="4" t="s">
        <v>4573</v>
      </c>
      <c r="B395" s="4" t="s">
        <v>4350</v>
      </c>
      <c r="C395" s="6">
        <v>45665</v>
      </c>
      <c r="D395" s="4" t="s">
        <v>4096</v>
      </c>
      <c r="E395" s="4" t="s">
        <v>4054</v>
      </c>
      <c r="F395" s="4">
        <v>46.17</v>
      </c>
      <c r="G395" s="4" t="s">
        <v>28</v>
      </c>
      <c r="H395" s="4" t="s">
        <v>4055</v>
      </c>
      <c r="I395" s="4" t="s">
        <v>4070</v>
      </c>
      <c r="J395" s="6">
        <v>45680</v>
      </c>
      <c r="K395" s="4">
        <f>VLOOKUP(G395,Exchange_Rates!A:B,2,FALSE)</f>
        <v>1.27</v>
      </c>
      <c r="L395" s="4">
        <f t="shared" si="6"/>
        <v>58.635899999999999</v>
      </c>
    </row>
    <row r="396" spans="1:12" x14ac:dyDescent="0.25">
      <c r="A396" s="4" t="s">
        <v>4574</v>
      </c>
      <c r="B396" s="4" t="s">
        <v>4251</v>
      </c>
      <c r="C396" s="6">
        <v>45831</v>
      </c>
      <c r="D396" s="4" t="s">
        <v>4062</v>
      </c>
      <c r="E396" s="4" t="s">
        <v>4054</v>
      </c>
      <c r="F396" s="4">
        <v>640.32000000000005</v>
      </c>
      <c r="G396" s="4" t="s">
        <v>28</v>
      </c>
      <c r="H396" s="4" t="s">
        <v>4097</v>
      </c>
      <c r="I396" s="4" t="s">
        <v>4056</v>
      </c>
      <c r="J396" s="4"/>
      <c r="K396" s="4">
        <f>VLOOKUP(G396,Exchange_Rates!A:B,2,FALSE)</f>
        <v>1.27</v>
      </c>
      <c r="L396" s="4">
        <f t="shared" si="6"/>
        <v>813.20640000000003</v>
      </c>
    </row>
    <row r="397" spans="1:12" x14ac:dyDescent="0.25">
      <c r="A397" s="4" t="s">
        <v>4575</v>
      </c>
      <c r="B397" s="4" t="s">
        <v>4187</v>
      </c>
      <c r="C397" s="6">
        <v>45374</v>
      </c>
      <c r="D397" s="4" t="s">
        <v>4069</v>
      </c>
      <c r="E397" s="4" t="s">
        <v>4054</v>
      </c>
      <c r="F397" s="4">
        <v>118.48</v>
      </c>
      <c r="G397" s="4" t="s">
        <v>36</v>
      </c>
      <c r="H397" s="4" t="s">
        <v>4097</v>
      </c>
      <c r="I397" s="4" t="s">
        <v>4056</v>
      </c>
      <c r="J397" s="4"/>
      <c r="K397" s="4">
        <f>VLOOKUP(G397,Exchange_Rates!A:B,2,FALSE)</f>
        <v>1.08</v>
      </c>
      <c r="L397" s="4">
        <f t="shared" si="6"/>
        <v>127.95840000000001</v>
      </c>
    </row>
    <row r="398" spans="1:12" x14ac:dyDescent="0.25">
      <c r="A398" s="4" t="s">
        <v>4576</v>
      </c>
      <c r="B398" s="4" t="s">
        <v>4253</v>
      </c>
      <c r="C398" s="6">
        <v>45288</v>
      </c>
      <c r="D398" s="4" t="s">
        <v>4069</v>
      </c>
      <c r="E398" s="4" t="s">
        <v>4054</v>
      </c>
      <c r="F398" s="4">
        <v>297.32</v>
      </c>
      <c r="G398" s="4" t="s">
        <v>45</v>
      </c>
      <c r="H398" s="4" t="s">
        <v>4097</v>
      </c>
      <c r="I398" s="4" t="s">
        <v>4070</v>
      </c>
      <c r="J398" s="4"/>
      <c r="K398" s="4">
        <f>VLOOKUP(G398,Exchange_Rates!A:B,2,FALSE)</f>
        <v>1</v>
      </c>
      <c r="L398" s="4">
        <f t="shared" si="6"/>
        <v>297.32</v>
      </c>
    </row>
    <row r="399" spans="1:12" x14ac:dyDescent="0.25">
      <c r="A399" s="4" t="s">
        <v>4577</v>
      </c>
      <c r="B399" s="4" t="s">
        <v>4405</v>
      </c>
      <c r="C399" s="6">
        <v>45239</v>
      </c>
      <c r="D399" s="4" t="s">
        <v>4062</v>
      </c>
      <c r="E399" s="4" t="s">
        <v>4054</v>
      </c>
      <c r="F399" s="4">
        <v>729.73</v>
      </c>
      <c r="G399" s="4" t="s">
        <v>28</v>
      </c>
      <c r="H399" s="4" t="s">
        <v>4059</v>
      </c>
      <c r="I399" s="4" t="s">
        <v>4070</v>
      </c>
      <c r="J399" s="4"/>
      <c r="K399" s="4">
        <f>VLOOKUP(G399,Exchange_Rates!A:B,2,FALSE)</f>
        <v>1.27</v>
      </c>
      <c r="L399" s="4">
        <f t="shared" si="6"/>
        <v>926.75710000000004</v>
      </c>
    </row>
    <row r="400" spans="1:12" x14ac:dyDescent="0.25">
      <c r="A400" s="4" t="s">
        <v>4578</v>
      </c>
      <c r="B400" s="4" t="s">
        <v>4520</v>
      </c>
      <c r="C400" s="6">
        <v>45833</v>
      </c>
      <c r="D400" s="4" t="s">
        <v>4066</v>
      </c>
      <c r="E400" s="4" t="s">
        <v>4054</v>
      </c>
      <c r="F400" s="4">
        <v>124.58</v>
      </c>
      <c r="G400" s="4" t="s">
        <v>42</v>
      </c>
      <c r="H400" s="4" t="s">
        <v>4097</v>
      </c>
      <c r="I400" s="4" t="s">
        <v>4087</v>
      </c>
      <c r="J400" s="4"/>
      <c r="K400" s="4">
        <f>VLOOKUP(G400,Exchange_Rates!A:B,2,FALSE)</f>
        <v>0.66</v>
      </c>
      <c r="L400" s="4">
        <f t="shared" si="6"/>
        <v>82.222800000000007</v>
      </c>
    </row>
    <row r="401" spans="1:12" x14ac:dyDescent="0.25">
      <c r="A401" s="4" t="s">
        <v>4579</v>
      </c>
      <c r="B401" s="4" t="s">
        <v>4178</v>
      </c>
      <c r="C401" s="6">
        <v>45014</v>
      </c>
      <c r="D401" s="4" t="s">
        <v>4062</v>
      </c>
      <c r="E401" s="4" t="s">
        <v>4054</v>
      </c>
      <c r="F401" s="4">
        <v>373.91</v>
      </c>
      <c r="G401" s="4" t="s">
        <v>36</v>
      </c>
      <c r="H401" s="4" t="s">
        <v>4063</v>
      </c>
      <c r="I401" s="4" t="s">
        <v>4056</v>
      </c>
      <c r="J401" s="4"/>
      <c r="K401" s="4">
        <f>VLOOKUP(G401,Exchange_Rates!A:B,2,FALSE)</f>
        <v>1.08</v>
      </c>
      <c r="L401" s="4">
        <f t="shared" si="6"/>
        <v>403.82280000000003</v>
      </c>
    </row>
    <row r="402" spans="1:12" x14ac:dyDescent="0.25">
      <c r="A402" s="4" t="s">
        <v>4580</v>
      </c>
      <c r="B402" s="4" t="s">
        <v>4253</v>
      </c>
      <c r="C402" s="6">
        <v>45568</v>
      </c>
      <c r="D402" s="4" t="s">
        <v>4066</v>
      </c>
      <c r="E402" s="4" t="s">
        <v>4054</v>
      </c>
      <c r="F402" s="4">
        <v>175.7</v>
      </c>
      <c r="G402" s="4" t="s">
        <v>28</v>
      </c>
      <c r="H402" s="4" t="s">
        <v>4059</v>
      </c>
      <c r="I402" s="4" t="s">
        <v>4070</v>
      </c>
      <c r="J402" s="4"/>
      <c r="K402" s="4">
        <f>VLOOKUP(G402,Exchange_Rates!A:B,2,FALSE)</f>
        <v>1.27</v>
      </c>
      <c r="L402" s="4">
        <f t="shared" si="6"/>
        <v>223.13899999999998</v>
      </c>
    </row>
    <row r="403" spans="1:12" x14ac:dyDescent="0.25">
      <c r="A403" s="4" t="s">
        <v>4581</v>
      </c>
      <c r="B403" s="4" t="s">
        <v>4448</v>
      </c>
      <c r="C403" s="6">
        <v>45788</v>
      </c>
      <c r="D403" s="4" t="s">
        <v>4069</v>
      </c>
      <c r="E403" s="4" t="s">
        <v>4054</v>
      </c>
      <c r="F403" s="4">
        <v>216.02</v>
      </c>
      <c r="G403" s="4" t="s">
        <v>64</v>
      </c>
      <c r="H403" s="4" t="s">
        <v>4063</v>
      </c>
      <c r="I403" s="4" t="s">
        <v>4056</v>
      </c>
      <c r="J403" s="4"/>
      <c r="K403" s="4">
        <f>VLOOKUP(G403,Exchange_Rates!A:B,2,FALSE)</f>
        <v>0.73</v>
      </c>
      <c r="L403" s="4">
        <f t="shared" si="6"/>
        <v>157.69460000000001</v>
      </c>
    </row>
    <row r="404" spans="1:12" x14ac:dyDescent="0.25">
      <c r="A404" s="4" t="s">
        <v>4582</v>
      </c>
      <c r="B404" s="4" t="s">
        <v>4206</v>
      </c>
      <c r="C404" s="6">
        <v>45190</v>
      </c>
      <c r="D404" s="4" t="s">
        <v>4096</v>
      </c>
      <c r="E404" s="4" t="s">
        <v>4054</v>
      </c>
      <c r="F404" s="4">
        <v>156.12</v>
      </c>
      <c r="G404" s="4" t="s">
        <v>64</v>
      </c>
      <c r="H404" s="4" t="s">
        <v>4059</v>
      </c>
      <c r="I404" s="4" t="s">
        <v>4070</v>
      </c>
      <c r="J404" s="4"/>
      <c r="K404" s="4">
        <f>VLOOKUP(G404,Exchange_Rates!A:B,2,FALSE)</f>
        <v>0.73</v>
      </c>
      <c r="L404" s="4">
        <f t="shared" si="6"/>
        <v>113.9676</v>
      </c>
    </row>
    <row r="405" spans="1:12" x14ac:dyDescent="0.25">
      <c r="A405" s="4" t="s">
        <v>4583</v>
      </c>
      <c r="B405" s="4" t="s">
        <v>4525</v>
      </c>
      <c r="C405" s="6">
        <v>45442</v>
      </c>
      <c r="D405" s="4" t="s">
        <v>4062</v>
      </c>
      <c r="E405" s="4" t="s">
        <v>4054</v>
      </c>
      <c r="F405" s="4">
        <v>428.53</v>
      </c>
      <c r="G405" s="4" t="s">
        <v>28</v>
      </c>
      <c r="H405" s="4" t="s">
        <v>4097</v>
      </c>
      <c r="I405" s="4" t="s">
        <v>4056</v>
      </c>
      <c r="J405" s="4"/>
      <c r="K405" s="4">
        <f>VLOOKUP(G405,Exchange_Rates!A:B,2,FALSE)</f>
        <v>1.27</v>
      </c>
      <c r="L405" s="4">
        <f t="shared" si="6"/>
        <v>544.23309999999992</v>
      </c>
    </row>
    <row r="406" spans="1:12" x14ac:dyDescent="0.25">
      <c r="A406" s="4" t="s">
        <v>4584</v>
      </c>
      <c r="B406" s="4" t="s">
        <v>4206</v>
      </c>
      <c r="C406" s="6">
        <v>45356</v>
      </c>
      <c r="D406" s="4" t="s">
        <v>4069</v>
      </c>
      <c r="E406" s="4" t="s">
        <v>4054</v>
      </c>
      <c r="F406" s="4">
        <v>95.1</v>
      </c>
      <c r="G406" s="4" t="s">
        <v>36</v>
      </c>
      <c r="H406" s="4" t="s">
        <v>4097</v>
      </c>
      <c r="I406" s="4" t="s">
        <v>4087</v>
      </c>
      <c r="J406" s="4"/>
      <c r="K406" s="4">
        <f>VLOOKUP(G406,Exchange_Rates!A:B,2,FALSE)</f>
        <v>1.08</v>
      </c>
      <c r="L406" s="4">
        <f t="shared" si="6"/>
        <v>102.708</v>
      </c>
    </row>
    <row r="407" spans="1:12" x14ac:dyDescent="0.25">
      <c r="A407" s="4" t="s">
        <v>4585</v>
      </c>
      <c r="B407" s="4" t="s">
        <v>4178</v>
      </c>
      <c r="C407" s="6">
        <v>45605</v>
      </c>
      <c r="D407" s="4" t="s">
        <v>4066</v>
      </c>
      <c r="E407" s="4" t="s">
        <v>4054</v>
      </c>
      <c r="F407" s="4">
        <v>298.95999999999998</v>
      </c>
      <c r="G407" s="4" t="s">
        <v>45</v>
      </c>
      <c r="H407" s="4" t="s">
        <v>4055</v>
      </c>
      <c r="I407" s="4" t="s">
        <v>4056</v>
      </c>
      <c r="J407" s="6">
        <v>45620</v>
      </c>
      <c r="K407" s="4">
        <f>VLOOKUP(G407,Exchange_Rates!A:B,2,FALSE)</f>
        <v>1</v>
      </c>
      <c r="L407" s="4">
        <f t="shared" si="6"/>
        <v>298.95999999999998</v>
      </c>
    </row>
    <row r="408" spans="1:12" x14ac:dyDescent="0.25">
      <c r="A408" s="4" t="s">
        <v>4586</v>
      </c>
      <c r="B408" s="4" t="s">
        <v>4065</v>
      </c>
      <c r="C408" s="6">
        <v>44991</v>
      </c>
      <c r="D408" s="4" t="s">
        <v>4062</v>
      </c>
      <c r="E408" s="4" t="s">
        <v>4054</v>
      </c>
      <c r="F408" s="4">
        <v>793.8</v>
      </c>
      <c r="G408" s="4" t="s">
        <v>36</v>
      </c>
      <c r="H408" s="4" t="s">
        <v>4097</v>
      </c>
      <c r="I408" s="4" t="s">
        <v>4087</v>
      </c>
      <c r="J408" s="4"/>
      <c r="K408" s="4">
        <f>VLOOKUP(G408,Exchange_Rates!A:B,2,FALSE)</f>
        <v>1.08</v>
      </c>
      <c r="L408" s="4">
        <f t="shared" si="6"/>
        <v>857.30399999999997</v>
      </c>
    </row>
    <row r="409" spans="1:12" x14ac:dyDescent="0.25">
      <c r="A409" s="4" t="s">
        <v>4587</v>
      </c>
      <c r="B409" s="4" t="s">
        <v>4475</v>
      </c>
      <c r="C409" s="6">
        <v>44935</v>
      </c>
      <c r="D409" s="4" t="s">
        <v>4069</v>
      </c>
      <c r="E409" s="4" t="s">
        <v>4054</v>
      </c>
      <c r="F409" s="4">
        <v>459.04</v>
      </c>
      <c r="G409" s="4" t="s">
        <v>42</v>
      </c>
      <c r="H409" s="4" t="s">
        <v>4097</v>
      </c>
      <c r="I409" s="4" t="s">
        <v>4087</v>
      </c>
      <c r="J409" s="4"/>
      <c r="K409" s="4">
        <f>VLOOKUP(G409,Exchange_Rates!A:B,2,FALSE)</f>
        <v>0.66</v>
      </c>
      <c r="L409" s="4">
        <f t="shared" si="6"/>
        <v>302.96640000000002</v>
      </c>
    </row>
    <row r="410" spans="1:12" x14ac:dyDescent="0.25">
      <c r="A410" s="4" t="s">
        <v>4588</v>
      </c>
      <c r="B410" s="4" t="s">
        <v>4515</v>
      </c>
      <c r="C410" s="6">
        <v>45700</v>
      </c>
      <c r="D410" s="4" t="s">
        <v>4069</v>
      </c>
      <c r="E410" s="4" t="s">
        <v>4054</v>
      </c>
      <c r="F410" s="4">
        <v>489.63</v>
      </c>
      <c r="G410" s="4" t="s">
        <v>36</v>
      </c>
      <c r="H410" s="4" t="s">
        <v>4059</v>
      </c>
      <c r="I410" s="4" t="s">
        <v>4070</v>
      </c>
      <c r="J410" s="4"/>
      <c r="K410" s="4">
        <f>VLOOKUP(G410,Exchange_Rates!A:B,2,FALSE)</f>
        <v>1.08</v>
      </c>
      <c r="L410" s="4">
        <f t="shared" si="6"/>
        <v>528.80040000000008</v>
      </c>
    </row>
    <row r="411" spans="1:12" x14ac:dyDescent="0.25">
      <c r="A411" s="4" t="s">
        <v>4589</v>
      </c>
      <c r="B411" s="4" t="s">
        <v>4430</v>
      </c>
      <c r="C411" s="6">
        <v>44986</v>
      </c>
      <c r="D411" s="4" t="s">
        <v>4096</v>
      </c>
      <c r="E411" s="4" t="s">
        <v>4054</v>
      </c>
      <c r="F411" s="4">
        <v>285.58</v>
      </c>
      <c r="G411" s="4" t="s">
        <v>42</v>
      </c>
      <c r="H411" s="4" t="s">
        <v>4055</v>
      </c>
      <c r="I411" s="4" t="s">
        <v>4070</v>
      </c>
      <c r="J411" s="6">
        <v>45001</v>
      </c>
      <c r="K411" s="4">
        <f>VLOOKUP(G411,Exchange_Rates!A:B,2,FALSE)</f>
        <v>0.66</v>
      </c>
      <c r="L411" s="4">
        <f t="shared" si="6"/>
        <v>188.4828</v>
      </c>
    </row>
    <row r="412" spans="1:12" x14ac:dyDescent="0.25">
      <c r="A412" s="4" t="s">
        <v>4590</v>
      </c>
      <c r="B412" s="4" t="s">
        <v>4145</v>
      </c>
      <c r="C412" s="6">
        <v>45390</v>
      </c>
      <c r="D412" s="4" t="s">
        <v>4066</v>
      </c>
      <c r="E412" s="4" t="s">
        <v>4054</v>
      </c>
      <c r="F412" s="4">
        <v>543.02</v>
      </c>
      <c r="G412" s="4" t="s">
        <v>28</v>
      </c>
      <c r="H412" s="4" t="s">
        <v>4055</v>
      </c>
      <c r="I412" s="4" t="s">
        <v>4070</v>
      </c>
      <c r="J412" s="6">
        <v>45405</v>
      </c>
      <c r="K412" s="4">
        <f>VLOOKUP(G412,Exchange_Rates!A:B,2,FALSE)</f>
        <v>1.27</v>
      </c>
      <c r="L412" s="4">
        <f t="shared" si="6"/>
        <v>689.6354</v>
      </c>
    </row>
    <row r="413" spans="1:12" x14ac:dyDescent="0.25">
      <c r="A413" s="4" t="s">
        <v>4591</v>
      </c>
      <c r="B413" s="4" t="s">
        <v>4330</v>
      </c>
      <c r="C413" s="6">
        <v>45754</v>
      </c>
      <c r="D413" s="4" t="s">
        <v>4062</v>
      </c>
      <c r="E413" s="4" t="s">
        <v>4054</v>
      </c>
      <c r="F413" s="4">
        <v>790.05</v>
      </c>
      <c r="G413" s="4" t="s">
        <v>42</v>
      </c>
      <c r="H413" s="4" t="s">
        <v>4063</v>
      </c>
      <c r="I413" s="4" t="s">
        <v>4070</v>
      </c>
      <c r="J413" s="4"/>
      <c r="K413" s="4">
        <f>VLOOKUP(G413,Exchange_Rates!A:B,2,FALSE)</f>
        <v>0.66</v>
      </c>
      <c r="L413" s="4">
        <f t="shared" si="6"/>
        <v>521.43299999999999</v>
      </c>
    </row>
    <row r="414" spans="1:12" x14ac:dyDescent="0.25">
      <c r="A414" s="4" t="s">
        <v>4592</v>
      </c>
      <c r="B414" s="4" t="s">
        <v>4086</v>
      </c>
      <c r="C414" s="6">
        <v>45093</v>
      </c>
      <c r="D414" s="4" t="s">
        <v>4096</v>
      </c>
      <c r="E414" s="4" t="s">
        <v>4054</v>
      </c>
      <c r="F414" s="4">
        <v>777.35</v>
      </c>
      <c r="G414" s="4" t="s">
        <v>36</v>
      </c>
      <c r="H414" s="4" t="s">
        <v>4097</v>
      </c>
      <c r="I414" s="4" t="s">
        <v>4087</v>
      </c>
      <c r="J414" s="4"/>
      <c r="K414" s="4">
        <f>VLOOKUP(G414,Exchange_Rates!A:B,2,FALSE)</f>
        <v>1.08</v>
      </c>
      <c r="L414" s="4">
        <f t="shared" si="6"/>
        <v>839.53800000000012</v>
      </c>
    </row>
    <row r="415" spans="1:12" x14ac:dyDescent="0.25">
      <c r="A415" s="4" t="s">
        <v>4593</v>
      </c>
      <c r="B415" s="4" t="s">
        <v>4152</v>
      </c>
      <c r="C415" s="6">
        <v>45830</v>
      </c>
      <c r="D415" s="4" t="s">
        <v>4066</v>
      </c>
      <c r="E415" s="4" t="s">
        <v>4054</v>
      </c>
      <c r="F415" s="4">
        <v>497.63</v>
      </c>
      <c r="G415" s="4" t="s">
        <v>36</v>
      </c>
      <c r="H415" s="4" t="s">
        <v>4059</v>
      </c>
      <c r="I415" s="4" t="s">
        <v>4056</v>
      </c>
      <c r="J415" s="4"/>
      <c r="K415" s="4">
        <f>VLOOKUP(G415,Exchange_Rates!A:B,2,FALSE)</f>
        <v>1.08</v>
      </c>
      <c r="L415" s="4">
        <f t="shared" si="6"/>
        <v>537.44040000000007</v>
      </c>
    </row>
    <row r="416" spans="1:12" x14ac:dyDescent="0.25">
      <c r="A416" s="4" t="s">
        <v>4594</v>
      </c>
      <c r="B416" s="4" t="s">
        <v>4108</v>
      </c>
      <c r="C416" s="6">
        <v>45008</v>
      </c>
      <c r="D416" s="4" t="s">
        <v>4069</v>
      </c>
      <c r="E416" s="4" t="s">
        <v>4054</v>
      </c>
      <c r="F416" s="4">
        <v>518.05999999999995</v>
      </c>
      <c r="G416" s="4" t="s">
        <v>64</v>
      </c>
      <c r="H416" s="4" t="s">
        <v>4097</v>
      </c>
      <c r="I416" s="4" t="s">
        <v>4070</v>
      </c>
      <c r="J416" s="4"/>
      <c r="K416" s="4">
        <f>VLOOKUP(G416,Exchange_Rates!A:B,2,FALSE)</f>
        <v>0.73</v>
      </c>
      <c r="L416" s="4">
        <f t="shared" si="6"/>
        <v>378.18379999999996</v>
      </c>
    </row>
    <row r="417" spans="1:12" x14ac:dyDescent="0.25">
      <c r="A417" s="4" t="s">
        <v>4595</v>
      </c>
      <c r="B417" s="4" t="s">
        <v>4140</v>
      </c>
      <c r="C417" s="6">
        <v>45460</v>
      </c>
      <c r="D417" s="4" t="s">
        <v>4096</v>
      </c>
      <c r="E417" s="4" t="s">
        <v>4054</v>
      </c>
      <c r="F417" s="4">
        <v>631.91</v>
      </c>
      <c r="G417" s="4" t="s">
        <v>28</v>
      </c>
      <c r="H417" s="4" t="s">
        <v>4055</v>
      </c>
      <c r="I417" s="4" t="s">
        <v>4056</v>
      </c>
      <c r="J417" s="6">
        <v>45475</v>
      </c>
      <c r="K417" s="4">
        <f>VLOOKUP(G417,Exchange_Rates!A:B,2,FALSE)</f>
        <v>1.27</v>
      </c>
      <c r="L417" s="4">
        <f t="shared" si="6"/>
        <v>802.52569999999992</v>
      </c>
    </row>
    <row r="418" spans="1:12" x14ac:dyDescent="0.25">
      <c r="A418" s="4" t="s">
        <v>4596</v>
      </c>
      <c r="B418" s="4" t="s">
        <v>4158</v>
      </c>
      <c r="C418" s="6">
        <v>45210</v>
      </c>
      <c r="D418" s="4" t="s">
        <v>4066</v>
      </c>
      <c r="E418" s="4" t="s">
        <v>4054</v>
      </c>
      <c r="F418" s="4">
        <v>101.28</v>
      </c>
      <c r="G418" s="4" t="s">
        <v>45</v>
      </c>
      <c r="H418" s="4" t="s">
        <v>4055</v>
      </c>
      <c r="I418" s="4" t="s">
        <v>4070</v>
      </c>
      <c r="J418" s="6">
        <v>45225</v>
      </c>
      <c r="K418" s="4">
        <f>VLOOKUP(G418,Exchange_Rates!A:B,2,FALSE)</f>
        <v>1</v>
      </c>
      <c r="L418" s="4">
        <f t="shared" si="6"/>
        <v>101.28</v>
      </c>
    </row>
    <row r="419" spans="1:12" x14ac:dyDescent="0.25">
      <c r="A419" s="4" t="s">
        <v>4597</v>
      </c>
      <c r="B419" s="4" t="s">
        <v>4393</v>
      </c>
      <c r="C419" s="6">
        <v>45063</v>
      </c>
      <c r="D419" s="4" t="s">
        <v>4066</v>
      </c>
      <c r="E419" s="4" t="s">
        <v>4054</v>
      </c>
      <c r="F419" s="4">
        <v>725.79</v>
      </c>
      <c r="G419" s="4" t="s">
        <v>64</v>
      </c>
      <c r="H419" s="4" t="s">
        <v>4063</v>
      </c>
      <c r="I419" s="4" t="s">
        <v>4070</v>
      </c>
      <c r="J419" s="4"/>
      <c r="K419" s="4">
        <f>VLOOKUP(G419,Exchange_Rates!A:B,2,FALSE)</f>
        <v>0.73</v>
      </c>
      <c r="L419" s="4">
        <f t="shared" si="6"/>
        <v>529.82669999999996</v>
      </c>
    </row>
    <row r="420" spans="1:12" x14ac:dyDescent="0.25">
      <c r="A420" s="4" t="s">
        <v>4598</v>
      </c>
      <c r="B420" s="4" t="s">
        <v>4304</v>
      </c>
      <c r="C420" s="6">
        <v>45242</v>
      </c>
      <c r="D420" s="4" t="s">
        <v>4062</v>
      </c>
      <c r="E420" s="4" t="s">
        <v>4054</v>
      </c>
      <c r="F420" s="4">
        <v>202.77</v>
      </c>
      <c r="G420" s="4" t="s">
        <v>28</v>
      </c>
      <c r="H420" s="4" t="s">
        <v>4055</v>
      </c>
      <c r="I420" s="4" t="s">
        <v>4087</v>
      </c>
      <c r="J420" s="6">
        <v>45257</v>
      </c>
      <c r="K420" s="4">
        <f>VLOOKUP(G420,Exchange_Rates!A:B,2,FALSE)</f>
        <v>1.27</v>
      </c>
      <c r="L420" s="4">
        <f t="shared" si="6"/>
        <v>257.5179</v>
      </c>
    </row>
    <row r="421" spans="1:12" x14ac:dyDescent="0.25">
      <c r="A421" s="4" t="s">
        <v>4599</v>
      </c>
      <c r="B421" s="4" t="s">
        <v>4095</v>
      </c>
      <c r="C421" s="6">
        <v>45004</v>
      </c>
      <c r="D421" s="4" t="s">
        <v>4066</v>
      </c>
      <c r="E421" s="4" t="s">
        <v>4054</v>
      </c>
      <c r="F421" s="4">
        <v>323.31</v>
      </c>
      <c r="G421" s="4" t="s">
        <v>64</v>
      </c>
      <c r="H421" s="4" t="s">
        <v>4097</v>
      </c>
      <c r="I421" s="4" t="s">
        <v>4056</v>
      </c>
      <c r="J421" s="4"/>
      <c r="K421" s="4">
        <f>VLOOKUP(G421,Exchange_Rates!A:B,2,FALSE)</f>
        <v>0.73</v>
      </c>
      <c r="L421" s="4">
        <f t="shared" si="6"/>
        <v>236.0163</v>
      </c>
    </row>
    <row r="422" spans="1:12" x14ac:dyDescent="0.25">
      <c r="A422" s="4" t="s">
        <v>4600</v>
      </c>
      <c r="B422" s="4" t="s">
        <v>4202</v>
      </c>
      <c r="C422" s="6">
        <v>44966</v>
      </c>
      <c r="D422" s="4" t="s">
        <v>4096</v>
      </c>
      <c r="E422" s="4" t="s">
        <v>4054</v>
      </c>
      <c r="F422" s="4">
        <v>61.37</v>
      </c>
      <c r="G422" s="4" t="s">
        <v>36</v>
      </c>
      <c r="H422" s="4" t="s">
        <v>4059</v>
      </c>
      <c r="I422" s="4" t="s">
        <v>4070</v>
      </c>
      <c r="J422" s="4"/>
      <c r="K422" s="4">
        <f>VLOOKUP(G422,Exchange_Rates!A:B,2,FALSE)</f>
        <v>1.08</v>
      </c>
      <c r="L422" s="4">
        <f t="shared" si="6"/>
        <v>66.279600000000002</v>
      </c>
    </row>
    <row r="423" spans="1:12" x14ac:dyDescent="0.25">
      <c r="A423" s="4" t="s">
        <v>4601</v>
      </c>
      <c r="B423" s="4" t="s">
        <v>4453</v>
      </c>
      <c r="C423" s="6">
        <v>45739</v>
      </c>
      <c r="D423" s="4" t="s">
        <v>4066</v>
      </c>
      <c r="E423" s="4" t="s">
        <v>4054</v>
      </c>
      <c r="F423" s="4">
        <v>529.30999999999995</v>
      </c>
      <c r="G423" s="4" t="s">
        <v>64</v>
      </c>
      <c r="H423" s="4" t="s">
        <v>4059</v>
      </c>
      <c r="I423" s="4" t="s">
        <v>4056</v>
      </c>
      <c r="J423" s="4"/>
      <c r="K423" s="4">
        <f>VLOOKUP(G423,Exchange_Rates!A:B,2,FALSE)</f>
        <v>0.73</v>
      </c>
      <c r="L423" s="4">
        <f t="shared" si="6"/>
        <v>386.39629999999994</v>
      </c>
    </row>
    <row r="424" spans="1:12" x14ac:dyDescent="0.25">
      <c r="A424" s="4" t="s">
        <v>4602</v>
      </c>
      <c r="B424" s="4" t="s">
        <v>4273</v>
      </c>
      <c r="C424" s="6">
        <v>45668</v>
      </c>
      <c r="D424" s="4" t="s">
        <v>4062</v>
      </c>
      <c r="E424" s="4" t="s">
        <v>4054</v>
      </c>
      <c r="F424" s="4">
        <v>711.96</v>
      </c>
      <c r="G424" s="4" t="s">
        <v>64</v>
      </c>
      <c r="H424" s="4" t="s">
        <v>4097</v>
      </c>
      <c r="I424" s="4" t="s">
        <v>4056</v>
      </c>
      <c r="J424" s="4"/>
      <c r="K424" s="4">
        <f>VLOOKUP(G424,Exchange_Rates!A:B,2,FALSE)</f>
        <v>0.73</v>
      </c>
      <c r="L424" s="4">
        <f t="shared" si="6"/>
        <v>519.73080000000004</v>
      </c>
    </row>
    <row r="425" spans="1:12" x14ac:dyDescent="0.25">
      <c r="A425" s="4" t="s">
        <v>4603</v>
      </c>
      <c r="B425" s="4" t="s">
        <v>4173</v>
      </c>
      <c r="C425" s="6">
        <v>45829</v>
      </c>
      <c r="D425" s="4" t="s">
        <v>4096</v>
      </c>
      <c r="E425" s="4" t="s">
        <v>4054</v>
      </c>
      <c r="F425" s="4">
        <v>265.24</v>
      </c>
      <c r="G425" s="4" t="s">
        <v>45</v>
      </c>
      <c r="H425" s="4" t="s">
        <v>4055</v>
      </c>
      <c r="I425" s="4" t="s">
        <v>4070</v>
      </c>
      <c r="J425" s="6">
        <v>45844</v>
      </c>
      <c r="K425" s="4">
        <f>VLOOKUP(G425,Exchange_Rates!A:B,2,FALSE)</f>
        <v>1</v>
      </c>
      <c r="L425" s="4">
        <f t="shared" si="6"/>
        <v>265.24</v>
      </c>
    </row>
    <row r="426" spans="1:12" x14ac:dyDescent="0.25">
      <c r="A426" s="4" t="s">
        <v>4604</v>
      </c>
      <c r="B426" s="4" t="s">
        <v>4180</v>
      </c>
      <c r="C426" s="6">
        <v>45258</v>
      </c>
      <c r="D426" s="4" t="s">
        <v>4062</v>
      </c>
      <c r="E426" s="4" t="s">
        <v>4054</v>
      </c>
      <c r="F426" s="4">
        <v>125.52</v>
      </c>
      <c r="G426" s="4" t="s">
        <v>64</v>
      </c>
      <c r="H426" s="4" t="s">
        <v>4055</v>
      </c>
      <c r="I426" s="4" t="s">
        <v>4087</v>
      </c>
      <c r="J426" s="6">
        <v>45273</v>
      </c>
      <c r="K426" s="4">
        <f>VLOOKUP(G426,Exchange_Rates!A:B,2,FALSE)</f>
        <v>0.73</v>
      </c>
      <c r="L426" s="4">
        <f t="shared" si="6"/>
        <v>91.629599999999996</v>
      </c>
    </row>
    <row r="427" spans="1:12" x14ac:dyDescent="0.25">
      <c r="A427" s="4" t="s">
        <v>4605</v>
      </c>
      <c r="B427" s="4" t="s">
        <v>4448</v>
      </c>
      <c r="C427" s="6">
        <v>44948</v>
      </c>
      <c r="D427" s="4" t="s">
        <v>4066</v>
      </c>
      <c r="E427" s="4" t="s">
        <v>4054</v>
      </c>
      <c r="F427" s="4">
        <v>389.17</v>
      </c>
      <c r="G427" s="4" t="s">
        <v>45</v>
      </c>
      <c r="H427" s="4" t="s">
        <v>4059</v>
      </c>
      <c r="I427" s="4" t="s">
        <v>4087</v>
      </c>
      <c r="J427" s="4"/>
      <c r="K427" s="4">
        <f>VLOOKUP(G427,Exchange_Rates!A:B,2,FALSE)</f>
        <v>1</v>
      </c>
      <c r="L427" s="4">
        <f t="shared" si="6"/>
        <v>389.17</v>
      </c>
    </row>
    <row r="428" spans="1:12" x14ac:dyDescent="0.25">
      <c r="A428" s="4" t="s">
        <v>4606</v>
      </c>
      <c r="B428" s="4" t="s">
        <v>4421</v>
      </c>
      <c r="C428" s="6">
        <v>45730</v>
      </c>
      <c r="D428" s="4" t="s">
        <v>4066</v>
      </c>
      <c r="E428" s="4" t="s">
        <v>4054</v>
      </c>
      <c r="F428" s="4">
        <v>246.52</v>
      </c>
      <c r="G428" s="4" t="s">
        <v>28</v>
      </c>
      <c r="H428" s="4" t="s">
        <v>4097</v>
      </c>
      <c r="I428" s="4" t="s">
        <v>4070</v>
      </c>
      <c r="J428" s="4"/>
      <c r="K428" s="4">
        <f>VLOOKUP(G428,Exchange_Rates!A:B,2,FALSE)</f>
        <v>1.27</v>
      </c>
      <c r="L428" s="4">
        <f t="shared" si="6"/>
        <v>313.0804</v>
      </c>
    </row>
    <row r="429" spans="1:12" x14ac:dyDescent="0.25">
      <c r="A429" s="4" t="s">
        <v>4607</v>
      </c>
      <c r="B429" s="4" t="s">
        <v>4080</v>
      </c>
      <c r="C429" s="6">
        <v>45105</v>
      </c>
      <c r="D429" s="4" t="s">
        <v>4062</v>
      </c>
      <c r="E429" s="4" t="s">
        <v>4054</v>
      </c>
      <c r="F429" s="4">
        <v>312.08</v>
      </c>
      <c r="G429" s="4" t="s">
        <v>45</v>
      </c>
      <c r="H429" s="4" t="s">
        <v>4063</v>
      </c>
      <c r="I429" s="4" t="s">
        <v>4056</v>
      </c>
      <c r="J429" s="4"/>
      <c r="K429" s="4">
        <f>VLOOKUP(G429,Exchange_Rates!A:B,2,FALSE)</f>
        <v>1</v>
      </c>
      <c r="L429" s="4">
        <f t="shared" si="6"/>
        <v>312.08</v>
      </c>
    </row>
    <row r="430" spans="1:12" x14ac:dyDescent="0.25">
      <c r="A430" s="4" t="s">
        <v>4608</v>
      </c>
      <c r="B430" s="4" t="s">
        <v>4258</v>
      </c>
      <c r="C430" s="6">
        <v>45783</v>
      </c>
      <c r="D430" s="4" t="s">
        <v>4062</v>
      </c>
      <c r="E430" s="4" t="s">
        <v>4054</v>
      </c>
      <c r="F430" s="4">
        <v>329.88</v>
      </c>
      <c r="G430" s="4" t="s">
        <v>28</v>
      </c>
      <c r="H430" s="4" t="s">
        <v>4097</v>
      </c>
      <c r="I430" s="4" t="s">
        <v>4070</v>
      </c>
      <c r="J430" s="4"/>
      <c r="K430" s="4">
        <f>VLOOKUP(G430,Exchange_Rates!A:B,2,FALSE)</f>
        <v>1.27</v>
      </c>
      <c r="L430" s="4">
        <f t="shared" si="6"/>
        <v>418.94760000000002</v>
      </c>
    </row>
    <row r="431" spans="1:12" x14ac:dyDescent="0.25">
      <c r="A431" s="4" t="s">
        <v>4609</v>
      </c>
      <c r="B431" s="4" t="s">
        <v>4321</v>
      </c>
      <c r="C431" s="6">
        <v>44981</v>
      </c>
      <c r="D431" s="4" t="s">
        <v>4069</v>
      </c>
      <c r="E431" s="4" t="s">
        <v>4054</v>
      </c>
      <c r="F431" s="4">
        <v>660.18</v>
      </c>
      <c r="G431" s="4" t="s">
        <v>42</v>
      </c>
      <c r="H431" s="4" t="s">
        <v>4097</v>
      </c>
      <c r="I431" s="4" t="s">
        <v>4087</v>
      </c>
      <c r="J431" s="4"/>
      <c r="K431" s="4">
        <f>VLOOKUP(G431,Exchange_Rates!A:B,2,FALSE)</f>
        <v>0.66</v>
      </c>
      <c r="L431" s="4">
        <f t="shared" si="6"/>
        <v>435.71879999999999</v>
      </c>
    </row>
    <row r="432" spans="1:12" x14ac:dyDescent="0.25">
      <c r="A432" s="4" t="s">
        <v>4610</v>
      </c>
      <c r="B432" s="4" t="s">
        <v>4219</v>
      </c>
      <c r="C432" s="6">
        <v>45825</v>
      </c>
      <c r="D432" s="4" t="s">
        <v>4069</v>
      </c>
      <c r="E432" s="4" t="s">
        <v>4054</v>
      </c>
      <c r="F432" s="4">
        <v>417.67</v>
      </c>
      <c r="G432" s="4" t="s">
        <v>64</v>
      </c>
      <c r="H432" s="4" t="s">
        <v>4055</v>
      </c>
      <c r="I432" s="4" t="s">
        <v>4056</v>
      </c>
      <c r="J432" s="6">
        <v>45840</v>
      </c>
      <c r="K432" s="4">
        <f>VLOOKUP(G432,Exchange_Rates!A:B,2,FALSE)</f>
        <v>0.73</v>
      </c>
      <c r="L432" s="4">
        <f t="shared" si="6"/>
        <v>304.89909999999998</v>
      </c>
    </row>
    <row r="433" spans="1:12" x14ac:dyDescent="0.25">
      <c r="A433" s="4" t="s">
        <v>4611</v>
      </c>
      <c r="B433" s="4" t="s">
        <v>4515</v>
      </c>
      <c r="C433" s="6">
        <v>45619</v>
      </c>
      <c r="D433" s="4" t="s">
        <v>4096</v>
      </c>
      <c r="E433" s="4" t="s">
        <v>4054</v>
      </c>
      <c r="F433" s="4">
        <v>168.71</v>
      </c>
      <c r="G433" s="4" t="s">
        <v>42</v>
      </c>
      <c r="H433" s="4" t="s">
        <v>4063</v>
      </c>
      <c r="I433" s="4" t="s">
        <v>4070</v>
      </c>
      <c r="J433" s="4"/>
      <c r="K433" s="4">
        <f>VLOOKUP(G433,Exchange_Rates!A:B,2,FALSE)</f>
        <v>0.66</v>
      </c>
      <c r="L433" s="4">
        <f t="shared" si="6"/>
        <v>111.3486</v>
      </c>
    </row>
    <row r="434" spans="1:12" x14ac:dyDescent="0.25">
      <c r="A434" s="4" t="s">
        <v>4612</v>
      </c>
      <c r="B434" s="4" t="s">
        <v>4072</v>
      </c>
      <c r="C434" s="6">
        <v>45268</v>
      </c>
      <c r="D434" s="4" t="s">
        <v>4062</v>
      </c>
      <c r="E434" s="4" t="s">
        <v>4054</v>
      </c>
      <c r="F434" s="4">
        <v>639.70000000000005</v>
      </c>
      <c r="G434" s="4" t="s">
        <v>45</v>
      </c>
      <c r="H434" s="4" t="s">
        <v>4097</v>
      </c>
      <c r="I434" s="4" t="s">
        <v>4070</v>
      </c>
      <c r="J434" s="4"/>
      <c r="K434" s="4">
        <f>VLOOKUP(G434,Exchange_Rates!A:B,2,FALSE)</f>
        <v>1</v>
      </c>
      <c r="L434" s="4">
        <f t="shared" si="6"/>
        <v>639.70000000000005</v>
      </c>
    </row>
    <row r="435" spans="1:12" x14ac:dyDescent="0.25">
      <c r="A435" s="4" t="s">
        <v>4613</v>
      </c>
      <c r="B435" s="4" t="s">
        <v>4324</v>
      </c>
      <c r="C435" s="6">
        <v>45563</v>
      </c>
      <c r="D435" s="4" t="s">
        <v>4066</v>
      </c>
      <c r="E435" s="4" t="s">
        <v>4054</v>
      </c>
      <c r="F435" s="4">
        <v>140.91999999999999</v>
      </c>
      <c r="G435" s="4" t="s">
        <v>64</v>
      </c>
      <c r="H435" s="4" t="s">
        <v>4063</v>
      </c>
      <c r="I435" s="4" t="s">
        <v>4070</v>
      </c>
      <c r="J435" s="4"/>
      <c r="K435" s="4">
        <f>VLOOKUP(G435,Exchange_Rates!A:B,2,FALSE)</f>
        <v>0.73</v>
      </c>
      <c r="L435" s="4">
        <f t="shared" si="6"/>
        <v>102.87159999999999</v>
      </c>
    </row>
    <row r="436" spans="1:12" x14ac:dyDescent="0.25">
      <c r="A436" s="4" t="s">
        <v>4614</v>
      </c>
      <c r="B436" s="4" t="s">
        <v>4126</v>
      </c>
      <c r="C436" s="6">
        <v>45716</v>
      </c>
      <c r="D436" s="4" t="s">
        <v>4062</v>
      </c>
      <c r="E436" s="4" t="s">
        <v>4054</v>
      </c>
      <c r="F436" s="4">
        <v>442.52</v>
      </c>
      <c r="G436" s="4" t="s">
        <v>28</v>
      </c>
      <c r="H436" s="4" t="s">
        <v>4059</v>
      </c>
      <c r="I436" s="4" t="s">
        <v>4087</v>
      </c>
      <c r="J436" s="4"/>
      <c r="K436" s="4">
        <f>VLOOKUP(G436,Exchange_Rates!A:B,2,FALSE)</f>
        <v>1.27</v>
      </c>
      <c r="L436" s="4">
        <f t="shared" si="6"/>
        <v>562.00040000000001</v>
      </c>
    </row>
    <row r="437" spans="1:12" x14ac:dyDescent="0.25">
      <c r="A437" s="4" t="s">
        <v>4615</v>
      </c>
      <c r="B437" s="4" t="s">
        <v>4093</v>
      </c>
      <c r="C437" s="6">
        <v>45697</v>
      </c>
      <c r="D437" s="4" t="s">
        <v>4062</v>
      </c>
      <c r="E437" s="4" t="s">
        <v>4054</v>
      </c>
      <c r="F437" s="4">
        <v>73.36</v>
      </c>
      <c r="G437" s="4" t="s">
        <v>42</v>
      </c>
      <c r="H437" s="4" t="s">
        <v>4059</v>
      </c>
      <c r="I437" s="4" t="s">
        <v>4070</v>
      </c>
      <c r="J437" s="4"/>
      <c r="K437" s="4">
        <f>VLOOKUP(G437,Exchange_Rates!A:B,2,FALSE)</f>
        <v>0.66</v>
      </c>
      <c r="L437" s="4">
        <f t="shared" si="6"/>
        <v>48.4176</v>
      </c>
    </row>
    <row r="438" spans="1:12" x14ac:dyDescent="0.25">
      <c r="A438" s="4" t="s">
        <v>4616</v>
      </c>
      <c r="B438" s="4" t="s">
        <v>4140</v>
      </c>
      <c r="C438" s="6">
        <v>45646</v>
      </c>
      <c r="D438" s="4" t="s">
        <v>4053</v>
      </c>
      <c r="E438" s="4" t="s">
        <v>4054</v>
      </c>
      <c r="F438" s="4">
        <v>583.13</v>
      </c>
      <c r="G438" s="4" t="s">
        <v>45</v>
      </c>
      <c r="H438" s="4" t="s">
        <v>4059</v>
      </c>
      <c r="I438" s="4" t="s">
        <v>4070</v>
      </c>
      <c r="J438" s="4"/>
      <c r="K438" s="4">
        <f>VLOOKUP(G438,Exchange_Rates!A:B,2,FALSE)</f>
        <v>1</v>
      </c>
      <c r="L438" s="4">
        <f t="shared" si="6"/>
        <v>583.13</v>
      </c>
    </row>
    <row r="439" spans="1:12" x14ac:dyDescent="0.25">
      <c r="A439" s="4" t="s">
        <v>4617</v>
      </c>
      <c r="B439" s="4" t="s">
        <v>4074</v>
      </c>
      <c r="C439" s="6">
        <v>45048</v>
      </c>
      <c r="D439" s="4" t="s">
        <v>4053</v>
      </c>
      <c r="E439" s="4" t="s">
        <v>4054</v>
      </c>
      <c r="F439" s="4">
        <v>725.39</v>
      </c>
      <c r="G439" s="4" t="s">
        <v>45</v>
      </c>
      <c r="H439" s="4" t="s">
        <v>4055</v>
      </c>
      <c r="I439" s="4" t="s">
        <v>4070</v>
      </c>
      <c r="J439" s="6">
        <v>45063</v>
      </c>
      <c r="K439" s="4">
        <f>VLOOKUP(G439,Exchange_Rates!A:B,2,FALSE)</f>
        <v>1</v>
      </c>
      <c r="L439" s="4">
        <f t="shared" si="6"/>
        <v>725.39</v>
      </c>
    </row>
    <row r="440" spans="1:12" x14ac:dyDescent="0.25">
      <c r="A440" s="4" t="s">
        <v>4618</v>
      </c>
      <c r="B440" s="4" t="s">
        <v>4300</v>
      </c>
      <c r="C440" s="6">
        <v>45259</v>
      </c>
      <c r="D440" s="4" t="s">
        <v>4096</v>
      </c>
      <c r="E440" s="4" t="s">
        <v>4054</v>
      </c>
      <c r="F440" s="4">
        <v>794.42</v>
      </c>
      <c r="G440" s="4" t="s">
        <v>28</v>
      </c>
      <c r="H440" s="4" t="s">
        <v>4055</v>
      </c>
      <c r="I440" s="4" t="s">
        <v>4087</v>
      </c>
      <c r="J440" s="6">
        <v>45274</v>
      </c>
      <c r="K440" s="4">
        <f>VLOOKUP(G440,Exchange_Rates!A:B,2,FALSE)</f>
        <v>1.27</v>
      </c>
      <c r="L440" s="4">
        <f t="shared" si="6"/>
        <v>1008.9133999999999</v>
      </c>
    </row>
    <row r="441" spans="1:12" x14ac:dyDescent="0.25">
      <c r="A441" s="4" t="s">
        <v>4619</v>
      </c>
      <c r="B441" s="4" t="s">
        <v>4405</v>
      </c>
      <c r="C441" s="6">
        <v>45537</v>
      </c>
      <c r="D441" s="4" t="s">
        <v>4062</v>
      </c>
      <c r="E441" s="4" t="s">
        <v>4054</v>
      </c>
      <c r="F441" s="4">
        <v>716.14</v>
      </c>
      <c r="G441" s="4" t="s">
        <v>42</v>
      </c>
      <c r="H441" s="4" t="s">
        <v>4059</v>
      </c>
      <c r="I441" s="4" t="s">
        <v>4056</v>
      </c>
      <c r="J441" s="4"/>
      <c r="K441" s="4">
        <f>VLOOKUP(G441,Exchange_Rates!A:B,2,FALSE)</f>
        <v>0.66</v>
      </c>
      <c r="L441" s="4">
        <f t="shared" si="6"/>
        <v>472.6524</v>
      </c>
    </row>
    <row r="442" spans="1:12" x14ac:dyDescent="0.25">
      <c r="A442" s="4" t="s">
        <v>4620</v>
      </c>
      <c r="B442" s="4" t="s">
        <v>4158</v>
      </c>
      <c r="C442" s="6">
        <v>45566</v>
      </c>
      <c r="D442" s="4" t="s">
        <v>4062</v>
      </c>
      <c r="E442" s="4" t="s">
        <v>4054</v>
      </c>
      <c r="F442" s="4">
        <v>601.66</v>
      </c>
      <c r="G442" s="4" t="s">
        <v>36</v>
      </c>
      <c r="H442" s="4" t="s">
        <v>4055</v>
      </c>
      <c r="I442" s="4" t="s">
        <v>4070</v>
      </c>
      <c r="J442" s="6">
        <v>45581</v>
      </c>
      <c r="K442" s="4">
        <f>VLOOKUP(G442,Exchange_Rates!A:B,2,FALSE)</f>
        <v>1.08</v>
      </c>
      <c r="L442" s="4">
        <f t="shared" si="6"/>
        <v>649.79280000000006</v>
      </c>
    </row>
    <row r="443" spans="1:12" x14ac:dyDescent="0.25">
      <c r="A443" s="4" t="s">
        <v>4621</v>
      </c>
      <c r="B443" s="4" t="s">
        <v>4280</v>
      </c>
      <c r="C443" s="6">
        <v>45184</v>
      </c>
      <c r="D443" s="4" t="s">
        <v>4069</v>
      </c>
      <c r="E443" s="4" t="s">
        <v>4054</v>
      </c>
      <c r="F443" s="4">
        <v>367.37</v>
      </c>
      <c r="G443" s="4" t="s">
        <v>28</v>
      </c>
      <c r="H443" s="4" t="s">
        <v>4063</v>
      </c>
      <c r="I443" s="4" t="s">
        <v>4070</v>
      </c>
      <c r="J443" s="4"/>
      <c r="K443" s="4">
        <f>VLOOKUP(G443,Exchange_Rates!A:B,2,FALSE)</f>
        <v>1.27</v>
      </c>
      <c r="L443" s="4">
        <f t="shared" si="6"/>
        <v>466.55990000000003</v>
      </c>
    </row>
    <row r="444" spans="1:12" x14ac:dyDescent="0.25">
      <c r="A444" s="4" t="s">
        <v>4622</v>
      </c>
      <c r="B444" s="4" t="s">
        <v>4300</v>
      </c>
      <c r="C444" s="6">
        <v>45729</v>
      </c>
      <c r="D444" s="4" t="s">
        <v>4062</v>
      </c>
      <c r="E444" s="4" t="s">
        <v>4054</v>
      </c>
      <c r="F444" s="4">
        <v>149.94999999999999</v>
      </c>
      <c r="G444" s="4" t="s">
        <v>28</v>
      </c>
      <c r="H444" s="4" t="s">
        <v>4063</v>
      </c>
      <c r="I444" s="4" t="s">
        <v>4087</v>
      </c>
      <c r="J444" s="4"/>
      <c r="K444" s="4">
        <f>VLOOKUP(G444,Exchange_Rates!A:B,2,FALSE)</f>
        <v>1.27</v>
      </c>
      <c r="L444" s="4">
        <f t="shared" si="6"/>
        <v>190.4365</v>
      </c>
    </row>
    <row r="445" spans="1:12" x14ac:dyDescent="0.25">
      <c r="A445" s="4" t="s">
        <v>4623</v>
      </c>
      <c r="B445" s="4" t="s">
        <v>4255</v>
      </c>
      <c r="C445" s="6">
        <v>45640</v>
      </c>
      <c r="D445" s="4" t="s">
        <v>4096</v>
      </c>
      <c r="E445" s="4" t="s">
        <v>4054</v>
      </c>
      <c r="F445" s="4">
        <v>268.95</v>
      </c>
      <c r="G445" s="4" t="s">
        <v>28</v>
      </c>
      <c r="H445" s="4" t="s">
        <v>4055</v>
      </c>
      <c r="I445" s="4" t="s">
        <v>4087</v>
      </c>
      <c r="J445" s="6">
        <v>45655</v>
      </c>
      <c r="K445" s="4">
        <f>VLOOKUP(G445,Exchange_Rates!A:B,2,FALSE)</f>
        <v>1.27</v>
      </c>
      <c r="L445" s="4">
        <f t="shared" si="6"/>
        <v>341.56649999999996</v>
      </c>
    </row>
    <row r="446" spans="1:12" x14ac:dyDescent="0.25">
      <c r="A446" s="4" t="s">
        <v>4624</v>
      </c>
      <c r="B446" s="4" t="s">
        <v>4387</v>
      </c>
      <c r="C446" s="6">
        <v>45163</v>
      </c>
      <c r="D446" s="4" t="s">
        <v>4096</v>
      </c>
      <c r="E446" s="4" t="s">
        <v>4054</v>
      </c>
      <c r="F446" s="4">
        <v>312.64</v>
      </c>
      <c r="G446" s="4" t="s">
        <v>42</v>
      </c>
      <c r="H446" s="4" t="s">
        <v>4055</v>
      </c>
      <c r="I446" s="4" t="s">
        <v>4070</v>
      </c>
      <c r="J446" s="6">
        <v>45178</v>
      </c>
      <c r="K446" s="4">
        <f>VLOOKUP(G446,Exchange_Rates!A:B,2,FALSE)</f>
        <v>0.66</v>
      </c>
      <c r="L446" s="4">
        <f t="shared" si="6"/>
        <v>206.3424</v>
      </c>
    </row>
    <row r="447" spans="1:12" x14ac:dyDescent="0.25">
      <c r="A447" s="4" t="s">
        <v>4625</v>
      </c>
      <c r="B447" s="4" t="s">
        <v>4626</v>
      </c>
      <c r="C447" s="6">
        <v>44955</v>
      </c>
      <c r="D447" s="4" t="s">
        <v>4066</v>
      </c>
      <c r="E447" s="4" t="s">
        <v>4054</v>
      </c>
      <c r="F447" s="4">
        <v>360.69</v>
      </c>
      <c r="G447" s="4" t="s">
        <v>28</v>
      </c>
      <c r="H447" s="4" t="s">
        <v>4059</v>
      </c>
      <c r="I447" s="4" t="s">
        <v>4087</v>
      </c>
      <c r="J447" s="4"/>
      <c r="K447" s="4">
        <f>VLOOKUP(G447,Exchange_Rates!A:B,2,FALSE)</f>
        <v>1.27</v>
      </c>
      <c r="L447" s="4">
        <f t="shared" si="6"/>
        <v>458.0763</v>
      </c>
    </row>
    <row r="448" spans="1:12" x14ac:dyDescent="0.25">
      <c r="A448" s="4" t="s">
        <v>4627</v>
      </c>
      <c r="B448" s="4" t="s">
        <v>4143</v>
      </c>
      <c r="C448" s="6">
        <v>45739</v>
      </c>
      <c r="D448" s="4" t="s">
        <v>4053</v>
      </c>
      <c r="E448" s="4" t="s">
        <v>4054</v>
      </c>
      <c r="F448" s="4">
        <v>358.25</v>
      </c>
      <c r="G448" s="4" t="s">
        <v>64</v>
      </c>
      <c r="H448" s="4" t="s">
        <v>4097</v>
      </c>
      <c r="I448" s="4" t="s">
        <v>4070</v>
      </c>
      <c r="J448" s="4"/>
      <c r="K448" s="4">
        <f>VLOOKUP(G448,Exchange_Rates!A:B,2,FALSE)</f>
        <v>0.73</v>
      </c>
      <c r="L448" s="4">
        <f t="shared" si="6"/>
        <v>261.52249999999998</v>
      </c>
    </row>
    <row r="449" spans="1:12" x14ac:dyDescent="0.25">
      <c r="A449" s="4" t="s">
        <v>4628</v>
      </c>
      <c r="B449" s="4" t="s">
        <v>4082</v>
      </c>
      <c r="C449" s="6">
        <v>45685</v>
      </c>
      <c r="D449" s="4" t="s">
        <v>4062</v>
      </c>
      <c r="E449" s="4" t="s">
        <v>4054</v>
      </c>
      <c r="F449" s="4">
        <v>285.45999999999998</v>
      </c>
      <c r="G449" s="4" t="s">
        <v>36</v>
      </c>
      <c r="H449" s="4" t="s">
        <v>4059</v>
      </c>
      <c r="I449" s="4" t="s">
        <v>4087</v>
      </c>
      <c r="J449" s="4"/>
      <c r="K449" s="4">
        <f>VLOOKUP(G449,Exchange_Rates!A:B,2,FALSE)</f>
        <v>1.08</v>
      </c>
      <c r="L449" s="4">
        <f t="shared" si="6"/>
        <v>308.29680000000002</v>
      </c>
    </row>
    <row r="450" spans="1:12" x14ac:dyDescent="0.25">
      <c r="A450" s="4" t="s">
        <v>4629</v>
      </c>
      <c r="B450" s="4" t="s">
        <v>4078</v>
      </c>
      <c r="C450" s="6">
        <v>45742</v>
      </c>
      <c r="D450" s="4" t="s">
        <v>4053</v>
      </c>
      <c r="E450" s="4" t="s">
        <v>4054</v>
      </c>
      <c r="F450" s="4">
        <v>322.39</v>
      </c>
      <c r="G450" s="4" t="s">
        <v>36</v>
      </c>
      <c r="H450" s="4" t="s">
        <v>4055</v>
      </c>
      <c r="I450" s="4" t="s">
        <v>4087</v>
      </c>
      <c r="J450" s="6">
        <v>45757</v>
      </c>
      <c r="K450" s="4">
        <f>VLOOKUP(G450,Exchange_Rates!A:B,2,FALSE)</f>
        <v>1.08</v>
      </c>
      <c r="L450" s="4">
        <f t="shared" si="6"/>
        <v>348.18119999999999</v>
      </c>
    </row>
    <row r="451" spans="1:12" x14ac:dyDescent="0.25">
      <c r="A451" s="4" t="s">
        <v>4630</v>
      </c>
      <c r="B451" s="4" t="s">
        <v>4204</v>
      </c>
      <c r="C451" s="6">
        <v>45804</v>
      </c>
      <c r="D451" s="4" t="s">
        <v>4066</v>
      </c>
      <c r="E451" s="4" t="s">
        <v>4054</v>
      </c>
      <c r="F451" s="4">
        <v>511.52</v>
      </c>
      <c r="G451" s="4" t="s">
        <v>45</v>
      </c>
      <c r="H451" s="4" t="s">
        <v>4055</v>
      </c>
      <c r="I451" s="4" t="s">
        <v>4087</v>
      </c>
      <c r="J451" s="6">
        <v>45819</v>
      </c>
      <c r="K451" s="4">
        <f>VLOOKUP(G451,Exchange_Rates!A:B,2,FALSE)</f>
        <v>1</v>
      </c>
      <c r="L451" s="4">
        <f t="shared" ref="L451:L514" si="7">F451*K451</f>
        <v>511.52</v>
      </c>
    </row>
    <row r="452" spans="1:12" x14ac:dyDescent="0.25">
      <c r="A452" s="4" t="s">
        <v>4631</v>
      </c>
      <c r="B452" s="4" t="s">
        <v>4239</v>
      </c>
      <c r="C452" s="6">
        <v>45438</v>
      </c>
      <c r="D452" s="4" t="s">
        <v>4053</v>
      </c>
      <c r="E452" s="4" t="s">
        <v>4054</v>
      </c>
      <c r="F452" s="4">
        <v>397.43</v>
      </c>
      <c r="G452" s="4" t="s">
        <v>28</v>
      </c>
      <c r="H452" s="4" t="s">
        <v>4059</v>
      </c>
      <c r="I452" s="4" t="s">
        <v>4056</v>
      </c>
      <c r="J452" s="4"/>
      <c r="K452" s="4">
        <f>VLOOKUP(G452,Exchange_Rates!A:B,2,FALSE)</f>
        <v>1.27</v>
      </c>
      <c r="L452" s="4">
        <f t="shared" si="7"/>
        <v>504.73610000000002</v>
      </c>
    </row>
    <row r="453" spans="1:12" x14ac:dyDescent="0.25">
      <c r="A453" s="4" t="s">
        <v>4632</v>
      </c>
      <c r="B453" s="4" t="s">
        <v>4117</v>
      </c>
      <c r="C453" s="6">
        <v>45662</v>
      </c>
      <c r="D453" s="4" t="s">
        <v>4069</v>
      </c>
      <c r="E453" s="4" t="s">
        <v>4054</v>
      </c>
      <c r="F453" s="4">
        <v>626.70000000000005</v>
      </c>
      <c r="G453" s="4" t="s">
        <v>64</v>
      </c>
      <c r="H453" s="4" t="s">
        <v>4097</v>
      </c>
      <c r="I453" s="4" t="s">
        <v>4087</v>
      </c>
      <c r="J453" s="4"/>
      <c r="K453" s="4">
        <f>VLOOKUP(G453,Exchange_Rates!A:B,2,FALSE)</f>
        <v>0.73</v>
      </c>
      <c r="L453" s="4">
        <f t="shared" si="7"/>
        <v>457.49100000000004</v>
      </c>
    </row>
    <row r="454" spans="1:12" x14ac:dyDescent="0.25">
      <c r="A454" s="4" t="s">
        <v>4633</v>
      </c>
      <c r="B454" s="4" t="s">
        <v>4068</v>
      </c>
      <c r="C454" s="6">
        <v>45063</v>
      </c>
      <c r="D454" s="4" t="s">
        <v>4096</v>
      </c>
      <c r="E454" s="4" t="s">
        <v>4054</v>
      </c>
      <c r="F454" s="4">
        <v>258.02999999999997</v>
      </c>
      <c r="G454" s="4" t="s">
        <v>28</v>
      </c>
      <c r="H454" s="4" t="s">
        <v>4059</v>
      </c>
      <c r="I454" s="4" t="s">
        <v>4070</v>
      </c>
      <c r="J454" s="4"/>
      <c r="K454" s="4">
        <f>VLOOKUP(G454,Exchange_Rates!A:B,2,FALSE)</f>
        <v>1.27</v>
      </c>
      <c r="L454" s="4">
        <f t="shared" si="7"/>
        <v>327.69809999999995</v>
      </c>
    </row>
    <row r="455" spans="1:12" x14ac:dyDescent="0.25">
      <c r="A455" s="4" t="s">
        <v>4634</v>
      </c>
      <c r="B455" s="4" t="s">
        <v>4475</v>
      </c>
      <c r="C455" s="6">
        <v>45396</v>
      </c>
      <c r="D455" s="4" t="s">
        <v>4066</v>
      </c>
      <c r="E455" s="4" t="s">
        <v>4054</v>
      </c>
      <c r="F455" s="4">
        <v>123.77</v>
      </c>
      <c r="G455" s="4" t="s">
        <v>28</v>
      </c>
      <c r="H455" s="4" t="s">
        <v>4063</v>
      </c>
      <c r="I455" s="4" t="s">
        <v>4056</v>
      </c>
      <c r="J455" s="4"/>
      <c r="K455" s="4">
        <f>VLOOKUP(G455,Exchange_Rates!A:B,2,FALSE)</f>
        <v>1.27</v>
      </c>
      <c r="L455" s="4">
        <f t="shared" si="7"/>
        <v>157.18789999999998</v>
      </c>
    </row>
    <row r="456" spans="1:12" x14ac:dyDescent="0.25">
      <c r="A456" s="4" t="s">
        <v>4635</v>
      </c>
      <c r="B456" s="4" t="s">
        <v>4134</v>
      </c>
      <c r="C456" s="6">
        <v>45652</v>
      </c>
      <c r="D456" s="4" t="s">
        <v>4069</v>
      </c>
      <c r="E456" s="4" t="s">
        <v>4054</v>
      </c>
      <c r="F456" s="4">
        <v>271.73</v>
      </c>
      <c r="G456" s="4" t="s">
        <v>36</v>
      </c>
      <c r="H456" s="4" t="s">
        <v>4055</v>
      </c>
      <c r="I456" s="4" t="s">
        <v>4087</v>
      </c>
      <c r="J456" s="6">
        <v>45667</v>
      </c>
      <c r="K456" s="4">
        <f>VLOOKUP(G456,Exchange_Rates!A:B,2,FALSE)</f>
        <v>1.08</v>
      </c>
      <c r="L456" s="4">
        <f t="shared" si="7"/>
        <v>293.46840000000003</v>
      </c>
    </row>
    <row r="457" spans="1:12" x14ac:dyDescent="0.25">
      <c r="A457" s="4" t="s">
        <v>4636</v>
      </c>
      <c r="B457" s="4" t="s">
        <v>4158</v>
      </c>
      <c r="C457" s="6">
        <v>45479</v>
      </c>
      <c r="D457" s="4" t="s">
        <v>4053</v>
      </c>
      <c r="E457" s="4" t="s">
        <v>4054</v>
      </c>
      <c r="F457" s="4">
        <v>531.79999999999995</v>
      </c>
      <c r="G457" s="4" t="s">
        <v>64</v>
      </c>
      <c r="H457" s="4" t="s">
        <v>4059</v>
      </c>
      <c r="I457" s="4" t="s">
        <v>4070</v>
      </c>
      <c r="J457" s="4"/>
      <c r="K457" s="4">
        <f>VLOOKUP(G457,Exchange_Rates!A:B,2,FALSE)</f>
        <v>0.73</v>
      </c>
      <c r="L457" s="4">
        <f t="shared" si="7"/>
        <v>388.21399999999994</v>
      </c>
    </row>
    <row r="458" spans="1:12" x14ac:dyDescent="0.25">
      <c r="A458" s="4" t="s">
        <v>4637</v>
      </c>
      <c r="B458" s="4" t="s">
        <v>4093</v>
      </c>
      <c r="C458" s="6">
        <v>45105</v>
      </c>
      <c r="D458" s="4" t="s">
        <v>4069</v>
      </c>
      <c r="E458" s="4" t="s">
        <v>4054</v>
      </c>
      <c r="F458" s="4">
        <v>299.85000000000002</v>
      </c>
      <c r="G458" s="4" t="s">
        <v>45</v>
      </c>
      <c r="H458" s="4" t="s">
        <v>4055</v>
      </c>
      <c r="I458" s="4" t="s">
        <v>4070</v>
      </c>
      <c r="J458" s="6">
        <v>45120</v>
      </c>
      <c r="K458" s="4">
        <f>VLOOKUP(G458,Exchange_Rates!A:B,2,FALSE)</f>
        <v>1</v>
      </c>
      <c r="L458" s="4">
        <f t="shared" si="7"/>
        <v>299.85000000000002</v>
      </c>
    </row>
    <row r="459" spans="1:12" x14ac:dyDescent="0.25">
      <c r="A459" s="4" t="s">
        <v>4638</v>
      </c>
      <c r="B459" s="4" t="s">
        <v>4145</v>
      </c>
      <c r="C459" s="6">
        <v>45442</v>
      </c>
      <c r="D459" s="4" t="s">
        <v>4053</v>
      </c>
      <c r="E459" s="4" t="s">
        <v>4054</v>
      </c>
      <c r="F459" s="4">
        <v>282.3</v>
      </c>
      <c r="G459" s="4" t="s">
        <v>28</v>
      </c>
      <c r="H459" s="4" t="s">
        <v>4059</v>
      </c>
      <c r="I459" s="4" t="s">
        <v>4070</v>
      </c>
      <c r="J459" s="4"/>
      <c r="K459" s="4">
        <f>VLOOKUP(G459,Exchange_Rates!A:B,2,FALSE)</f>
        <v>1.27</v>
      </c>
      <c r="L459" s="4">
        <f t="shared" si="7"/>
        <v>358.52100000000002</v>
      </c>
    </row>
    <row r="460" spans="1:12" x14ac:dyDescent="0.25">
      <c r="A460" s="4" t="s">
        <v>4639</v>
      </c>
      <c r="B460" s="4" t="s">
        <v>4078</v>
      </c>
      <c r="C460" s="6">
        <v>45623</v>
      </c>
      <c r="D460" s="4" t="s">
        <v>4066</v>
      </c>
      <c r="E460" s="4" t="s">
        <v>4054</v>
      </c>
      <c r="F460" s="4">
        <v>476.75</v>
      </c>
      <c r="G460" s="4" t="s">
        <v>42</v>
      </c>
      <c r="H460" s="4" t="s">
        <v>4097</v>
      </c>
      <c r="I460" s="4" t="s">
        <v>4070</v>
      </c>
      <c r="J460" s="4"/>
      <c r="K460" s="4">
        <f>VLOOKUP(G460,Exchange_Rates!A:B,2,FALSE)</f>
        <v>0.66</v>
      </c>
      <c r="L460" s="4">
        <f t="shared" si="7"/>
        <v>314.65500000000003</v>
      </c>
    </row>
    <row r="461" spans="1:12" x14ac:dyDescent="0.25">
      <c r="A461" s="4" t="s">
        <v>4640</v>
      </c>
      <c r="B461" s="4" t="s">
        <v>4134</v>
      </c>
      <c r="C461" s="6">
        <v>45317</v>
      </c>
      <c r="D461" s="4" t="s">
        <v>4069</v>
      </c>
      <c r="E461" s="4" t="s">
        <v>4054</v>
      </c>
      <c r="F461" s="4">
        <v>324.24</v>
      </c>
      <c r="G461" s="4" t="s">
        <v>64</v>
      </c>
      <c r="H461" s="4" t="s">
        <v>4059</v>
      </c>
      <c r="I461" s="4" t="s">
        <v>4070</v>
      </c>
      <c r="J461" s="4"/>
      <c r="K461" s="4">
        <f>VLOOKUP(G461,Exchange_Rates!A:B,2,FALSE)</f>
        <v>0.73</v>
      </c>
      <c r="L461" s="4">
        <f t="shared" si="7"/>
        <v>236.6952</v>
      </c>
    </row>
    <row r="462" spans="1:12" x14ac:dyDescent="0.25">
      <c r="A462" s="4" t="s">
        <v>4641</v>
      </c>
      <c r="B462" s="4" t="s">
        <v>4269</v>
      </c>
      <c r="C462" s="6">
        <v>45649</v>
      </c>
      <c r="D462" s="4" t="s">
        <v>4096</v>
      </c>
      <c r="E462" s="4" t="s">
        <v>4054</v>
      </c>
      <c r="F462" s="4">
        <v>383.65</v>
      </c>
      <c r="G462" s="4" t="s">
        <v>45</v>
      </c>
      <c r="H462" s="4" t="s">
        <v>4097</v>
      </c>
      <c r="I462" s="4" t="s">
        <v>4056</v>
      </c>
      <c r="J462" s="4"/>
      <c r="K462" s="4">
        <f>VLOOKUP(G462,Exchange_Rates!A:B,2,FALSE)</f>
        <v>1</v>
      </c>
      <c r="L462" s="4">
        <f t="shared" si="7"/>
        <v>383.65</v>
      </c>
    </row>
    <row r="463" spans="1:12" x14ac:dyDescent="0.25">
      <c r="A463" s="4" t="s">
        <v>4642</v>
      </c>
      <c r="B463" s="4" t="s">
        <v>4076</v>
      </c>
      <c r="C463" s="6">
        <v>45686</v>
      </c>
      <c r="D463" s="4" t="s">
        <v>4053</v>
      </c>
      <c r="E463" s="4" t="s">
        <v>4054</v>
      </c>
      <c r="F463" s="4">
        <v>788.82</v>
      </c>
      <c r="G463" s="4" t="s">
        <v>64</v>
      </c>
      <c r="H463" s="4" t="s">
        <v>4097</v>
      </c>
      <c r="I463" s="4" t="s">
        <v>4056</v>
      </c>
      <c r="J463" s="4"/>
      <c r="K463" s="4">
        <f>VLOOKUP(G463,Exchange_Rates!A:B,2,FALSE)</f>
        <v>0.73</v>
      </c>
      <c r="L463" s="4">
        <f t="shared" si="7"/>
        <v>575.83860000000004</v>
      </c>
    </row>
    <row r="464" spans="1:12" x14ac:dyDescent="0.25">
      <c r="A464" s="4" t="s">
        <v>4643</v>
      </c>
      <c r="B464" s="4" t="s">
        <v>4330</v>
      </c>
      <c r="C464" s="6">
        <v>45373</v>
      </c>
      <c r="D464" s="4" t="s">
        <v>4053</v>
      </c>
      <c r="E464" s="4" t="s">
        <v>4054</v>
      </c>
      <c r="F464" s="4">
        <v>722.25</v>
      </c>
      <c r="G464" s="4" t="s">
        <v>42</v>
      </c>
      <c r="H464" s="4" t="s">
        <v>4063</v>
      </c>
      <c r="I464" s="4" t="s">
        <v>4070</v>
      </c>
      <c r="J464" s="4"/>
      <c r="K464" s="4">
        <f>VLOOKUP(G464,Exchange_Rates!A:B,2,FALSE)</f>
        <v>0.66</v>
      </c>
      <c r="L464" s="4">
        <f t="shared" si="7"/>
        <v>476.685</v>
      </c>
    </row>
    <row r="465" spans="1:12" x14ac:dyDescent="0.25">
      <c r="A465" s="4" t="s">
        <v>4644</v>
      </c>
      <c r="B465" s="4" t="s">
        <v>4450</v>
      </c>
      <c r="C465" s="6">
        <v>45007</v>
      </c>
      <c r="D465" s="4" t="s">
        <v>4069</v>
      </c>
      <c r="E465" s="4" t="s">
        <v>4054</v>
      </c>
      <c r="F465" s="4">
        <v>392.37</v>
      </c>
      <c r="G465" s="4" t="s">
        <v>36</v>
      </c>
      <c r="H465" s="4" t="s">
        <v>4063</v>
      </c>
      <c r="I465" s="4" t="s">
        <v>4056</v>
      </c>
      <c r="J465" s="4"/>
      <c r="K465" s="4">
        <f>VLOOKUP(G465,Exchange_Rates!A:B,2,FALSE)</f>
        <v>1.08</v>
      </c>
      <c r="L465" s="4">
        <f t="shared" si="7"/>
        <v>423.75960000000003</v>
      </c>
    </row>
    <row r="466" spans="1:12" x14ac:dyDescent="0.25">
      <c r="A466" s="4" t="s">
        <v>4645</v>
      </c>
      <c r="B466" s="4" t="s">
        <v>4453</v>
      </c>
      <c r="C466" s="6">
        <v>45006</v>
      </c>
      <c r="D466" s="4" t="s">
        <v>4053</v>
      </c>
      <c r="E466" s="4" t="s">
        <v>4054</v>
      </c>
      <c r="F466" s="4">
        <v>643.05999999999995</v>
      </c>
      <c r="G466" s="4" t="s">
        <v>42</v>
      </c>
      <c r="H466" s="4" t="s">
        <v>4063</v>
      </c>
      <c r="I466" s="4" t="s">
        <v>4087</v>
      </c>
      <c r="J466" s="4"/>
      <c r="K466" s="4">
        <f>VLOOKUP(G466,Exchange_Rates!A:B,2,FALSE)</f>
        <v>0.66</v>
      </c>
      <c r="L466" s="4">
        <f t="shared" si="7"/>
        <v>424.4196</v>
      </c>
    </row>
    <row r="467" spans="1:12" x14ac:dyDescent="0.25">
      <c r="A467" s="4" t="s">
        <v>4646</v>
      </c>
      <c r="B467" s="4" t="s">
        <v>4244</v>
      </c>
      <c r="C467" s="6">
        <v>45114</v>
      </c>
      <c r="D467" s="4" t="s">
        <v>4096</v>
      </c>
      <c r="E467" s="4" t="s">
        <v>4054</v>
      </c>
      <c r="F467" s="4">
        <v>612.39</v>
      </c>
      <c r="G467" s="4" t="s">
        <v>64</v>
      </c>
      <c r="H467" s="4" t="s">
        <v>4063</v>
      </c>
      <c r="I467" s="4" t="s">
        <v>4087</v>
      </c>
      <c r="J467" s="4"/>
      <c r="K467" s="4">
        <f>VLOOKUP(G467,Exchange_Rates!A:B,2,FALSE)</f>
        <v>0.73</v>
      </c>
      <c r="L467" s="4">
        <f t="shared" si="7"/>
        <v>447.04469999999998</v>
      </c>
    </row>
    <row r="468" spans="1:12" x14ac:dyDescent="0.25">
      <c r="A468" s="4" t="s">
        <v>4647</v>
      </c>
      <c r="B468" s="4" t="s">
        <v>4199</v>
      </c>
      <c r="C468" s="6">
        <v>45641</v>
      </c>
      <c r="D468" s="4" t="s">
        <v>4053</v>
      </c>
      <c r="E468" s="4" t="s">
        <v>4054</v>
      </c>
      <c r="F468" s="4">
        <v>243.16</v>
      </c>
      <c r="G468" s="4" t="s">
        <v>64</v>
      </c>
      <c r="H468" s="4" t="s">
        <v>4055</v>
      </c>
      <c r="I468" s="4" t="s">
        <v>4070</v>
      </c>
      <c r="J468" s="6">
        <v>45656</v>
      </c>
      <c r="K468" s="4">
        <f>VLOOKUP(G468,Exchange_Rates!A:B,2,FALSE)</f>
        <v>0.73</v>
      </c>
      <c r="L468" s="4">
        <f t="shared" si="7"/>
        <v>177.5068</v>
      </c>
    </row>
    <row r="469" spans="1:12" x14ac:dyDescent="0.25">
      <c r="A469" s="4" t="s">
        <v>4648</v>
      </c>
      <c r="B469" s="4" t="s">
        <v>4164</v>
      </c>
      <c r="C469" s="6">
        <v>45268</v>
      </c>
      <c r="D469" s="4" t="s">
        <v>4053</v>
      </c>
      <c r="E469" s="4" t="s">
        <v>4054</v>
      </c>
      <c r="F469" s="4">
        <v>39.35</v>
      </c>
      <c r="G469" s="4" t="s">
        <v>64</v>
      </c>
      <c r="H469" s="4" t="s">
        <v>4059</v>
      </c>
      <c r="I469" s="4" t="s">
        <v>4087</v>
      </c>
      <c r="J469" s="4"/>
      <c r="K469" s="4">
        <f>VLOOKUP(G469,Exchange_Rates!A:B,2,FALSE)</f>
        <v>0.73</v>
      </c>
      <c r="L469" s="4">
        <f t="shared" si="7"/>
        <v>28.7255</v>
      </c>
    </row>
    <row r="470" spans="1:12" x14ac:dyDescent="0.25">
      <c r="A470" s="4" t="s">
        <v>4649</v>
      </c>
      <c r="B470" s="4" t="s">
        <v>4267</v>
      </c>
      <c r="C470" s="6">
        <v>45384</v>
      </c>
      <c r="D470" s="4" t="s">
        <v>4053</v>
      </c>
      <c r="E470" s="4" t="s">
        <v>4054</v>
      </c>
      <c r="F470" s="4">
        <v>622.29</v>
      </c>
      <c r="G470" s="4" t="s">
        <v>45</v>
      </c>
      <c r="H470" s="4" t="s">
        <v>4059</v>
      </c>
      <c r="I470" s="4" t="s">
        <v>4087</v>
      </c>
      <c r="J470" s="4"/>
      <c r="K470" s="4">
        <f>VLOOKUP(G470,Exchange_Rates!A:B,2,FALSE)</f>
        <v>1</v>
      </c>
      <c r="L470" s="4">
        <f t="shared" si="7"/>
        <v>622.29</v>
      </c>
    </row>
    <row r="471" spans="1:12" x14ac:dyDescent="0.25">
      <c r="A471" s="4" t="s">
        <v>4650</v>
      </c>
      <c r="B471" s="4" t="s">
        <v>4651</v>
      </c>
      <c r="C471" s="6">
        <v>45372</v>
      </c>
      <c r="D471" s="4" t="s">
        <v>4066</v>
      </c>
      <c r="E471" s="4" t="s">
        <v>4054</v>
      </c>
      <c r="F471" s="4">
        <v>378.33</v>
      </c>
      <c r="G471" s="4" t="s">
        <v>45</v>
      </c>
      <c r="H471" s="4" t="s">
        <v>4059</v>
      </c>
      <c r="I471" s="4" t="s">
        <v>4056</v>
      </c>
      <c r="J471" s="4"/>
      <c r="K471" s="4">
        <f>VLOOKUP(G471,Exchange_Rates!A:B,2,FALSE)</f>
        <v>1</v>
      </c>
      <c r="L471" s="4">
        <f t="shared" si="7"/>
        <v>378.33</v>
      </c>
    </row>
    <row r="472" spans="1:12" x14ac:dyDescent="0.25">
      <c r="A472" s="4" t="s">
        <v>4652</v>
      </c>
      <c r="B472" s="4" t="s">
        <v>4253</v>
      </c>
      <c r="C472" s="6">
        <v>45440</v>
      </c>
      <c r="D472" s="4" t="s">
        <v>4053</v>
      </c>
      <c r="E472" s="4" t="s">
        <v>4054</v>
      </c>
      <c r="F472" s="4">
        <v>84.1</v>
      </c>
      <c r="G472" s="4" t="s">
        <v>36</v>
      </c>
      <c r="H472" s="4" t="s">
        <v>4097</v>
      </c>
      <c r="I472" s="4" t="s">
        <v>4056</v>
      </c>
      <c r="J472" s="4"/>
      <c r="K472" s="4">
        <f>VLOOKUP(G472,Exchange_Rates!A:B,2,FALSE)</f>
        <v>1.08</v>
      </c>
      <c r="L472" s="4">
        <f t="shared" si="7"/>
        <v>90.828000000000003</v>
      </c>
    </row>
    <row r="473" spans="1:12" x14ac:dyDescent="0.25">
      <c r="A473" s="4" t="s">
        <v>4653</v>
      </c>
      <c r="B473" s="4" t="s">
        <v>4304</v>
      </c>
      <c r="C473" s="6">
        <v>45277</v>
      </c>
      <c r="D473" s="4" t="s">
        <v>4066</v>
      </c>
      <c r="E473" s="4" t="s">
        <v>4054</v>
      </c>
      <c r="F473" s="4">
        <v>453.7</v>
      </c>
      <c r="G473" s="4" t="s">
        <v>45</v>
      </c>
      <c r="H473" s="4" t="s">
        <v>4055</v>
      </c>
      <c r="I473" s="4" t="s">
        <v>4070</v>
      </c>
      <c r="J473" s="6">
        <v>45292</v>
      </c>
      <c r="K473" s="4">
        <f>VLOOKUP(G473,Exchange_Rates!A:B,2,FALSE)</f>
        <v>1</v>
      </c>
      <c r="L473" s="4">
        <f t="shared" si="7"/>
        <v>453.7</v>
      </c>
    </row>
    <row r="474" spans="1:12" x14ac:dyDescent="0.25">
      <c r="A474" s="4" t="s">
        <v>4654</v>
      </c>
      <c r="B474" s="4" t="s">
        <v>4058</v>
      </c>
      <c r="C474" s="6">
        <v>45031</v>
      </c>
      <c r="D474" s="4" t="s">
        <v>4062</v>
      </c>
      <c r="E474" s="4" t="s">
        <v>4054</v>
      </c>
      <c r="F474" s="4">
        <v>471.63</v>
      </c>
      <c r="G474" s="4" t="s">
        <v>42</v>
      </c>
      <c r="H474" s="4" t="s">
        <v>4097</v>
      </c>
      <c r="I474" s="4" t="s">
        <v>4087</v>
      </c>
      <c r="J474" s="4"/>
      <c r="K474" s="4">
        <f>VLOOKUP(G474,Exchange_Rates!A:B,2,FALSE)</f>
        <v>0.66</v>
      </c>
      <c r="L474" s="4">
        <f t="shared" si="7"/>
        <v>311.2758</v>
      </c>
    </row>
    <row r="475" spans="1:12" x14ac:dyDescent="0.25">
      <c r="A475" s="4" t="s">
        <v>4655</v>
      </c>
      <c r="B475" s="4" t="s">
        <v>4065</v>
      </c>
      <c r="C475" s="6">
        <v>45206</v>
      </c>
      <c r="D475" s="4" t="s">
        <v>4062</v>
      </c>
      <c r="E475" s="4" t="s">
        <v>4054</v>
      </c>
      <c r="F475" s="4">
        <v>355.89</v>
      </c>
      <c r="G475" s="4" t="s">
        <v>64</v>
      </c>
      <c r="H475" s="4" t="s">
        <v>4055</v>
      </c>
      <c r="I475" s="4" t="s">
        <v>4056</v>
      </c>
      <c r="J475" s="6">
        <v>45221</v>
      </c>
      <c r="K475" s="4">
        <f>VLOOKUP(G475,Exchange_Rates!A:B,2,FALSE)</f>
        <v>0.73</v>
      </c>
      <c r="L475" s="4">
        <f t="shared" si="7"/>
        <v>259.79969999999997</v>
      </c>
    </row>
    <row r="476" spans="1:12" x14ac:dyDescent="0.25">
      <c r="A476" s="4" t="s">
        <v>4656</v>
      </c>
      <c r="B476" s="4" t="s">
        <v>4520</v>
      </c>
      <c r="C476" s="6">
        <v>45513</v>
      </c>
      <c r="D476" s="4" t="s">
        <v>4096</v>
      </c>
      <c r="E476" s="4" t="s">
        <v>4054</v>
      </c>
      <c r="F476" s="4">
        <v>736.57</v>
      </c>
      <c r="G476" s="4" t="s">
        <v>36</v>
      </c>
      <c r="H476" s="4" t="s">
        <v>4055</v>
      </c>
      <c r="I476" s="4" t="s">
        <v>4087</v>
      </c>
      <c r="J476" s="6">
        <v>45528</v>
      </c>
      <c r="K476" s="4">
        <f>VLOOKUP(G476,Exchange_Rates!A:B,2,FALSE)</f>
        <v>1.08</v>
      </c>
      <c r="L476" s="4">
        <f t="shared" si="7"/>
        <v>795.49560000000008</v>
      </c>
    </row>
    <row r="477" spans="1:12" x14ac:dyDescent="0.25">
      <c r="A477" s="4" t="s">
        <v>4657</v>
      </c>
      <c r="B477" s="4" t="s">
        <v>4176</v>
      </c>
      <c r="C477" s="6">
        <v>45230</v>
      </c>
      <c r="D477" s="4" t="s">
        <v>4062</v>
      </c>
      <c r="E477" s="4" t="s">
        <v>4054</v>
      </c>
      <c r="F477" s="4">
        <v>485.15</v>
      </c>
      <c r="G477" s="4" t="s">
        <v>28</v>
      </c>
      <c r="H477" s="4" t="s">
        <v>4097</v>
      </c>
      <c r="I477" s="4" t="s">
        <v>4056</v>
      </c>
      <c r="J477" s="4"/>
      <c r="K477" s="4">
        <f>VLOOKUP(G477,Exchange_Rates!A:B,2,FALSE)</f>
        <v>1.27</v>
      </c>
      <c r="L477" s="4">
        <f t="shared" si="7"/>
        <v>616.14049999999997</v>
      </c>
    </row>
    <row r="478" spans="1:12" x14ac:dyDescent="0.25">
      <c r="A478" s="4" t="s">
        <v>4658</v>
      </c>
      <c r="B478" s="4" t="s">
        <v>4132</v>
      </c>
      <c r="C478" s="6">
        <v>45798</v>
      </c>
      <c r="D478" s="4" t="s">
        <v>4066</v>
      </c>
      <c r="E478" s="4" t="s">
        <v>4054</v>
      </c>
      <c r="F478" s="4">
        <v>794.54</v>
      </c>
      <c r="G478" s="4" t="s">
        <v>42</v>
      </c>
      <c r="H478" s="4" t="s">
        <v>4063</v>
      </c>
      <c r="I478" s="4" t="s">
        <v>4087</v>
      </c>
      <c r="J478" s="4"/>
      <c r="K478" s="4">
        <f>VLOOKUP(G478,Exchange_Rates!A:B,2,FALSE)</f>
        <v>0.66</v>
      </c>
      <c r="L478" s="4">
        <f t="shared" si="7"/>
        <v>524.39639999999997</v>
      </c>
    </row>
    <row r="479" spans="1:12" x14ac:dyDescent="0.25">
      <c r="A479" s="4" t="s">
        <v>4659</v>
      </c>
      <c r="B479" s="4" t="s">
        <v>4387</v>
      </c>
      <c r="C479" s="6">
        <v>45434</v>
      </c>
      <c r="D479" s="4" t="s">
        <v>4066</v>
      </c>
      <c r="E479" s="4" t="s">
        <v>4054</v>
      </c>
      <c r="F479" s="4">
        <v>425.12</v>
      </c>
      <c r="G479" s="4" t="s">
        <v>45</v>
      </c>
      <c r="H479" s="4" t="s">
        <v>4055</v>
      </c>
      <c r="I479" s="4" t="s">
        <v>4056</v>
      </c>
      <c r="J479" s="6">
        <v>45449</v>
      </c>
      <c r="K479" s="4">
        <f>VLOOKUP(G479,Exchange_Rates!A:B,2,FALSE)</f>
        <v>1</v>
      </c>
      <c r="L479" s="4">
        <f t="shared" si="7"/>
        <v>425.12</v>
      </c>
    </row>
    <row r="480" spans="1:12" x14ac:dyDescent="0.25">
      <c r="A480" s="4" t="s">
        <v>4660</v>
      </c>
      <c r="B480" s="4" t="s">
        <v>4148</v>
      </c>
      <c r="C480" s="6">
        <v>45388</v>
      </c>
      <c r="D480" s="4" t="s">
        <v>4066</v>
      </c>
      <c r="E480" s="4" t="s">
        <v>4054</v>
      </c>
      <c r="F480" s="4">
        <v>544.86</v>
      </c>
      <c r="G480" s="4" t="s">
        <v>36</v>
      </c>
      <c r="H480" s="4" t="s">
        <v>4059</v>
      </c>
      <c r="I480" s="4" t="s">
        <v>4087</v>
      </c>
      <c r="J480" s="4"/>
      <c r="K480" s="4">
        <f>VLOOKUP(G480,Exchange_Rates!A:B,2,FALSE)</f>
        <v>1.08</v>
      </c>
      <c r="L480" s="4">
        <f t="shared" si="7"/>
        <v>588.44880000000001</v>
      </c>
    </row>
    <row r="481" spans="1:12" x14ac:dyDescent="0.25">
      <c r="A481" s="4" t="s">
        <v>4661</v>
      </c>
      <c r="B481" s="4" t="s">
        <v>4393</v>
      </c>
      <c r="C481" s="6">
        <v>45598</v>
      </c>
      <c r="D481" s="4" t="s">
        <v>4053</v>
      </c>
      <c r="E481" s="4" t="s">
        <v>4054</v>
      </c>
      <c r="F481" s="4">
        <v>694.97</v>
      </c>
      <c r="G481" s="4" t="s">
        <v>45</v>
      </c>
      <c r="H481" s="4" t="s">
        <v>4059</v>
      </c>
      <c r="I481" s="4" t="s">
        <v>4056</v>
      </c>
      <c r="J481" s="4"/>
      <c r="K481" s="4">
        <f>VLOOKUP(G481,Exchange_Rates!A:B,2,FALSE)</f>
        <v>1</v>
      </c>
      <c r="L481" s="4">
        <f t="shared" si="7"/>
        <v>694.97</v>
      </c>
    </row>
    <row r="482" spans="1:12" x14ac:dyDescent="0.25">
      <c r="A482" s="4" t="s">
        <v>4662</v>
      </c>
      <c r="B482" s="4" t="s">
        <v>4199</v>
      </c>
      <c r="C482" s="6">
        <v>45434</v>
      </c>
      <c r="D482" s="4" t="s">
        <v>4053</v>
      </c>
      <c r="E482" s="4" t="s">
        <v>4054</v>
      </c>
      <c r="F482" s="4">
        <v>84.01</v>
      </c>
      <c r="G482" s="4" t="s">
        <v>45</v>
      </c>
      <c r="H482" s="4" t="s">
        <v>4055</v>
      </c>
      <c r="I482" s="4" t="s">
        <v>4087</v>
      </c>
      <c r="J482" s="6">
        <v>45449</v>
      </c>
      <c r="K482" s="4">
        <f>VLOOKUP(G482,Exchange_Rates!A:B,2,FALSE)</f>
        <v>1</v>
      </c>
      <c r="L482" s="4">
        <f t="shared" si="7"/>
        <v>84.01</v>
      </c>
    </row>
    <row r="483" spans="1:12" x14ac:dyDescent="0.25">
      <c r="A483" s="4" t="s">
        <v>4663</v>
      </c>
      <c r="B483" s="4" t="s">
        <v>4421</v>
      </c>
      <c r="C483" s="6">
        <v>45314</v>
      </c>
      <c r="D483" s="4" t="s">
        <v>4096</v>
      </c>
      <c r="E483" s="4" t="s">
        <v>4054</v>
      </c>
      <c r="F483" s="4">
        <v>796.12</v>
      </c>
      <c r="G483" s="4" t="s">
        <v>64</v>
      </c>
      <c r="H483" s="4" t="s">
        <v>4055</v>
      </c>
      <c r="I483" s="4" t="s">
        <v>4056</v>
      </c>
      <c r="J483" s="6">
        <v>45329</v>
      </c>
      <c r="K483" s="4">
        <f>VLOOKUP(G483,Exchange_Rates!A:B,2,FALSE)</f>
        <v>0.73</v>
      </c>
      <c r="L483" s="4">
        <f t="shared" si="7"/>
        <v>581.16759999999999</v>
      </c>
    </row>
    <row r="484" spans="1:12" x14ac:dyDescent="0.25">
      <c r="A484" s="4" t="s">
        <v>4664</v>
      </c>
      <c r="B484" s="4" t="s">
        <v>4453</v>
      </c>
      <c r="C484" s="6">
        <v>45569</v>
      </c>
      <c r="D484" s="4" t="s">
        <v>4062</v>
      </c>
      <c r="E484" s="4" t="s">
        <v>4054</v>
      </c>
      <c r="F484" s="4">
        <v>459.71</v>
      </c>
      <c r="G484" s="4" t="s">
        <v>45</v>
      </c>
      <c r="H484" s="4" t="s">
        <v>4063</v>
      </c>
      <c r="I484" s="4" t="s">
        <v>4087</v>
      </c>
      <c r="J484" s="4"/>
      <c r="K484" s="4">
        <f>VLOOKUP(G484,Exchange_Rates!A:B,2,FALSE)</f>
        <v>1</v>
      </c>
      <c r="L484" s="4">
        <f t="shared" si="7"/>
        <v>459.71</v>
      </c>
    </row>
    <row r="485" spans="1:12" x14ac:dyDescent="0.25">
      <c r="A485" s="4" t="s">
        <v>4665</v>
      </c>
      <c r="B485" s="4" t="s">
        <v>4145</v>
      </c>
      <c r="C485" s="6">
        <v>45766</v>
      </c>
      <c r="D485" s="4" t="s">
        <v>4069</v>
      </c>
      <c r="E485" s="4" t="s">
        <v>4054</v>
      </c>
      <c r="F485" s="4">
        <v>437.28</v>
      </c>
      <c r="G485" s="4" t="s">
        <v>45</v>
      </c>
      <c r="H485" s="4" t="s">
        <v>4097</v>
      </c>
      <c r="I485" s="4" t="s">
        <v>4087</v>
      </c>
      <c r="J485" s="4"/>
      <c r="K485" s="4">
        <f>VLOOKUP(G485,Exchange_Rates!A:B,2,FALSE)</f>
        <v>1</v>
      </c>
      <c r="L485" s="4">
        <f t="shared" si="7"/>
        <v>437.28</v>
      </c>
    </row>
    <row r="486" spans="1:12" x14ac:dyDescent="0.25">
      <c r="A486" s="4" t="s">
        <v>4666</v>
      </c>
      <c r="B486" s="4" t="s">
        <v>4132</v>
      </c>
      <c r="C486" s="6">
        <v>45150</v>
      </c>
      <c r="D486" s="4" t="s">
        <v>4096</v>
      </c>
      <c r="E486" s="4" t="s">
        <v>4054</v>
      </c>
      <c r="F486" s="4">
        <v>441.58</v>
      </c>
      <c r="G486" s="4" t="s">
        <v>64</v>
      </c>
      <c r="H486" s="4" t="s">
        <v>4055</v>
      </c>
      <c r="I486" s="4" t="s">
        <v>4087</v>
      </c>
      <c r="J486" s="6">
        <v>45165</v>
      </c>
      <c r="K486" s="4">
        <f>VLOOKUP(G486,Exchange_Rates!A:B,2,FALSE)</f>
        <v>0.73</v>
      </c>
      <c r="L486" s="4">
        <f t="shared" si="7"/>
        <v>322.35339999999997</v>
      </c>
    </row>
    <row r="487" spans="1:12" x14ac:dyDescent="0.25">
      <c r="A487" s="4" t="s">
        <v>4667</v>
      </c>
      <c r="B487" s="4" t="s">
        <v>4345</v>
      </c>
      <c r="C487" s="6">
        <v>45507</v>
      </c>
      <c r="D487" s="4" t="s">
        <v>4066</v>
      </c>
      <c r="E487" s="4" t="s">
        <v>4054</v>
      </c>
      <c r="F487" s="4">
        <v>200.74</v>
      </c>
      <c r="G487" s="4" t="s">
        <v>36</v>
      </c>
      <c r="H487" s="4" t="s">
        <v>4063</v>
      </c>
      <c r="I487" s="4" t="s">
        <v>4056</v>
      </c>
      <c r="J487" s="4"/>
      <c r="K487" s="4">
        <f>VLOOKUP(G487,Exchange_Rates!A:B,2,FALSE)</f>
        <v>1.08</v>
      </c>
      <c r="L487" s="4">
        <f t="shared" si="7"/>
        <v>216.79920000000001</v>
      </c>
    </row>
    <row r="488" spans="1:12" x14ac:dyDescent="0.25">
      <c r="A488" s="4" t="s">
        <v>4668</v>
      </c>
      <c r="B488" s="4" t="s">
        <v>4138</v>
      </c>
      <c r="C488" s="6">
        <v>45424</v>
      </c>
      <c r="D488" s="4" t="s">
        <v>4062</v>
      </c>
      <c r="E488" s="4" t="s">
        <v>4054</v>
      </c>
      <c r="F488" s="4">
        <v>562.29999999999995</v>
      </c>
      <c r="G488" s="4" t="s">
        <v>28</v>
      </c>
      <c r="H488" s="4" t="s">
        <v>4063</v>
      </c>
      <c r="I488" s="4" t="s">
        <v>4087</v>
      </c>
      <c r="J488" s="4"/>
      <c r="K488" s="4">
        <f>VLOOKUP(G488,Exchange_Rates!A:B,2,FALSE)</f>
        <v>1.27</v>
      </c>
      <c r="L488" s="4">
        <f t="shared" si="7"/>
        <v>714.12099999999998</v>
      </c>
    </row>
    <row r="489" spans="1:12" x14ac:dyDescent="0.25">
      <c r="A489" s="4" t="s">
        <v>4669</v>
      </c>
      <c r="B489" s="4" t="s">
        <v>4117</v>
      </c>
      <c r="C489" s="6">
        <v>45022</v>
      </c>
      <c r="D489" s="4" t="s">
        <v>4062</v>
      </c>
      <c r="E489" s="4" t="s">
        <v>4054</v>
      </c>
      <c r="F489" s="4">
        <v>669.99</v>
      </c>
      <c r="G489" s="4" t="s">
        <v>64</v>
      </c>
      <c r="H489" s="4" t="s">
        <v>4059</v>
      </c>
      <c r="I489" s="4" t="s">
        <v>4056</v>
      </c>
      <c r="J489" s="4"/>
      <c r="K489" s="4">
        <f>VLOOKUP(G489,Exchange_Rates!A:B,2,FALSE)</f>
        <v>0.73</v>
      </c>
      <c r="L489" s="4">
        <f t="shared" si="7"/>
        <v>489.09269999999998</v>
      </c>
    </row>
    <row r="490" spans="1:12" x14ac:dyDescent="0.25">
      <c r="A490" s="4" t="s">
        <v>4670</v>
      </c>
      <c r="B490" s="4" t="s">
        <v>4156</v>
      </c>
      <c r="C490" s="6">
        <v>45098</v>
      </c>
      <c r="D490" s="4" t="s">
        <v>4062</v>
      </c>
      <c r="E490" s="4" t="s">
        <v>4054</v>
      </c>
      <c r="F490" s="4">
        <v>270.24</v>
      </c>
      <c r="G490" s="4" t="s">
        <v>64</v>
      </c>
      <c r="H490" s="4" t="s">
        <v>4059</v>
      </c>
      <c r="I490" s="4" t="s">
        <v>4056</v>
      </c>
      <c r="J490" s="4"/>
      <c r="K490" s="4">
        <f>VLOOKUP(G490,Exchange_Rates!A:B,2,FALSE)</f>
        <v>0.73</v>
      </c>
      <c r="L490" s="4">
        <f t="shared" si="7"/>
        <v>197.27520000000001</v>
      </c>
    </row>
    <row r="491" spans="1:12" x14ac:dyDescent="0.25">
      <c r="A491" s="4" t="s">
        <v>4671</v>
      </c>
      <c r="B491" s="4" t="s">
        <v>4143</v>
      </c>
      <c r="C491" s="6">
        <v>45017</v>
      </c>
      <c r="D491" s="4" t="s">
        <v>4053</v>
      </c>
      <c r="E491" s="4" t="s">
        <v>4054</v>
      </c>
      <c r="F491" s="4">
        <v>221.88</v>
      </c>
      <c r="G491" s="4" t="s">
        <v>28</v>
      </c>
      <c r="H491" s="4" t="s">
        <v>4059</v>
      </c>
      <c r="I491" s="4" t="s">
        <v>4087</v>
      </c>
      <c r="J491" s="4"/>
      <c r="K491" s="4">
        <f>VLOOKUP(G491,Exchange_Rates!A:B,2,FALSE)</f>
        <v>1.27</v>
      </c>
      <c r="L491" s="4">
        <f t="shared" si="7"/>
        <v>281.7876</v>
      </c>
    </row>
    <row r="492" spans="1:12" x14ac:dyDescent="0.25">
      <c r="A492" s="4" t="s">
        <v>4672</v>
      </c>
      <c r="B492" s="4" t="s">
        <v>4405</v>
      </c>
      <c r="C492" s="6">
        <v>45033</v>
      </c>
      <c r="D492" s="4" t="s">
        <v>4096</v>
      </c>
      <c r="E492" s="4" t="s">
        <v>4054</v>
      </c>
      <c r="F492" s="4">
        <v>39.700000000000003</v>
      </c>
      <c r="G492" s="4" t="s">
        <v>42</v>
      </c>
      <c r="H492" s="4" t="s">
        <v>4097</v>
      </c>
      <c r="I492" s="4" t="s">
        <v>4087</v>
      </c>
      <c r="J492" s="4"/>
      <c r="K492" s="4">
        <f>VLOOKUP(G492,Exchange_Rates!A:B,2,FALSE)</f>
        <v>0.66</v>
      </c>
      <c r="L492" s="4">
        <f t="shared" si="7"/>
        <v>26.202000000000002</v>
      </c>
    </row>
    <row r="493" spans="1:12" x14ac:dyDescent="0.25">
      <c r="A493" s="4" t="s">
        <v>4673</v>
      </c>
      <c r="B493" s="4" t="s">
        <v>4052</v>
      </c>
      <c r="C493" s="6">
        <v>45123</v>
      </c>
      <c r="D493" s="4" t="s">
        <v>4096</v>
      </c>
      <c r="E493" s="4" t="s">
        <v>4054</v>
      </c>
      <c r="F493" s="4">
        <v>457.5</v>
      </c>
      <c r="G493" s="4" t="s">
        <v>42</v>
      </c>
      <c r="H493" s="4" t="s">
        <v>4059</v>
      </c>
      <c r="I493" s="4" t="s">
        <v>4070</v>
      </c>
      <c r="J493" s="4"/>
      <c r="K493" s="4">
        <f>VLOOKUP(G493,Exchange_Rates!A:B,2,FALSE)</f>
        <v>0.66</v>
      </c>
      <c r="L493" s="4">
        <f t="shared" si="7"/>
        <v>301.95</v>
      </c>
    </row>
    <row r="494" spans="1:12" x14ac:dyDescent="0.25">
      <c r="A494" s="4" t="s">
        <v>4674</v>
      </c>
      <c r="B494" s="4" t="s">
        <v>4419</v>
      </c>
      <c r="C494" s="6">
        <v>45555</v>
      </c>
      <c r="D494" s="4" t="s">
        <v>4069</v>
      </c>
      <c r="E494" s="4" t="s">
        <v>4054</v>
      </c>
      <c r="F494" s="4">
        <v>777.5</v>
      </c>
      <c r="G494" s="4" t="s">
        <v>36</v>
      </c>
      <c r="H494" s="4" t="s">
        <v>4055</v>
      </c>
      <c r="I494" s="4" t="s">
        <v>4056</v>
      </c>
      <c r="J494" s="6">
        <v>45570</v>
      </c>
      <c r="K494" s="4">
        <f>VLOOKUP(G494,Exchange_Rates!A:B,2,FALSE)</f>
        <v>1.08</v>
      </c>
      <c r="L494" s="4">
        <f t="shared" si="7"/>
        <v>839.7</v>
      </c>
    </row>
    <row r="495" spans="1:12" x14ac:dyDescent="0.25">
      <c r="A495" s="4" t="s">
        <v>4675</v>
      </c>
      <c r="B495" s="4" t="s">
        <v>4385</v>
      </c>
      <c r="C495" s="6">
        <v>45291</v>
      </c>
      <c r="D495" s="4" t="s">
        <v>4066</v>
      </c>
      <c r="E495" s="4" t="s">
        <v>4054</v>
      </c>
      <c r="F495" s="4">
        <v>742.49</v>
      </c>
      <c r="G495" s="4" t="s">
        <v>28</v>
      </c>
      <c r="H495" s="4" t="s">
        <v>4055</v>
      </c>
      <c r="I495" s="4" t="s">
        <v>4056</v>
      </c>
      <c r="J495" s="6">
        <v>45306</v>
      </c>
      <c r="K495" s="4">
        <f>VLOOKUP(G495,Exchange_Rates!A:B,2,FALSE)</f>
        <v>1.27</v>
      </c>
      <c r="L495" s="4">
        <f t="shared" si="7"/>
        <v>942.96230000000003</v>
      </c>
    </row>
    <row r="496" spans="1:12" x14ac:dyDescent="0.25">
      <c r="A496" s="4" t="s">
        <v>4676</v>
      </c>
      <c r="B496" s="4" t="s">
        <v>4143</v>
      </c>
      <c r="C496" s="6">
        <v>45035</v>
      </c>
      <c r="D496" s="4" t="s">
        <v>4066</v>
      </c>
      <c r="E496" s="4" t="s">
        <v>4054</v>
      </c>
      <c r="F496" s="4">
        <v>183.02</v>
      </c>
      <c r="G496" s="4" t="s">
        <v>28</v>
      </c>
      <c r="H496" s="4" t="s">
        <v>4097</v>
      </c>
      <c r="I496" s="4" t="s">
        <v>4070</v>
      </c>
      <c r="J496" s="4"/>
      <c r="K496" s="4">
        <f>VLOOKUP(G496,Exchange_Rates!A:B,2,FALSE)</f>
        <v>1.27</v>
      </c>
      <c r="L496" s="4">
        <f t="shared" si="7"/>
        <v>232.43540000000002</v>
      </c>
    </row>
    <row r="497" spans="1:12" x14ac:dyDescent="0.25">
      <c r="A497" s="4" t="s">
        <v>4677</v>
      </c>
      <c r="B497" s="4" t="s">
        <v>4136</v>
      </c>
      <c r="C497" s="6">
        <v>45707</v>
      </c>
      <c r="D497" s="4" t="s">
        <v>4066</v>
      </c>
      <c r="E497" s="4" t="s">
        <v>4054</v>
      </c>
      <c r="F497" s="4">
        <v>763.71</v>
      </c>
      <c r="G497" s="4" t="s">
        <v>42</v>
      </c>
      <c r="H497" s="4" t="s">
        <v>4063</v>
      </c>
      <c r="I497" s="4" t="s">
        <v>4087</v>
      </c>
      <c r="J497" s="4"/>
      <c r="K497" s="4">
        <f>VLOOKUP(G497,Exchange_Rates!A:B,2,FALSE)</f>
        <v>0.66</v>
      </c>
      <c r="L497" s="4">
        <f t="shared" si="7"/>
        <v>504.04860000000002</v>
      </c>
    </row>
    <row r="498" spans="1:12" x14ac:dyDescent="0.25">
      <c r="A498" s="4" t="s">
        <v>4678</v>
      </c>
      <c r="B498" s="4" t="s">
        <v>4129</v>
      </c>
      <c r="C498" s="6">
        <v>45022</v>
      </c>
      <c r="D498" s="4" t="s">
        <v>4069</v>
      </c>
      <c r="E498" s="4" t="s">
        <v>4054</v>
      </c>
      <c r="F498" s="4">
        <v>349.39</v>
      </c>
      <c r="G498" s="4" t="s">
        <v>42</v>
      </c>
      <c r="H498" s="4" t="s">
        <v>4063</v>
      </c>
      <c r="I498" s="4" t="s">
        <v>4056</v>
      </c>
      <c r="J498" s="4"/>
      <c r="K498" s="4">
        <f>VLOOKUP(G498,Exchange_Rates!A:B,2,FALSE)</f>
        <v>0.66</v>
      </c>
      <c r="L498" s="4">
        <f t="shared" si="7"/>
        <v>230.59739999999999</v>
      </c>
    </row>
    <row r="499" spans="1:12" x14ac:dyDescent="0.25">
      <c r="A499" s="4" t="s">
        <v>4679</v>
      </c>
      <c r="B499" s="4" t="s">
        <v>4154</v>
      </c>
      <c r="C499" s="6">
        <v>45355</v>
      </c>
      <c r="D499" s="4" t="s">
        <v>4053</v>
      </c>
      <c r="E499" s="4" t="s">
        <v>4054</v>
      </c>
      <c r="F499" s="4">
        <v>669.63</v>
      </c>
      <c r="G499" s="4" t="s">
        <v>36</v>
      </c>
      <c r="H499" s="4" t="s">
        <v>4059</v>
      </c>
      <c r="I499" s="4" t="s">
        <v>4070</v>
      </c>
      <c r="J499" s="4"/>
      <c r="K499" s="4">
        <f>VLOOKUP(G499,Exchange_Rates!A:B,2,FALSE)</f>
        <v>1.08</v>
      </c>
      <c r="L499" s="4">
        <f t="shared" si="7"/>
        <v>723.20040000000006</v>
      </c>
    </row>
    <row r="500" spans="1:12" x14ac:dyDescent="0.25">
      <c r="A500" s="4" t="s">
        <v>4680</v>
      </c>
      <c r="B500" s="4" t="s">
        <v>4112</v>
      </c>
      <c r="C500" s="6">
        <v>45533</v>
      </c>
      <c r="D500" s="4" t="s">
        <v>4053</v>
      </c>
      <c r="E500" s="4" t="s">
        <v>4054</v>
      </c>
      <c r="F500" s="4">
        <v>656.17</v>
      </c>
      <c r="G500" s="4" t="s">
        <v>28</v>
      </c>
      <c r="H500" s="4" t="s">
        <v>4055</v>
      </c>
      <c r="I500" s="4" t="s">
        <v>4070</v>
      </c>
      <c r="J500" s="6">
        <v>45548</v>
      </c>
      <c r="K500" s="4">
        <f>VLOOKUP(G500,Exchange_Rates!A:B,2,FALSE)</f>
        <v>1.27</v>
      </c>
      <c r="L500" s="4">
        <f t="shared" si="7"/>
        <v>833.33589999999992</v>
      </c>
    </row>
    <row r="501" spans="1:12" x14ac:dyDescent="0.25">
      <c r="A501" s="4" t="s">
        <v>4681</v>
      </c>
      <c r="B501" s="4" t="s">
        <v>4295</v>
      </c>
      <c r="C501" s="6">
        <v>45257</v>
      </c>
      <c r="D501" s="4" t="s">
        <v>4069</v>
      </c>
      <c r="E501" s="4" t="s">
        <v>4054</v>
      </c>
      <c r="F501" s="4">
        <v>352.63</v>
      </c>
      <c r="G501" s="4" t="s">
        <v>45</v>
      </c>
      <c r="H501" s="4" t="s">
        <v>4059</v>
      </c>
      <c r="I501" s="4" t="s">
        <v>4087</v>
      </c>
      <c r="J501" s="4"/>
      <c r="K501" s="4">
        <f>VLOOKUP(G501,Exchange_Rates!A:B,2,FALSE)</f>
        <v>1</v>
      </c>
      <c r="L501" s="4">
        <f t="shared" si="7"/>
        <v>352.63</v>
      </c>
    </row>
    <row r="502" spans="1:12" x14ac:dyDescent="0.25">
      <c r="A502" s="4" t="s">
        <v>4682</v>
      </c>
      <c r="B502" s="4" t="s">
        <v>4448</v>
      </c>
      <c r="C502" s="6">
        <v>45728</v>
      </c>
      <c r="D502" s="4" t="s">
        <v>4066</v>
      </c>
      <c r="E502" s="4" t="s">
        <v>4054</v>
      </c>
      <c r="F502" s="4">
        <v>539.69000000000005</v>
      </c>
      <c r="G502" s="4" t="s">
        <v>42</v>
      </c>
      <c r="H502" s="4" t="s">
        <v>4059</v>
      </c>
      <c r="I502" s="4" t="s">
        <v>4070</v>
      </c>
      <c r="J502" s="4"/>
      <c r="K502" s="4">
        <f>VLOOKUP(G502,Exchange_Rates!A:B,2,FALSE)</f>
        <v>0.66</v>
      </c>
      <c r="L502" s="4">
        <f t="shared" si="7"/>
        <v>356.19540000000006</v>
      </c>
    </row>
    <row r="503" spans="1:12" x14ac:dyDescent="0.25">
      <c r="A503" s="4" t="s">
        <v>4683</v>
      </c>
      <c r="B503" s="4" t="s">
        <v>4225</v>
      </c>
      <c r="C503" s="6">
        <v>45344</v>
      </c>
      <c r="D503" s="4" t="s">
        <v>4066</v>
      </c>
      <c r="E503" s="4" t="s">
        <v>4054</v>
      </c>
      <c r="F503" s="4">
        <v>686.51</v>
      </c>
      <c r="G503" s="4" t="s">
        <v>28</v>
      </c>
      <c r="H503" s="4" t="s">
        <v>4055</v>
      </c>
      <c r="I503" s="4" t="s">
        <v>4070</v>
      </c>
      <c r="J503" s="6">
        <v>45359</v>
      </c>
      <c r="K503" s="4">
        <f>VLOOKUP(G503,Exchange_Rates!A:B,2,FALSE)</f>
        <v>1.27</v>
      </c>
      <c r="L503" s="4">
        <f t="shared" si="7"/>
        <v>871.86770000000001</v>
      </c>
    </row>
    <row r="504" spans="1:12" x14ac:dyDescent="0.25">
      <c r="A504" s="4" t="s">
        <v>4684</v>
      </c>
      <c r="B504" s="4" t="s">
        <v>4258</v>
      </c>
      <c r="C504" s="6">
        <v>45740</v>
      </c>
      <c r="D504" s="4" t="s">
        <v>4066</v>
      </c>
      <c r="E504" s="4" t="s">
        <v>4054</v>
      </c>
      <c r="F504" s="4">
        <v>177.96</v>
      </c>
      <c r="G504" s="4" t="s">
        <v>36</v>
      </c>
      <c r="H504" s="4" t="s">
        <v>4097</v>
      </c>
      <c r="I504" s="4" t="s">
        <v>4056</v>
      </c>
      <c r="J504" s="4"/>
      <c r="K504" s="4">
        <f>VLOOKUP(G504,Exchange_Rates!A:B,2,FALSE)</f>
        <v>1.08</v>
      </c>
      <c r="L504" s="4">
        <f t="shared" si="7"/>
        <v>192.19680000000002</v>
      </c>
    </row>
    <row r="505" spans="1:12" x14ac:dyDescent="0.25">
      <c r="A505" s="4" t="s">
        <v>4685</v>
      </c>
      <c r="B505" s="4" t="s">
        <v>4072</v>
      </c>
      <c r="C505" s="6">
        <v>45177</v>
      </c>
      <c r="D505" s="4" t="s">
        <v>4096</v>
      </c>
      <c r="E505" s="4" t="s">
        <v>4054</v>
      </c>
      <c r="F505" s="4">
        <v>276.61</v>
      </c>
      <c r="G505" s="4" t="s">
        <v>28</v>
      </c>
      <c r="H505" s="4" t="s">
        <v>4055</v>
      </c>
      <c r="I505" s="4" t="s">
        <v>4070</v>
      </c>
      <c r="J505" s="6">
        <v>45192</v>
      </c>
      <c r="K505" s="4">
        <f>VLOOKUP(G505,Exchange_Rates!A:B,2,FALSE)</f>
        <v>1.27</v>
      </c>
      <c r="L505" s="4">
        <f t="shared" si="7"/>
        <v>351.29470000000003</v>
      </c>
    </row>
    <row r="506" spans="1:12" x14ac:dyDescent="0.25">
      <c r="A506" s="4" t="s">
        <v>4686</v>
      </c>
      <c r="B506" s="4" t="s">
        <v>4108</v>
      </c>
      <c r="C506" s="6">
        <v>45364</v>
      </c>
      <c r="D506" s="4" t="s">
        <v>4062</v>
      </c>
      <c r="E506" s="4" t="s">
        <v>4054</v>
      </c>
      <c r="F506" s="4">
        <v>456.19</v>
      </c>
      <c r="G506" s="4" t="s">
        <v>36</v>
      </c>
      <c r="H506" s="4" t="s">
        <v>4097</v>
      </c>
      <c r="I506" s="4" t="s">
        <v>4070</v>
      </c>
      <c r="J506" s="4"/>
      <c r="K506" s="4">
        <f>VLOOKUP(G506,Exchange_Rates!A:B,2,FALSE)</f>
        <v>1.08</v>
      </c>
      <c r="L506" s="4">
        <f t="shared" si="7"/>
        <v>492.68520000000001</v>
      </c>
    </row>
    <row r="507" spans="1:12" x14ac:dyDescent="0.25">
      <c r="A507" s="4" t="s">
        <v>4687</v>
      </c>
      <c r="B507" s="4" t="s">
        <v>4239</v>
      </c>
      <c r="C507" s="6">
        <v>45193</v>
      </c>
      <c r="D507" s="4" t="s">
        <v>4053</v>
      </c>
      <c r="E507" s="4" t="s">
        <v>4054</v>
      </c>
      <c r="F507" s="4">
        <v>21.75</v>
      </c>
      <c r="G507" s="4" t="s">
        <v>28</v>
      </c>
      <c r="H507" s="4" t="s">
        <v>4055</v>
      </c>
      <c r="I507" s="4" t="s">
        <v>4070</v>
      </c>
      <c r="J507" s="6">
        <v>45208</v>
      </c>
      <c r="K507" s="4">
        <f>VLOOKUP(G507,Exchange_Rates!A:B,2,FALSE)</f>
        <v>1.27</v>
      </c>
      <c r="L507" s="4">
        <f t="shared" si="7"/>
        <v>27.622499999999999</v>
      </c>
    </row>
    <row r="508" spans="1:12" x14ac:dyDescent="0.25">
      <c r="A508" s="4" t="s">
        <v>4688</v>
      </c>
      <c r="B508" s="4" t="s">
        <v>4103</v>
      </c>
      <c r="C508" s="6">
        <v>44973</v>
      </c>
      <c r="D508" s="4" t="s">
        <v>4062</v>
      </c>
      <c r="E508" s="4" t="s">
        <v>4054</v>
      </c>
      <c r="F508" s="4">
        <v>65.739999999999995</v>
      </c>
      <c r="G508" s="4" t="s">
        <v>36</v>
      </c>
      <c r="H508" s="4" t="s">
        <v>4055</v>
      </c>
      <c r="I508" s="4" t="s">
        <v>4087</v>
      </c>
      <c r="J508" s="6">
        <v>44988</v>
      </c>
      <c r="K508" s="4">
        <f>VLOOKUP(G508,Exchange_Rates!A:B,2,FALSE)</f>
        <v>1.08</v>
      </c>
      <c r="L508" s="4">
        <f t="shared" si="7"/>
        <v>70.999200000000002</v>
      </c>
    </row>
    <row r="509" spans="1:12" x14ac:dyDescent="0.25">
      <c r="A509" s="4" t="s">
        <v>4689</v>
      </c>
      <c r="B509" s="4" t="s">
        <v>4132</v>
      </c>
      <c r="C509" s="6">
        <v>45551</v>
      </c>
      <c r="D509" s="4" t="s">
        <v>4062</v>
      </c>
      <c r="E509" s="4" t="s">
        <v>4054</v>
      </c>
      <c r="F509" s="4">
        <v>549.24</v>
      </c>
      <c r="G509" s="4" t="s">
        <v>45</v>
      </c>
      <c r="H509" s="4" t="s">
        <v>4055</v>
      </c>
      <c r="I509" s="4" t="s">
        <v>4070</v>
      </c>
      <c r="J509" s="6">
        <v>45566</v>
      </c>
      <c r="K509" s="4">
        <f>VLOOKUP(G509,Exchange_Rates!A:B,2,FALSE)</f>
        <v>1</v>
      </c>
      <c r="L509" s="4">
        <f t="shared" si="7"/>
        <v>549.24</v>
      </c>
    </row>
    <row r="510" spans="1:12" x14ac:dyDescent="0.25">
      <c r="A510" s="4" t="s">
        <v>4690</v>
      </c>
      <c r="B510" s="4" t="s">
        <v>4267</v>
      </c>
      <c r="C510" s="6">
        <v>45273</v>
      </c>
      <c r="D510" s="4" t="s">
        <v>4053</v>
      </c>
      <c r="E510" s="4" t="s">
        <v>4054</v>
      </c>
      <c r="F510" s="4">
        <v>715.77</v>
      </c>
      <c r="G510" s="4" t="s">
        <v>28</v>
      </c>
      <c r="H510" s="4" t="s">
        <v>4055</v>
      </c>
      <c r="I510" s="4" t="s">
        <v>4070</v>
      </c>
      <c r="J510" s="6">
        <v>45288</v>
      </c>
      <c r="K510" s="4">
        <f>VLOOKUP(G510,Exchange_Rates!A:B,2,FALSE)</f>
        <v>1.27</v>
      </c>
      <c r="L510" s="4">
        <f t="shared" si="7"/>
        <v>909.02790000000005</v>
      </c>
    </row>
    <row r="511" spans="1:12" x14ac:dyDescent="0.25">
      <c r="A511" s="4" t="s">
        <v>4691</v>
      </c>
      <c r="B511" s="4" t="s">
        <v>4112</v>
      </c>
      <c r="C511" s="6">
        <v>45278</v>
      </c>
      <c r="D511" s="4" t="s">
        <v>4069</v>
      </c>
      <c r="E511" s="4" t="s">
        <v>4054</v>
      </c>
      <c r="F511" s="4">
        <v>465.65</v>
      </c>
      <c r="G511" s="4" t="s">
        <v>64</v>
      </c>
      <c r="H511" s="4" t="s">
        <v>4063</v>
      </c>
      <c r="I511" s="4" t="s">
        <v>4070</v>
      </c>
      <c r="J511" s="4"/>
      <c r="K511" s="4">
        <f>VLOOKUP(G511,Exchange_Rates!A:B,2,FALSE)</f>
        <v>0.73</v>
      </c>
      <c r="L511" s="4">
        <f t="shared" si="7"/>
        <v>339.92449999999997</v>
      </c>
    </row>
    <row r="512" spans="1:12" x14ac:dyDescent="0.25">
      <c r="A512" s="4" t="s">
        <v>4692</v>
      </c>
      <c r="B512" s="4" t="s">
        <v>4115</v>
      </c>
      <c r="C512" s="6">
        <v>45381</v>
      </c>
      <c r="D512" s="4" t="s">
        <v>4066</v>
      </c>
      <c r="E512" s="4" t="s">
        <v>4054</v>
      </c>
      <c r="F512" s="4">
        <v>239.66</v>
      </c>
      <c r="G512" s="4" t="s">
        <v>64</v>
      </c>
      <c r="H512" s="4" t="s">
        <v>4063</v>
      </c>
      <c r="I512" s="4" t="s">
        <v>4056</v>
      </c>
      <c r="J512" s="4"/>
      <c r="K512" s="4">
        <f>VLOOKUP(G512,Exchange_Rates!A:B,2,FALSE)</f>
        <v>0.73</v>
      </c>
      <c r="L512" s="4">
        <f t="shared" si="7"/>
        <v>174.95179999999999</v>
      </c>
    </row>
    <row r="513" spans="1:12" x14ac:dyDescent="0.25">
      <c r="A513" s="4" t="s">
        <v>4693</v>
      </c>
      <c r="B513" s="4" t="s">
        <v>4176</v>
      </c>
      <c r="C513" s="6">
        <v>45506</v>
      </c>
      <c r="D513" s="4" t="s">
        <v>4096</v>
      </c>
      <c r="E513" s="4" t="s">
        <v>4054</v>
      </c>
      <c r="F513" s="4">
        <v>165.28</v>
      </c>
      <c r="G513" s="4" t="s">
        <v>36</v>
      </c>
      <c r="H513" s="4" t="s">
        <v>4055</v>
      </c>
      <c r="I513" s="4" t="s">
        <v>4056</v>
      </c>
      <c r="J513" s="6">
        <v>45521</v>
      </c>
      <c r="K513" s="4">
        <f>VLOOKUP(G513,Exchange_Rates!A:B,2,FALSE)</f>
        <v>1.08</v>
      </c>
      <c r="L513" s="4">
        <f t="shared" si="7"/>
        <v>178.50240000000002</v>
      </c>
    </row>
    <row r="514" spans="1:12" x14ac:dyDescent="0.25">
      <c r="A514" s="4" t="s">
        <v>4694</v>
      </c>
      <c r="B514" s="4" t="s">
        <v>4132</v>
      </c>
      <c r="C514" s="6">
        <v>45791</v>
      </c>
      <c r="D514" s="4" t="s">
        <v>4096</v>
      </c>
      <c r="E514" s="4" t="s">
        <v>4054</v>
      </c>
      <c r="F514" s="4">
        <v>475.9</v>
      </c>
      <c r="G514" s="4" t="s">
        <v>36</v>
      </c>
      <c r="H514" s="4" t="s">
        <v>4097</v>
      </c>
      <c r="I514" s="4" t="s">
        <v>4070</v>
      </c>
      <c r="J514" s="4"/>
      <c r="K514" s="4">
        <f>VLOOKUP(G514,Exchange_Rates!A:B,2,FALSE)</f>
        <v>1.08</v>
      </c>
      <c r="L514" s="4">
        <f t="shared" si="7"/>
        <v>513.97199999999998</v>
      </c>
    </row>
    <row r="515" spans="1:12" x14ac:dyDescent="0.25">
      <c r="A515" s="4" t="s">
        <v>4695</v>
      </c>
      <c r="B515" s="4" t="s">
        <v>4089</v>
      </c>
      <c r="C515" s="6">
        <v>45404</v>
      </c>
      <c r="D515" s="4" t="s">
        <v>4096</v>
      </c>
      <c r="E515" s="4" t="s">
        <v>4054</v>
      </c>
      <c r="F515" s="4">
        <v>280.26</v>
      </c>
      <c r="G515" s="4" t="s">
        <v>36</v>
      </c>
      <c r="H515" s="4" t="s">
        <v>4097</v>
      </c>
      <c r="I515" s="4" t="s">
        <v>4087</v>
      </c>
      <c r="J515" s="4"/>
      <c r="K515" s="4">
        <f>VLOOKUP(G515,Exchange_Rates!A:B,2,FALSE)</f>
        <v>1.08</v>
      </c>
      <c r="L515" s="4">
        <f t="shared" ref="L515:L578" si="8">F515*K515</f>
        <v>302.68080000000003</v>
      </c>
    </row>
    <row r="516" spans="1:12" x14ac:dyDescent="0.25">
      <c r="A516" s="4" t="s">
        <v>4696</v>
      </c>
      <c r="B516" s="4" t="s">
        <v>4295</v>
      </c>
      <c r="C516" s="6">
        <v>45820</v>
      </c>
      <c r="D516" s="4" t="s">
        <v>4053</v>
      </c>
      <c r="E516" s="4" t="s">
        <v>4054</v>
      </c>
      <c r="F516" s="4">
        <v>133.68</v>
      </c>
      <c r="G516" s="4" t="s">
        <v>64</v>
      </c>
      <c r="H516" s="4" t="s">
        <v>4097</v>
      </c>
      <c r="I516" s="4" t="s">
        <v>4056</v>
      </c>
      <c r="J516" s="4"/>
      <c r="K516" s="4">
        <f>VLOOKUP(G516,Exchange_Rates!A:B,2,FALSE)</f>
        <v>0.73</v>
      </c>
      <c r="L516" s="4">
        <f t="shared" si="8"/>
        <v>97.586399999999998</v>
      </c>
    </row>
    <row r="517" spans="1:12" x14ac:dyDescent="0.25">
      <c r="A517" s="4" t="s">
        <v>4697</v>
      </c>
      <c r="B517" s="4" t="s">
        <v>4419</v>
      </c>
      <c r="C517" s="6">
        <v>45213</v>
      </c>
      <c r="D517" s="4" t="s">
        <v>4066</v>
      </c>
      <c r="E517" s="4" t="s">
        <v>4054</v>
      </c>
      <c r="F517" s="4">
        <v>346.15</v>
      </c>
      <c r="G517" s="4" t="s">
        <v>42</v>
      </c>
      <c r="H517" s="4" t="s">
        <v>4055</v>
      </c>
      <c r="I517" s="4" t="s">
        <v>4070</v>
      </c>
      <c r="J517" s="6">
        <v>45228</v>
      </c>
      <c r="K517" s="4">
        <f>VLOOKUP(G517,Exchange_Rates!A:B,2,FALSE)</f>
        <v>0.66</v>
      </c>
      <c r="L517" s="4">
        <f t="shared" si="8"/>
        <v>228.459</v>
      </c>
    </row>
    <row r="518" spans="1:12" x14ac:dyDescent="0.25">
      <c r="A518" s="4" t="s">
        <v>4698</v>
      </c>
      <c r="B518" s="4" t="s">
        <v>4076</v>
      </c>
      <c r="C518" s="6">
        <v>45039</v>
      </c>
      <c r="D518" s="4" t="s">
        <v>4069</v>
      </c>
      <c r="E518" s="4" t="s">
        <v>4054</v>
      </c>
      <c r="F518" s="4">
        <v>591.13</v>
      </c>
      <c r="G518" s="4" t="s">
        <v>64</v>
      </c>
      <c r="H518" s="4" t="s">
        <v>4063</v>
      </c>
      <c r="I518" s="4" t="s">
        <v>4070</v>
      </c>
      <c r="J518" s="4"/>
      <c r="K518" s="4">
        <f>VLOOKUP(G518,Exchange_Rates!A:B,2,FALSE)</f>
        <v>0.73</v>
      </c>
      <c r="L518" s="4">
        <f t="shared" si="8"/>
        <v>431.5249</v>
      </c>
    </row>
    <row r="519" spans="1:12" x14ac:dyDescent="0.25">
      <c r="A519" s="4" t="s">
        <v>4699</v>
      </c>
      <c r="B519" s="4" t="s">
        <v>4206</v>
      </c>
      <c r="C519" s="6">
        <v>44950</v>
      </c>
      <c r="D519" s="4" t="s">
        <v>4069</v>
      </c>
      <c r="E519" s="4" t="s">
        <v>4054</v>
      </c>
      <c r="F519" s="4">
        <v>779.38</v>
      </c>
      <c r="G519" s="4" t="s">
        <v>64</v>
      </c>
      <c r="H519" s="4" t="s">
        <v>4059</v>
      </c>
      <c r="I519" s="4" t="s">
        <v>4070</v>
      </c>
      <c r="J519" s="4"/>
      <c r="K519" s="4">
        <f>VLOOKUP(G519,Exchange_Rates!A:B,2,FALSE)</f>
        <v>0.73</v>
      </c>
      <c r="L519" s="4">
        <f t="shared" si="8"/>
        <v>568.94740000000002</v>
      </c>
    </row>
    <row r="520" spans="1:12" x14ac:dyDescent="0.25">
      <c r="A520" s="4" t="s">
        <v>4700</v>
      </c>
      <c r="B520" s="4" t="s">
        <v>4152</v>
      </c>
      <c r="C520" s="6">
        <v>45227</v>
      </c>
      <c r="D520" s="4" t="s">
        <v>4066</v>
      </c>
      <c r="E520" s="4" t="s">
        <v>4054</v>
      </c>
      <c r="F520" s="4">
        <v>414.81</v>
      </c>
      <c r="G520" s="4" t="s">
        <v>42</v>
      </c>
      <c r="H520" s="4" t="s">
        <v>4097</v>
      </c>
      <c r="I520" s="4" t="s">
        <v>4070</v>
      </c>
      <c r="J520" s="4"/>
      <c r="K520" s="4">
        <f>VLOOKUP(G520,Exchange_Rates!A:B,2,FALSE)</f>
        <v>0.66</v>
      </c>
      <c r="L520" s="4">
        <f t="shared" si="8"/>
        <v>273.77460000000002</v>
      </c>
    </row>
    <row r="521" spans="1:12" x14ac:dyDescent="0.25">
      <c r="A521" s="4" t="s">
        <v>4701</v>
      </c>
      <c r="B521" s="4" t="s">
        <v>4324</v>
      </c>
      <c r="C521" s="6">
        <v>45149</v>
      </c>
      <c r="D521" s="4" t="s">
        <v>4069</v>
      </c>
      <c r="E521" s="4" t="s">
        <v>4054</v>
      </c>
      <c r="F521" s="4">
        <v>586.76</v>
      </c>
      <c r="G521" s="4" t="s">
        <v>45</v>
      </c>
      <c r="H521" s="4" t="s">
        <v>4097</v>
      </c>
      <c r="I521" s="4" t="s">
        <v>4056</v>
      </c>
      <c r="J521" s="4"/>
      <c r="K521" s="4">
        <f>VLOOKUP(G521,Exchange_Rates!A:B,2,FALSE)</f>
        <v>1</v>
      </c>
      <c r="L521" s="4">
        <f t="shared" si="8"/>
        <v>586.76</v>
      </c>
    </row>
    <row r="522" spans="1:12" x14ac:dyDescent="0.25">
      <c r="A522" s="4" t="s">
        <v>4702</v>
      </c>
      <c r="B522" s="4" t="s">
        <v>4099</v>
      </c>
      <c r="C522" s="6">
        <v>45790</v>
      </c>
      <c r="D522" s="4" t="s">
        <v>4066</v>
      </c>
      <c r="E522" s="4" t="s">
        <v>4054</v>
      </c>
      <c r="F522" s="4">
        <v>301.17</v>
      </c>
      <c r="G522" s="4" t="s">
        <v>64</v>
      </c>
      <c r="H522" s="4" t="s">
        <v>4063</v>
      </c>
      <c r="I522" s="4" t="s">
        <v>4070</v>
      </c>
      <c r="J522" s="4"/>
      <c r="K522" s="4">
        <f>VLOOKUP(G522,Exchange_Rates!A:B,2,FALSE)</f>
        <v>0.73</v>
      </c>
      <c r="L522" s="4">
        <f t="shared" si="8"/>
        <v>219.85410000000002</v>
      </c>
    </row>
    <row r="523" spans="1:12" x14ac:dyDescent="0.25">
      <c r="A523" s="4" t="s">
        <v>4703</v>
      </c>
      <c r="B523" s="4" t="s">
        <v>4136</v>
      </c>
      <c r="C523" s="6">
        <v>45402</v>
      </c>
      <c r="D523" s="4" t="s">
        <v>4066</v>
      </c>
      <c r="E523" s="4" t="s">
        <v>4054</v>
      </c>
      <c r="F523" s="4">
        <v>393.11</v>
      </c>
      <c r="G523" s="4" t="s">
        <v>64</v>
      </c>
      <c r="H523" s="4" t="s">
        <v>4097</v>
      </c>
      <c r="I523" s="4" t="s">
        <v>4056</v>
      </c>
      <c r="J523" s="4"/>
      <c r="K523" s="4">
        <f>VLOOKUP(G523,Exchange_Rates!A:B,2,FALSE)</f>
        <v>0.73</v>
      </c>
      <c r="L523" s="4">
        <f t="shared" si="8"/>
        <v>286.97030000000001</v>
      </c>
    </row>
    <row r="524" spans="1:12" x14ac:dyDescent="0.25">
      <c r="A524" s="4" t="s">
        <v>4704</v>
      </c>
      <c r="B524" s="4" t="s">
        <v>4258</v>
      </c>
      <c r="C524" s="6">
        <v>45162</v>
      </c>
      <c r="D524" s="4" t="s">
        <v>4066</v>
      </c>
      <c r="E524" s="4" t="s">
        <v>4054</v>
      </c>
      <c r="F524" s="4">
        <v>27.55</v>
      </c>
      <c r="G524" s="4" t="s">
        <v>42</v>
      </c>
      <c r="H524" s="4" t="s">
        <v>4063</v>
      </c>
      <c r="I524" s="4" t="s">
        <v>4070</v>
      </c>
      <c r="J524" s="4"/>
      <c r="K524" s="4">
        <f>VLOOKUP(G524,Exchange_Rates!A:B,2,FALSE)</f>
        <v>0.66</v>
      </c>
      <c r="L524" s="4">
        <f t="shared" si="8"/>
        <v>18.183</v>
      </c>
    </row>
    <row r="525" spans="1:12" x14ac:dyDescent="0.25">
      <c r="A525" s="4" t="s">
        <v>4705</v>
      </c>
      <c r="B525" s="4" t="s">
        <v>4065</v>
      </c>
      <c r="C525" s="6">
        <v>45378</v>
      </c>
      <c r="D525" s="4" t="s">
        <v>4053</v>
      </c>
      <c r="E525" s="4" t="s">
        <v>4054</v>
      </c>
      <c r="F525" s="4">
        <v>53.46</v>
      </c>
      <c r="G525" s="4" t="s">
        <v>36</v>
      </c>
      <c r="H525" s="4" t="s">
        <v>4055</v>
      </c>
      <c r="I525" s="4" t="s">
        <v>4070</v>
      </c>
      <c r="J525" s="6">
        <v>45393</v>
      </c>
      <c r="K525" s="4">
        <f>VLOOKUP(G525,Exchange_Rates!A:B,2,FALSE)</f>
        <v>1.08</v>
      </c>
      <c r="L525" s="4">
        <f t="shared" si="8"/>
        <v>57.736800000000002</v>
      </c>
    </row>
    <row r="526" spans="1:12" x14ac:dyDescent="0.25">
      <c r="A526" s="4" t="s">
        <v>4706</v>
      </c>
      <c r="B526" s="4" t="s">
        <v>4176</v>
      </c>
      <c r="C526" s="6">
        <v>45310</v>
      </c>
      <c r="D526" s="4" t="s">
        <v>4069</v>
      </c>
      <c r="E526" s="4" t="s">
        <v>4054</v>
      </c>
      <c r="F526" s="4">
        <v>477.04</v>
      </c>
      <c r="G526" s="4" t="s">
        <v>36</v>
      </c>
      <c r="H526" s="4" t="s">
        <v>4059</v>
      </c>
      <c r="I526" s="4" t="s">
        <v>4070</v>
      </c>
      <c r="J526" s="4"/>
      <c r="K526" s="4">
        <f>VLOOKUP(G526,Exchange_Rates!A:B,2,FALSE)</f>
        <v>1.08</v>
      </c>
      <c r="L526" s="4">
        <f t="shared" si="8"/>
        <v>515.20320000000004</v>
      </c>
    </row>
    <row r="527" spans="1:12" x14ac:dyDescent="0.25">
      <c r="A527" s="4" t="s">
        <v>4707</v>
      </c>
      <c r="B527" s="4" t="s">
        <v>4368</v>
      </c>
      <c r="C527" s="6">
        <v>45197</v>
      </c>
      <c r="D527" s="4" t="s">
        <v>4096</v>
      </c>
      <c r="E527" s="4" t="s">
        <v>4054</v>
      </c>
      <c r="F527" s="4">
        <v>556.72</v>
      </c>
      <c r="G527" s="4" t="s">
        <v>45</v>
      </c>
      <c r="H527" s="4" t="s">
        <v>4059</v>
      </c>
      <c r="I527" s="4" t="s">
        <v>4070</v>
      </c>
      <c r="J527" s="4"/>
      <c r="K527" s="4">
        <f>VLOOKUP(G527,Exchange_Rates!A:B,2,FALSE)</f>
        <v>1</v>
      </c>
      <c r="L527" s="4">
        <f t="shared" si="8"/>
        <v>556.72</v>
      </c>
    </row>
    <row r="528" spans="1:12" x14ac:dyDescent="0.25">
      <c r="A528" s="4" t="s">
        <v>4708</v>
      </c>
      <c r="B528" s="4" t="s">
        <v>4101</v>
      </c>
      <c r="C528" s="6">
        <v>45401</v>
      </c>
      <c r="D528" s="4" t="s">
        <v>4062</v>
      </c>
      <c r="E528" s="4" t="s">
        <v>4054</v>
      </c>
      <c r="F528" s="4">
        <v>75.430000000000007</v>
      </c>
      <c r="G528" s="4" t="s">
        <v>42</v>
      </c>
      <c r="H528" s="4" t="s">
        <v>4059</v>
      </c>
      <c r="I528" s="4" t="s">
        <v>4070</v>
      </c>
      <c r="J528" s="4"/>
      <c r="K528" s="4">
        <f>VLOOKUP(G528,Exchange_Rates!A:B,2,FALSE)</f>
        <v>0.66</v>
      </c>
      <c r="L528" s="4">
        <f t="shared" si="8"/>
        <v>49.783800000000006</v>
      </c>
    </row>
    <row r="529" spans="1:12" x14ac:dyDescent="0.25">
      <c r="A529" s="4" t="s">
        <v>4709</v>
      </c>
      <c r="B529" s="4" t="s">
        <v>4065</v>
      </c>
      <c r="C529" s="6">
        <v>45594</v>
      </c>
      <c r="D529" s="4" t="s">
        <v>4066</v>
      </c>
      <c r="E529" s="4" t="s">
        <v>4054</v>
      </c>
      <c r="F529" s="4">
        <v>104.53</v>
      </c>
      <c r="G529" s="4" t="s">
        <v>64</v>
      </c>
      <c r="H529" s="4" t="s">
        <v>4063</v>
      </c>
      <c r="I529" s="4" t="s">
        <v>4070</v>
      </c>
      <c r="J529" s="4"/>
      <c r="K529" s="4">
        <f>VLOOKUP(G529,Exchange_Rates!A:B,2,FALSE)</f>
        <v>0.73</v>
      </c>
      <c r="L529" s="4">
        <f t="shared" si="8"/>
        <v>76.306899999999999</v>
      </c>
    </row>
    <row r="530" spans="1:12" x14ac:dyDescent="0.25">
      <c r="A530" s="4" t="s">
        <v>4710</v>
      </c>
      <c r="B530" s="4" t="s">
        <v>4166</v>
      </c>
      <c r="C530" s="6">
        <v>45270</v>
      </c>
      <c r="D530" s="4" t="s">
        <v>4096</v>
      </c>
      <c r="E530" s="4" t="s">
        <v>4054</v>
      </c>
      <c r="F530" s="4">
        <v>698.88</v>
      </c>
      <c r="G530" s="4" t="s">
        <v>42</v>
      </c>
      <c r="H530" s="4" t="s">
        <v>4097</v>
      </c>
      <c r="I530" s="4" t="s">
        <v>4070</v>
      </c>
      <c r="J530" s="4"/>
      <c r="K530" s="4">
        <f>VLOOKUP(G530,Exchange_Rates!A:B,2,FALSE)</f>
        <v>0.66</v>
      </c>
      <c r="L530" s="4">
        <f t="shared" si="8"/>
        <v>461.26080000000002</v>
      </c>
    </row>
    <row r="531" spans="1:12" x14ac:dyDescent="0.25">
      <c r="A531" s="4" t="s">
        <v>4711</v>
      </c>
      <c r="B531" s="4" t="s">
        <v>4065</v>
      </c>
      <c r="C531" s="6">
        <v>45530</v>
      </c>
      <c r="D531" s="4" t="s">
        <v>4066</v>
      </c>
      <c r="E531" s="4" t="s">
        <v>4054</v>
      </c>
      <c r="F531" s="4">
        <v>676.21</v>
      </c>
      <c r="G531" s="4" t="s">
        <v>45</v>
      </c>
      <c r="H531" s="4" t="s">
        <v>4097</v>
      </c>
      <c r="I531" s="4" t="s">
        <v>4070</v>
      </c>
      <c r="J531" s="4"/>
      <c r="K531" s="4">
        <f>VLOOKUP(G531,Exchange_Rates!A:B,2,FALSE)</f>
        <v>1</v>
      </c>
      <c r="L531" s="4">
        <f t="shared" si="8"/>
        <v>676.21</v>
      </c>
    </row>
    <row r="532" spans="1:12" x14ac:dyDescent="0.25">
      <c r="A532" s="4" t="s">
        <v>4712</v>
      </c>
      <c r="B532" s="4" t="s">
        <v>4148</v>
      </c>
      <c r="C532" s="6">
        <v>45079</v>
      </c>
      <c r="D532" s="4" t="s">
        <v>4066</v>
      </c>
      <c r="E532" s="4" t="s">
        <v>4054</v>
      </c>
      <c r="F532" s="4">
        <v>444.97</v>
      </c>
      <c r="G532" s="4" t="s">
        <v>36</v>
      </c>
      <c r="H532" s="4" t="s">
        <v>4063</v>
      </c>
      <c r="I532" s="4" t="s">
        <v>4070</v>
      </c>
      <c r="J532" s="4"/>
      <c r="K532" s="4">
        <f>VLOOKUP(G532,Exchange_Rates!A:B,2,FALSE)</f>
        <v>1.08</v>
      </c>
      <c r="L532" s="4">
        <f t="shared" si="8"/>
        <v>480.56760000000008</v>
      </c>
    </row>
    <row r="533" spans="1:12" x14ac:dyDescent="0.25">
      <c r="A533" s="4" t="s">
        <v>4713</v>
      </c>
      <c r="B533" s="4" t="s">
        <v>4061</v>
      </c>
      <c r="C533" s="6">
        <v>45565</v>
      </c>
      <c r="D533" s="4" t="s">
        <v>4069</v>
      </c>
      <c r="E533" s="4" t="s">
        <v>4054</v>
      </c>
      <c r="F533" s="4">
        <v>357.01</v>
      </c>
      <c r="G533" s="4" t="s">
        <v>42</v>
      </c>
      <c r="H533" s="4" t="s">
        <v>4059</v>
      </c>
      <c r="I533" s="4" t="s">
        <v>4087</v>
      </c>
      <c r="J533" s="4"/>
      <c r="K533" s="4">
        <f>VLOOKUP(G533,Exchange_Rates!A:B,2,FALSE)</f>
        <v>0.66</v>
      </c>
      <c r="L533" s="4">
        <f t="shared" si="8"/>
        <v>235.6266</v>
      </c>
    </row>
    <row r="534" spans="1:12" x14ac:dyDescent="0.25">
      <c r="A534" s="4" t="s">
        <v>4714</v>
      </c>
      <c r="B534" s="4" t="s">
        <v>4058</v>
      </c>
      <c r="C534" s="6">
        <v>45576</v>
      </c>
      <c r="D534" s="4" t="s">
        <v>4069</v>
      </c>
      <c r="E534" s="4" t="s">
        <v>4054</v>
      </c>
      <c r="F534" s="4">
        <v>109.43</v>
      </c>
      <c r="G534" s="4" t="s">
        <v>42</v>
      </c>
      <c r="H534" s="4" t="s">
        <v>4055</v>
      </c>
      <c r="I534" s="4" t="s">
        <v>4070</v>
      </c>
      <c r="J534" s="6">
        <v>45591</v>
      </c>
      <c r="K534" s="4">
        <f>VLOOKUP(G534,Exchange_Rates!A:B,2,FALSE)</f>
        <v>0.66</v>
      </c>
      <c r="L534" s="4">
        <f t="shared" si="8"/>
        <v>72.223800000000011</v>
      </c>
    </row>
    <row r="535" spans="1:12" x14ac:dyDescent="0.25">
      <c r="A535" s="4" t="s">
        <v>4715</v>
      </c>
      <c r="B535" s="4" t="s">
        <v>4520</v>
      </c>
      <c r="C535" s="6">
        <v>45732</v>
      </c>
      <c r="D535" s="4" t="s">
        <v>4066</v>
      </c>
      <c r="E535" s="4" t="s">
        <v>4054</v>
      </c>
      <c r="F535" s="4">
        <v>378.54</v>
      </c>
      <c r="G535" s="4" t="s">
        <v>45</v>
      </c>
      <c r="H535" s="4" t="s">
        <v>4059</v>
      </c>
      <c r="I535" s="4" t="s">
        <v>4070</v>
      </c>
      <c r="J535" s="4"/>
      <c r="K535" s="4">
        <f>VLOOKUP(G535,Exchange_Rates!A:B,2,FALSE)</f>
        <v>1</v>
      </c>
      <c r="L535" s="4">
        <f t="shared" si="8"/>
        <v>378.54</v>
      </c>
    </row>
    <row r="536" spans="1:12" x14ac:dyDescent="0.25">
      <c r="A536" s="4" t="s">
        <v>4716</v>
      </c>
      <c r="B536" s="4" t="s">
        <v>4558</v>
      </c>
      <c r="C536" s="6">
        <v>44995</v>
      </c>
      <c r="D536" s="4" t="s">
        <v>4096</v>
      </c>
      <c r="E536" s="4" t="s">
        <v>4054</v>
      </c>
      <c r="F536" s="4">
        <v>387.35</v>
      </c>
      <c r="G536" s="4" t="s">
        <v>28</v>
      </c>
      <c r="H536" s="4" t="s">
        <v>4097</v>
      </c>
      <c r="I536" s="4" t="s">
        <v>4056</v>
      </c>
      <c r="J536" s="4"/>
      <c r="K536" s="4">
        <f>VLOOKUP(G536,Exchange_Rates!A:B,2,FALSE)</f>
        <v>1.27</v>
      </c>
      <c r="L536" s="4">
        <f t="shared" si="8"/>
        <v>491.93450000000001</v>
      </c>
    </row>
    <row r="537" spans="1:12" x14ac:dyDescent="0.25">
      <c r="A537" s="4" t="s">
        <v>4717</v>
      </c>
      <c r="B537" s="4" t="s">
        <v>4061</v>
      </c>
      <c r="C537" s="6">
        <v>45823</v>
      </c>
      <c r="D537" s="4" t="s">
        <v>4062</v>
      </c>
      <c r="E537" s="4" t="s">
        <v>4054</v>
      </c>
      <c r="F537" s="4">
        <v>460</v>
      </c>
      <c r="G537" s="4" t="s">
        <v>64</v>
      </c>
      <c r="H537" s="4" t="s">
        <v>4097</v>
      </c>
      <c r="I537" s="4" t="s">
        <v>4070</v>
      </c>
      <c r="J537" s="4"/>
      <c r="K537" s="4">
        <f>VLOOKUP(G537,Exchange_Rates!A:B,2,FALSE)</f>
        <v>0.73</v>
      </c>
      <c r="L537" s="4">
        <f t="shared" si="8"/>
        <v>335.8</v>
      </c>
    </row>
    <row r="538" spans="1:12" x14ac:dyDescent="0.25">
      <c r="A538" s="4" t="s">
        <v>4718</v>
      </c>
      <c r="B538" s="4" t="s">
        <v>4103</v>
      </c>
      <c r="C538" s="6">
        <v>44992</v>
      </c>
      <c r="D538" s="4" t="s">
        <v>4096</v>
      </c>
      <c r="E538" s="4" t="s">
        <v>4054</v>
      </c>
      <c r="F538" s="4">
        <v>184.27</v>
      </c>
      <c r="G538" s="4" t="s">
        <v>45</v>
      </c>
      <c r="H538" s="4" t="s">
        <v>4055</v>
      </c>
      <c r="I538" s="4" t="s">
        <v>4087</v>
      </c>
      <c r="J538" s="6">
        <v>45007</v>
      </c>
      <c r="K538" s="4">
        <f>VLOOKUP(G538,Exchange_Rates!A:B,2,FALSE)</f>
        <v>1</v>
      </c>
      <c r="L538" s="4">
        <f t="shared" si="8"/>
        <v>184.27</v>
      </c>
    </row>
    <row r="539" spans="1:12" x14ac:dyDescent="0.25">
      <c r="A539" s="4" t="s">
        <v>4719</v>
      </c>
      <c r="B539" s="4" t="s">
        <v>4190</v>
      </c>
      <c r="C539" s="6">
        <v>45726</v>
      </c>
      <c r="D539" s="4" t="s">
        <v>4096</v>
      </c>
      <c r="E539" s="4" t="s">
        <v>4054</v>
      </c>
      <c r="F539" s="4">
        <v>767.16</v>
      </c>
      <c r="G539" s="4" t="s">
        <v>28</v>
      </c>
      <c r="H539" s="4" t="s">
        <v>4097</v>
      </c>
      <c r="I539" s="4" t="s">
        <v>4056</v>
      </c>
      <c r="J539" s="4"/>
      <c r="K539" s="4">
        <f>VLOOKUP(G539,Exchange_Rates!A:B,2,FALSE)</f>
        <v>1.27</v>
      </c>
      <c r="L539" s="4">
        <f t="shared" si="8"/>
        <v>974.29319999999996</v>
      </c>
    </row>
    <row r="540" spans="1:12" x14ac:dyDescent="0.25">
      <c r="A540" s="4" t="s">
        <v>4720</v>
      </c>
      <c r="B540" s="4" t="s">
        <v>4150</v>
      </c>
      <c r="C540" s="6">
        <v>44941</v>
      </c>
      <c r="D540" s="4" t="s">
        <v>4096</v>
      </c>
      <c r="E540" s="4" t="s">
        <v>4054</v>
      </c>
      <c r="F540" s="4">
        <v>72.7</v>
      </c>
      <c r="G540" s="4" t="s">
        <v>28</v>
      </c>
      <c r="H540" s="4" t="s">
        <v>4063</v>
      </c>
      <c r="I540" s="4" t="s">
        <v>4070</v>
      </c>
      <c r="J540" s="4"/>
      <c r="K540" s="4">
        <f>VLOOKUP(G540,Exchange_Rates!A:B,2,FALSE)</f>
        <v>1.27</v>
      </c>
      <c r="L540" s="4">
        <f t="shared" si="8"/>
        <v>92.329000000000008</v>
      </c>
    </row>
    <row r="541" spans="1:12" x14ac:dyDescent="0.25">
      <c r="A541" s="4" t="s">
        <v>4721</v>
      </c>
      <c r="B541" s="4" t="s">
        <v>4515</v>
      </c>
      <c r="C541" s="6">
        <v>45038</v>
      </c>
      <c r="D541" s="4" t="s">
        <v>4096</v>
      </c>
      <c r="E541" s="4" t="s">
        <v>4054</v>
      </c>
      <c r="F541" s="4">
        <v>504.04</v>
      </c>
      <c r="G541" s="4" t="s">
        <v>28</v>
      </c>
      <c r="H541" s="4" t="s">
        <v>4063</v>
      </c>
      <c r="I541" s="4" t="s">
        <v>4070</v>
      </c>
      <c r="J541" s="4"/>
      <c r="K541" s="4">
        <f>VLOOKUP(G541,Exchange_Rates!A:B,2,FALSE)</f>
        <v>1.27</v>
      </c>
      <c r="L541" s="4">
        <f t="shared" si="8"/>
        <v>640.13080000000002</v>
      </c>
    </row>
    <row r="542" spans="1:12" x14ac:dyDescent="0.25">
      <c r="A542" s="4" t="s">
        <v>4722</v>
      </c>
      <c r="B542" s="4" t="s">
        <v>4061</v>
      </c>
      <c r="C542" s="6">
        <v>44975</v>
      </c>
      <c r="D542" s="4" t="s">
        <v>4069</v>
      </c>
      <c r="E542" s="4" t="s">
        <v>4054</v>
      </c>
      <c r="F542" s="4">
        <v>92.22</v>
      </c>
      <c r="G542" s="4" t="s">
        <v>64</v>
      </c>
      <c r="H542" s="4" t="s">
        <v>4063</v>
      </c>
      <c r="I542" s="4" t="s">
        <v>4070</v>
      </c>
      <c r="J542" s="4"/>
      <c r="K542" s="4">
        <f>VLOOKUP(G542,Exchange_Rates!A:B,2,FALSE)</f>
        <v>0.73</v>
      </c>
      <c r="L542" s="4">
        <f t="shared" si="8"/>
        <v>67.320599999999999</v>
      </c>
    </row>
    <row r="543" spans="1:12" x14ac:dyDescent="0.25">
      <c r="A543" s="4" t="s">
        <v>4723</v>
      </c>
      <c r="B543" s="4" t="s">
        <v>4453</v>
      </c>
      <c r="C543" s="6">
        <v>45441</v>
      </c>
      <c r="D543" s="4" t="s">
        <v>4053</v>
      </c>
      <c r="E543" s="4" t="s">
        <v>4054</v>
      </c>
      <c r="F543" s="4">
        <v>334.79</v>
      </c>
      <c r="G543" s="4" t="s">
        <v>36</v>
      </c>
      <c r="H543" s="4" t="s">
        <v>4055</v>
      </c>
      <c r="I543" s="4" t="s">
        <v>4056</v>
      </c>
      <c r="J543" s="6">
        <v>45456</v>
      </c>
      <c r="K543" s="4">
        <f>VLOOKUP(G543,Exchange_Rates!A:B,2,FALSE)</f>
        <v>1.08</v>
      </c>
      <c r="L543" s="4">
        <f t="shared" si="8"/>
        <v>361.57320000000004</v>
      </c>
    </row>
    <row r="544" spans="1:12" x14ac:dyDescent="0.25">
      <c r="A544" s="4" t="s">
        <v>4724</v>
      </c>
      <c r="B544" s="4" t="s">
        <v>4419</v>
      </c>
      <c r="C544" s="6">
        <v>45601</v>
      </c>
      <c r="D544" s="4" t="s">
        <v>4069</v>
      </c>
      <c r="E544" s="4" t="s">
        <v>4054</v>
      </c>
      <c r="F544" s="4">
        <v>72.209999999999994</v>
      </c>
      <c r="G544" s="4" t="s">
        <v>28</v>
      </c>
      <c r="H544" s="4" t="s">
        <v>4059</v>
      </c>
      <c r="I544" s="4" t="s">
        <v>4087</v>
      </c>
      <c r="J544" s="4"/>
      <c r="K544" s="4">
        <f>VLOOKUP(G544,Exchange_Rates!A:B,2,FALSE)</f>
        <v>1.27</v>
      </c>
      <c r="L544" s="4">
        <f t="shared" si="8"/>
        <v>91.706699999999998</v>
      </c>
    </row>
    <row r="545" spans="1:12" x14ac:dyDescent="0.25">
      <c r="A545" s="4" t="s">
        <v>4725</v>
      </c>
      <c r="B545" s="4" t="s">
        <v>4145</v>
      </c>
      <c r="C545" s="6">
        <v>45586</v>
      </c>
      <c r="D545" s="4" t="s">
        <v>4053</v>
      </c>
      <c r="E545" s="4" t="s">
        <v>4054</v>
      </c>
      <c r="F545" s="4">
        <v>553.17999999999995</v>
      </c>
      <c r="G545" s="4" t="s">
        <v>28</v>
      </c>
      <c r="H545" s="4" t="s">
        <v>4059</v>
      </c>
      <c r="I545" s="4" t="s">
        <v>4070</v>
      </c>
      <c r="J545" s="4"/>
      <c r="K545" s="4">
        <f>VLOOKUP(G545,Exchange_Rates!A:B,2,FALSE)</f>
        <v>1.27</v>
      </c>
      <c r="L545" s="4">
        <f t="shared" si="8"/>
        <v>702.53859999999997</v>
      </c>
    </row>
    <row r="546" spans="1:12" x14ac:dyDescent="0.25">
      <c r="A546" s="4" t="s">
        <v>4726</v>
      </c>
      <c r="B546" s="4" t="s">
        <v>4076</v>
      </c>
      <c r="C546" s="6">
        <v>45430</v>
      </c>
      <c r="D546" s="4" t="s">
        <v>4062</v>
      </c>
      <c r="E546" s="4" t="s">
        <v>4054</v>
      </c>
      <c r="F546" s="4">
        <v>588.24</v>
      </c>
      <c r="G546" s="4" t="s">
        <v>45</v>
      </c>
      <c r="H546" s="4" t="s">
        <v>4097</v>
      </c>
      <c r="I546" s="4" t="s">
        <v>4087</v>
      </c>
      <c r="J546" s="4"/>
      <c r="K546" s="4">
        <f>VLOOKUP(G546,Exchange_Rates!A:B,2,FALSE)</f>
        <v>1</v>
      </c>
      <c r="L546" s="4">
        <f t="shared" si="8"/>
        <v>588.24</v>
      </c>
    </row>
    <row r="547" spans="1:12" x14ac:dyDescent="0.25">
      <c r="A547" s="4" t="s">
        <v>4727</v>
      </c>
      <c r="B547" s="4" t="s">
        <v>4362</v>
      </c>
      <c r="C547" s="6">
        <v>45017</v>
      </c>
      <c r="D547" s="4" t="s">
        <v>4066</v>
      </c>
      <c r="E547" s="4" t="s">
        <v>4054</v>
      </c>
      <c r="F547" s="4">
        <v>71.12</v>
      </c>
      <c r="G547" s="4" t="s">
        <v>36</v>
      </c>
      <c r="H547" s="4" t="s">
        <v>4055</v>
      </c>
      <c r="I547" s="4" t="s">
        <v>4056</v>
      </c>
      <c r="J547" s="6">
        <v>45032</v>
      </c>
      <c r="K547" s="4">
        <f>VLOOKUP(G547,Exchange_Rates!A:B,2,FALSE)</f>
        <v>1.08</v>
      </c>
      <c r="L547" s="4">
        <f t="shared" si="8"/>
        <v>76.809600000000003</v>
      </c>
    </row>
    <row r="548" spans="1:12" x14ac:dyDescent="0.25">
      <c r="A548" s="4" t="s">
        <v>4728</v>
      </c>
      <c r="B548" s="4" t="s">
        <v>4095</v>
      </c>
      <c r="C548" s="6">
        <v>45206</v>
      </c>
      <c r="D548" s="4" t="s">
        <v>4066</v>
      </c>
      <c r="E548" s="4" t="s">
        <v>4054</v>
      </c>
      <c r="F548" s="4">
        <v>54.25</v>
      </c>
      <c r="G548" s="4" t="s">
        <v>36</v>
      </c>
      <c r="H548" s="4" t="s">
        <v>4055</v>
      </c>
      <c r="I548" s="4" t="s">
        <v>4070</v>
      </c>
      <c r="J548" s="6">
        <v>45221</v>
      </c>
      <c r="K548" s="4">
        <f>VLOOKUP(G548,Exchange_Rates!A:B,2,FALSE)</f>
        <v>1.08</v>
      </c>
      <c r="L548" s="4">
        <f t="shared" si="8"/>
        <v>58.59</v>
      </c>
    </row>
    <row r="549" spans="1:12" x14ac:dyDescent="0.25">
      <c r="A549" s="4" t="s">
        <v>4729</v>
      </c>
      <c r="B549" s="4" t="s">
        <v>4300</v>
      </c>
      <c r="C549" s="6">
        <v>45232</v>
      </c>
      <c r="D549" s="4" t="s">
        <v>4053</v>
      </c>
      <c r="E549" s="4" t="s">
        <v>4054</v>
      </c>
      <c r="F549" s="4">
        <v>223.51</v>
      </c>
      <c r="G549" s="4" t="s">
        <v>36</v>
      </c>
      <c r="H549" s="4" t="s">
        <v>4097</v>
      </c>
      <c r="I549" s="4" t="s">
        <v>4087</v>
      </c>
      <c r="J549" s="4"/>
      <c r="K549" s="4">
        <f>VLOOKUP(G549,Exchange_Rates!A:B,2,FALSE)</f>
        <v>1.08</v>
      </c>
      <c r="L549" s="4">
        <f t="shared" si="8"/>
        <v>241.39080000000001</v>
      </c>
    </row>
    <row r="550" spans="1:12" x14ac:dyDescent="0.25">
      <c r="A550" s="4" t="s">
        <v>4730</v>
      </c>
      <c r="B550" s="4" t="s">
        <v>4350</v>
      </c>
      <c r="C550" s="6">
        <v>45391</v>
      </c>
      <c r="D550" s="4" t="s">
        <v>4066</v>
      </c>
      <c r="E550" s="4" t="s">
        <v>4054</v>
      </c>
      <c r="F550" s="4">
        <v>558.76</v>
      </c>
      <c r="G550" s="4" t="s">
        <v>45</v>
      </c>
      <c r="H550" s="4" t="s">
        <v>4063</v>
      </c>
      <c r="I550" s="4" t="s">
        <v>4070</v>
      </c>
      <c r="J550" s="4"/>
      <c r="K550" s="4">
        <f>VLOOKUP(G550,Exchange_Rates!A:B,2,FALSE)</f>
        <v>1</v>
      </c>
      <c r="L550" s="4">
        <f t="shared" si="8"/>
        <v>558.76</v>
      </c>
    </row>
    <row r="551" spans="1:12" x14ac:dyDescent="0.25">
      <c r="A551" s="4" t="s">
        <v>4731</v>
      </c>
      <c r="B551" s="4" t="s">
        <v>4453</v>
      </c>
      <c r="C551" s="6">
        <v>45337</v>
      </c>
      <c r="D551" s="4" t="s">
        <v>4053</v>
      </c>
      <c r="E551" s="4" t="s">
        <v>4054</v>
      </c>
      <c r="F551" s="4">
        <v>410.56</v>
      </c>
      <c r="G551" s="4" t="s">
        <v>42</v>
      </c>
      <c r="H551" s="4" t="s">
        <v>4055</v>
      </c>
      <c r="I551" s="4" t="s">
        <v>4087</v>
      </c>
      <c r="J551" s="6">
        <v>45352</v>
      </c>
      <c r="K551" s="4">
        <f>VLOOKUP(G551,Exchange_Rates!A:B,2,FALSE)</f>
        <v>0.66</v>
      </c>
      <c r="L551" s="4">
        <f t="shared" si="8"/>
        <v>270.96960000000001</v>
      </c>
    </row>
    <row r="552" spans="1:12" x14ac:dyDescent="0.25">
      <c r="A552" s="4" t="s">
        <v>4732</v>
      </c>
      <c r="B552" s="4" t="s">
        <v>4199</v>
      </c>
      <c r="C552" s="6">
        <v>45481</v>
      </c>
      <c r="D552" s="4" t="s">
        <v>4069</v>
      </c>
      <c r="E552" s="4" t="s">
        <v>4054</v>
      </c>
      <c r="F552" s="4">
        <v>710.92</v>
      </c>
      <c r="G552" s="4" t="s">
        <v>36</v>
      </c>
      <c r="H552" s="4" t="s">
        <v>4055</v>
      </c>
      <c r="I552" s="4" t="s">
        <v>4087</v>
      </c>
      <c r="J552" s="6">
        <v>45496</v>
      </c>
      <c r="K552" s="4">
        <f>VLOOKUP(G552,Exchange_Rates!A:B,2,FALSE)</f>
        <v>1.08</v>
      </c>
      <c r="L552" s="4">
        <f t="shared" si="8"/>
        <v>767.79359999999997</v>
      </c>
    </row>
    <row r="553" spans="1:12" x14ac:dyDescent="0.25">
      <c r="A553" s="4" t="s">
        <v>4733</v>
      </c>
      <c r="B553" s="4" t="s">
        <v>4099</v>
      </c>
      <c r="C553" s="6">
        <v>45122</v>
      </c>
      <c r="D553" s="4" t="s">
        <v>4069</v>
      </c>
      <c r="E553" s="4" t="s">
        <v>4054</v>
      </c>
      <c r="F553" s="4">
        <v>268.05</v>
      </c>
      <c r="G553" s="4" t="s">
        <v>36</v>
      </c>
      <c r="H553" s="4" t="s">
        <v>4059</v>
      </c>
      <c r="I553" s="4" t="s">
        <v>4056</v>
      </c>
      <c r="J553" s="4"/>
      <c r="K553" s="4">
        <f>VLOOKUP(G553,Exchange_Rates!A:B,2,FALSE)</f>
        <v>1.08</v>
      </c>
      <c r="L553" s="4">
        <f t="shared" si="8"/>
        <v>289.49400000000003</v>
      </c>
    </row>
    <row r="554" spans="1:12" x14ac:dyDescent="0.25">
      <c r="A554" s="4" t="s">
        <v>4734</v>
      </c>
      <c r="B554" s="4" t="s">
        <v>4295</v>
      </c>
      <c r="C554" s="6">
        <v>45825</v>
      </c>
      <c r="D554" s="4" t="s">
        <v>4096</v>
      </c>
      <c r="E554" s="4" t="s">
        <v>4054</v>
      </c>
      <c r="F554" s="4">
        <v>158.28</v>
      </c>
      <c r="G554" s="4" t="s">
        <v>64</v>
      </c>
      <c r="H554" s="4" t="s">
        <v>4097</v>
      </c>
      <c r="I554" s="4" t="s">
        <v>4056</v>
      </c>
      <c r="J554" s="4"/>
      <c r="K554" s="4">
        <f>VLOOKUP(G554,Exchange_Rates!A:B,2,FALSE)</f>
        <v>0.73</v>
      </c>
      <c r="L554" s="4">
        <f t="shared" si="8"/>
        <v>115.5444</v>
      </c>
    </row>
    <row r="555" spans="1:12" x14ac:dyDescent="0.25">
      <c r="A555" s="4" t="s">
        <v>4735</v>
      </c>
      <c r="B555" s="4" t="s">
        <v>4258</v>
      </c>
      <c r="C555" s="6">
        <v>45097</v>
      </c>
      <c r="D555" s="4" t="s">
        <v>4069</v>
      </c>
      <c r="E555" s="4" t="s">
        <v>4054</v>
      </c>
      <c r="F555" s="4">
        <v>571.62</v>
      </c>
      <c r="G555" s="4" t="s">
        <v>36</v>
      </c>
      <c r="H555" s="4" t="s">
        <v>4097</v>
      </c>
      <c r="I555" s="4" t="s">
        <v>4070</v>
      </c>
      <c r="J555" s="4"/>
      <c r="K555" s="4">
        <f>VLOOKUP(G555,Exchange_Rates!A:B,2,FALSE)</f>
        <v>1.08</v>
      </c>
      <c r="L555" s="4">
        <f t="shared" si="8"/>
        <v>617.34960000000001</v>
      </c>
    </row>
    <row r="556" spans="1:12" x14ac:dyDescent="0.25">
      <c r="A556" s="4" t="s">
        <v>4736</v>
      </c>
      <c r="B556" s="4" t="s">
        <v>4239</v>
      </c>
      <c r="C556" s="6">
        <v>44964</v>
      </c>
      <c r="D556" s="4" t="s">
        <v>4066</v>
      </c>
      <c r="E556" s="4" t="s">
        <v>4054</v>
      </c>
      <c r="F556" s="4">
        <v>166.37</v>
      </c>
      <c r="G556" s="4" t="s">
        <v>36</v>
      </c>
      <c r="H556" s="4" t="s">
        <v>4055</v>
      </c>
      <c r="I556" s="4" t="s">
        <v>4056</v>
      </c>
      <c r="J556" s="6">
        <v>44979</v>
      </c>
      <c r="K556" s="4">
        <f>VLOOKUP(G556,Exchange_Rates!A:B,2,FALSE)</f>
        <v>1.08</v>
      </c>
      <c r="L556" s="4">
        <f t="shared" si="8"/>
        <v>179.67960000000002</v>
      </c>
    </row>
    <row r="557" spans="1:12" x14ac:dyDescent="0.25">
      <c r="A557" s="4" t="s">
        <v>4737</v>
      </c>
      <c r="B557" s="4" t="s">
        <v>4626</v>
      </c>
      <c r="C557" s="6">
        <v>45517</v>
      </c>
      <c r="D557" s="4" t="s">
        <v>4066</v>
      </c>
      <c r="E557" s="4" t="s">
        <v>4054</v>
      </c>
      <c r="F557" s="4">
        <v>519.72</v>
      </c>
      <c r="G557" s="4" t="s">
        <v>28</v>
      </c>
      <c r="H557" s="4" t="s">
        <v>4059</v>
      </c>
      <c r="I557" s="4" t="s">
        <v>4056</v>
      </c>
      <c r="J557" s="4"/>
      <c r="K557" s="4">
        <f>VLOOKUP(G557,Exchange_Rates!A:B,2,FALSE)</f>
        <v>1.27</v>
      </c>
      <c r="L557" s="4">
        <f t="shared" si="8"/>
        <v>660.0444</v>
      </c>
    </row>
    <row r="558" spans="1:12" x14ac:dyDescent="0.25">
      <c r="A558" s="4" t="s">
        <v>4738</v>
      </c>
      <c r="B558" s="4" t="s">
        <v>4052</v>
      </c>
      <c r="C558" s="6">
        <v>45669</v>
      </c>
      <c r="D558" s="4" t="s">
        <v>4096</v>
      </c>
      <c r="E558" s="4" t="s">
        <v>4054</v>
      </c>
      <c r="F558" s="4">
        <v>595.47</v>
      </c>
      <c r="G558" s="4" t="s">
        <v>36</v>
      </c>
      <c r="H558" s="4" t="s">
        <v>4097</v>
      </c>
      <c r="I558" s="4" t="s">
        <v>4087</v>
      </c>
      <c r="J558" s="4"/>
      <c r="K558" s="4">
        <f>VLOOKUP(G558,Exchange_Rates!A:B,2,FALSE)</f>
        <v>1.08</v>
      </c>
      <c r="L558" s="4">
        <f t="shared" si="8"/>
        <v>643.10760000000005</v>
      </c>
    </row>
    <row r="559" spans="1:12" x14ac:dyDescent="0.25">
      <c r="A559" s="4" t="s">
        <v>4739</v>
      </c>
      <c r="B559" s="4" t="s">
        <v>4136</v>
      </c>
      <c r="C559" s="6">
        <v>45259</v>
      </c>
      <c r="D559" s="4" t="s">
        <v>4069</v>
      </c>
      <c r="E559" s="4" t="s">
        <v>4054</v>
      </c>
      <c r="F559" s="4">
        <v>302.43</v>
      </c>
      <c r="G559" s="4" t="s">
        <v>45</v>
      </c>
      <c r="H559" s="4" t="s">
        <v>4063</v>
      </c>
      <c r="I559" s="4" t="s">
        <v>4070</v>
      </c>
      <c r="J559" s="4"/>
      <c r="K559" s="4">
        <f>VLOOKUP(G559,Exchange_Rates!A:B,2,FALSE)</f>
        <v>1</v>
      </c>
      <c r="L559" s="4">
        <f t="shared" si="8"/>
        <v>302.43</v>
      </c>
    </row>
    <row r="560" spans="1:12" x14ac:dyDescent="0.25">
      <c r="A560" s="4" t="s">
        <v>4740</v>
      </c>
      <c r="B560" s="4" t="s">
        <v>4176</v>
      </c>
      <c r="C560" s="6">
        <v>45173</v>
      </c>
      <c r="D560" s="4" t="s">
        <v>4053</v>
      </c>
      <c r="E560" s="4" t="s">
        <v>4054</v>
      </c>
      <c r="F560" s="4">
        <v>733.65</v>
      </c>
      <c r="G560" s="4" t="s">
        <v>64</v>
      </c>
      <c r="H560" s="4" t="s">
        <v>4063</v>
      </c>
      <c r="I560" s="4" t="s">
        <v>4087</v>
      </c>
      <c r="J560" s="4"/>
      <c r="K560" s="4">
        <f>VLOOKUP(G560,Exchange_Rates!A:B,2,FALSE)</f>
        <v>0.73</v>
      </c>
      <c r="L560" s="4">
        <f t="shared" si="8"/>
        <v>535.56449999999995</v>
      </c>
    </row>
    <row r="561" spans="1:12" x14ac:dyDescent="0.25">
      <c r="A561" s="4" t="s">
        <v>4741</v>
      </c>
      <c r="B561" s="4" t="s">
        <v>4199</v>
      </c>
      <c r="C561" s="6">
        <v>45518</v>
      </c>
      <c r="D561" s="4" t="s">
        <v>4096</v>
      </c>
      <c r="E561" s="4" t="s">
        <v>4054</v>
      </c>
      <c r="F561" s="4">
        <v>727.58</v>
      </c>
      <c r="G561" s="4" t="s">
        <v>45</v>
      </c>
      <c r="H561" s="4" t="s">
        <v>4055</v>
      </c>
      <c r="I561" s="4" t="s">
        <v>4056</v>
      </c>
      <c r="J561" s="6">
        <v>45533</v>
      </c>
      <c r="K561" s="4">
        <f>VLOOKUP(G561,Exchange_Rates!A:B,2,FALSE)</f>
        <v>1</v>
      </c>
      <c r="L561" s="4">
        <f t="shared" si="8"/>
        <v>727.58</v>
      </c>
    </row>
    <row r="562" spans="1:12" x14ac:dyDescent="0.25">
      <c r="A562" s="4" t="s">
        <v>4742</v>
      </c>
      <c r="B562" s="4" t="s">
        <v>4072</v>
      </c>
      <c r="C562" s="6">
        <v>45731</v>
      </c>
      <c r="D562" s="4" t="s">
        <v>4069</v>
      </c>
      <c r="E562" s="4" t="s">
        <v>4054</v>
      </c>
      <c r="F562" s="4">
        <v>514.25</v>
      </c>
      <c r="G562" s="4" t="s">
        <v>42</v>
      </c>
      <c r="H562" s="4" t="s">
        <v>4063</v>
      </c>
      <c r="I562" s="4" t="s">
        <v>4070</v>
      </c>
      <c r="J562" s="4"/>
      <c r="K562" s="4">
        <f>VLOOKUP(G562,Exchange_Rates!A:B,2,FALSE)</f>
        <v>0.66</v>
      </c>
      <c r="L562" s="4">
        <f t="shared" si="8"/>
        <v>339.40500000000003</v>
      </c>
    </row>
    <row r="563" spans="1:12" x14ac:dyDescent="0.25">
      <c r="A563" s="4" t="s">
        <v>4743</v>
      </c>
      <c r="B563" s="4" t="s">
        <v>4158</v>
      </c>
      <c r="C563" s="6">
        <v>45277</v>
      </c>
      <c r="D563" s="4" t="s">
        <v>4096</v>
      </c>
      <c r="E563" s="4" t="s">
        <v>4054</v>
      </c>
      <c r="F563" s="4">
        <v>512.86</v>
      </c>
      <c r="G563" s="4" t="s">
        <v>28</v>
      </c>
      <c r="H563" s="4" t="s">
        <v>4059</v>
      </c>
      <c r="I563" s="4" t="s">
        <v>4070</v>
      </c>
      <c r="J563" s="4"/>
      <c r="K563" s="4">
        <f>VLOOKUP(G563,Exchange_Rates!A:B,2,FALSE)</f>
        <v>1.27</v>
      </c>
      <c r="L563" s="4">
        <f t="shared" si="8"/>
        <v>651.33220000000006</v>
      </c>
    </row>
    <row r="564" spans="1:12" x14ac:dyDescent="0.25">
      <c r="A564" s="4" t="s">
        <v>4744</v>
      </c>
      <c r="B564" s="4" t="s">
        <v>4239</v>
      </c>
      <c r="C564" s="6">
        <v>45417</v>
      </c>
      <c r="D564" s="4" t="s">
        <v>4053</v>
      </c>
      <c r="E564" s="4" t="s">
        <v>4054</v>
      </c>
      <c r="F564" s="4">
        <v>463.01</v>
      </c>
      <c r="G564" s="4" t="s">
        <v>42</v>
      </c>
      <c r="H564" s="4" t="s">
        <v>4097</v>
      </c>
      <c r="I564" s="4" t="s">
        <v>4070</v>
      </c>
      <c r="J564" s="4"/>
      <c r="K564" s="4">
        <f>VLOOKUP(G564,Exchange_Rates!A:B,2,FALSE)</f>
        <v>0.66</v>
      </c>
      <c r="L564" s="4">
        <f t="shared" si="8"/>
        <v>305.58660000000003</v>
      </c>
    </row>
    <row r="565" spans="1:12" x14ac:dyDescent="0.25">
      <c r="A565" s="4" t="s">
        <v>4745</v>
      </c>
      <c r="B565" s="4" t="s">
        <v>4164</v>
      </c>
      <c r="C565" s="6">
        <v>45343</v>
      </c>
      <c r="D565" s="4" t="s">
        <v>4062</v>
      </c>
      <c r="E565" s="4" t="s">
        <v>4054</v>
      </c>
      <c r="F565" s="4">
        <v>673.09</v>
      </c>
      <c r="G565" s="4" t="s">
        <v>36</v>
      </c>
      <c r="H565" s="4" t="s">
        <v>4063</v>
      </c>
      <c r="I565" s="4" t="s">
        <v>4087</v>
      </c>
      <c r="J565" s="4"/>
      <c r="K565" s="4">
        <f>VLOOKUP(G565,Exchange_Rates!A:B,2,FALSE)</f>
        <v>1.08</v>
      </c>
      <c r="L565" s="4">
        <f t="shared" si="8"/>
        <v>726.93720000000008</v>
      </c>
    </row>
    <row r="566" spans="1:12" x14ac:dyDescent="0.25">
      <c r="A566" s="4" t="s">
        <v>4746</v>
      </c>
      <c r="B566" s="4" t="s">
        <v>4255</v>
      </c>
      <c r="C566" s="6">
        <v>44946</v>
      </c>
      <c r="D566" s="4" t="s">
        <v>4053</v>
      </c>
      <c r="E566" s="4" t="s">
        <v>4054</v>
      </c>
      <c r="F566" s="4">
        <v>781.96</v>
      </c>
      <c r="G566" s="4" t="s">
        <v>64</v>
      </c>
      <c r="H566" s="4" t="s">
        <v>4055</v>
      </c>
      <c r="I566" s="4" t="s">
        <v>4056</v>
      </c>
      <c r="J566" s="6">
        <v>44961</v>
      </c>
      <c r="K566" s="4">
        <f>VLOOKUP(G566,Exchange_Rates!A:B,2,FALSE)</f>
        <v>0.73</v>
      </c>
      <c r="L566" s="4">
        <f t="shared" si="8"/>
        <v>570.83080000000007</v>
      </c>
    </row>
    <row r="567" spans="1:12" x14ac:dyDescent="0.25">
      <c r="A567" s="4" t="s">
        <v>4747</v>
      </c>
      <c r="B567" s="4" t="s">
        <v>4156</v>
      </c>
      <c r="C567" s="6">
        <v>45413</v>
      </c>
      <c r="D567" s="4" t="s">
        <v>4096</v>
      </c>
      <c r="E567" s="4" t="s">
        <v>4054</v>
      </c>
      <c r="F567" s="4">
        <v>697.54</v>
      </c>
      <c r="G567" s="4" t="s">
        <v>36</v>
      </c>
      <c r="H567" s="4" t="s">
        <v>4059</v>
      </c>
      <c r="I567" s="4" t="s">
        <v>4087</v>
      </c>
      <c r="J567" s="4"/>
      <c r="K567" s="4">
        <f>VLOOKUP(G567,Exchange_Rates!A:B,2,FALSE)</f>
        <v>1.08</v>
      </c>
      <c r="L567" s="4">
        <f t="shared" si="8"/>
        <v>753.34320000000002</v>
      </c>
    </row>
    <row r="568" spans="1:12" x14ac:dyDescent="0.25">
      <c r="A568" s="4" t="s">
        <v>4748</v>
      </c>
      <c r="B568" s="4" t="s">
        <v>4330</v>
      </c>
      <c r="C568" s="6">
        <v>45719</v>
      </c>
      <c r="D568" s="4" t="s">
        <v>4062</v>
      </c>
      <c r="E568" s="4" t="s">
        <v>4054</v>
      </c>
      <c r="F568" s="4">
        <v>491.54</v>
      </c>
      <c r="G568" s="4" t="s">
        <v>28</v>
      </c>
      <c r="H568" s="4" t="s">
        <v>4063</v>
      </c>
      <c r="I568" s="4" t="s">
        <v>4070</v>
      </c>
      <c r="J568" s="4"/>
      <c r="K568" s="4">
        <f>VLOOKUP(G568,Exchange_Rates!A:B,2,FALSE)</f>
        <v>1.27</v>
      </c>
      <c r="L568" s="4">
        <f t="shared" si="8"/>
        <v>624.25580000000002</v>
      </c>
    </row>
    <row r="569" spans="1:12" x14ac:dyDescent="0.25">
      <c r="A569" s="4" t="s">
        <v>4749</v>
      </c>
      <c r="B569" s="4" t="s">
        <v>4239</v>
      </c>
      <c r="C569" s="6">
        <v>45144</v>
      </c>
      <c r="D569" s="4" t="s">
        <v>4096</v>
      </c>
      <c r="E569" s="4" t="s">
        <v>4054</v>
      </c>
      <c r="F569" s="4">
        <v>245.38</v>
      </c>
      <c r="G569" s="4" t="s">
        <v>42</v>
      </c>
      <c r="H569" s="4" t="s">
        <v>4097</v>
      </c>
      <c r="I569" s="4" t="s">
        <v>4070</v>
      </c>
      <c r="J569" s="4"/>
      <c r="K569" s="4">
        <f>VLOOKUP(G569,Exchange_Rates!A:B,2,FALSE)</f>
        <v>0.66</v>
      </c>
      <c r="L569" s="4">
        <f t="shared" si="8"/>
        <v>161.95080000000002</v>
      </c>
    </row>
    <row r="570" spans="1:12" x14ac:dyDescent="0.25">
      <c r="A570" s="4" t="s">
        <v>4750</v>
      </c>
      <c r="B570" s="4" t="s">
        <v>4061</v>
      </c>
      <c r="C570" s="6">
        <v>45522</v>
      </c>
      <c r="D570" s="4" t="s">
        <v>4062</v>
      </c>
      <c r="E570" s="4" t="s">
        <v>4054</v>
      </c>
      <c r="F570" s="4">
        <v>470.49</v>
      </c>
      <c r="G570" s="4" t="s">
        <v>64</v>
      </c>
      <c r="H570" s="4" t="s">
        <v>4063</v>
      </c>
      <c r="I570" s="4" t="s">
        <v>4056</v>
      </c>
      <c r="J570" s="4"/>
      <c r="K570" s="4">
        <f>VLOOKUP(G570,Exchange_Rates!A:B,2,FALSE)</f>
        <v>0.73</v>
      </c>
      <c r="L570" s="4">
        <f t="shared" si="8"/>
        <v>343.45769999999999</v>
      </c>
    </row>
    <row r="571" spans="1:12" x14ac:dyDescent="0.25">
      <c r="A571" s="4" t="s">
        <v>4751</v>
      </c>
      <c r="B571" s="4" t="s">
        <v>4528</v>
      </c>
      <c r="C571" s="6">
        <v>45804</v>
      </c>
      <c r="D571" s="4" t="s">
        <v>4069</v>
      </c>
      <c r="E571" s="4" t="s">
        <v>4054</v>
      </c>
      <c r="F571" s="4">
        <v>721.65</v>
      </c>
      <c r="G571" s="4" t="s">
        <v>36</v>
      </c>
      <c r="H571" s="4" t="s">
        <v>4063</v>
      </c>
      <c r="I571" s="4" t="s">
        <v>4056</v>
      </c>
      <c r="J571" s="4"/>
      <c r="K571" s="4">
        <f>VLOOKUP(G571,Exchange_Rates!A:B,2,FALSE)</f>
        <v>1.08</v>
      </c>
      <c r="L571" s="4">
        <f t="shared" si="8"/>
        <v>779.38200000000006</v>
      </c>
    </row>
    <row r="572" spans="1:12" x14ac:dyDescent="0.25">
      <c r="A572" s="4" t="s">
        <v>4752</v>
      </c>
      <c r="B572" s="4" t="s">
        <v>4300</v>
      </c>
      <c r="C572" s="6">
        <v>44965</v>
      </c>
      <c r="D572" s="4" t="s">
        <v>4053</v>
      </c>
      <c r="E572" s="4" t="s">
        <v>4054</v>
      </c>
      <c r="F572" s="4">
        <v>29.5</v>
      </c>
      <c r="G572" s="4" t="s">
        <v>36</v>
      </c>
      <c r="H572" s="4" t="s">
        <v>4097</v>
      </c>
      <c r="I572" s="4" t="s">
        <v>4087</v>
      </c>
      <c r="J572" s="4"/>
      <c r="K572" s="4">
        <f>VLOOKUP(G572,Exchange_Rates!A:B,2,FALSE)</f>
        <v>1.08</v>
      </c>
      <c r="L572" s="4">
        <f t="shared" si="8"/>
        <v>31.860000000000003</v>
      </c>
    </row>
    <row r="573" spans="1:12" x14ac:dyDescent="0.25">
      <c r="A573" s="4" t="s">
        <v>4753</v>
      </c>
      <c r="B573" s="4" t="s">
        <v>4106</v>
      </c>
      <c r="C573" s="6">
        <v>45106</v>
      </c>
      <c r="D573" s="4" t="s">
        <v>4066</v>
      </c>
      <c r="E573" s="4" t="s">
        <v>4054</v>
      </c>
      <c r="F573" s="4">
        <v>711.76</v>
      </c>
      <c r="G573" s="4" t="s">
        <v>28</v>
      </c>
      <c r="H573" s="4" t="s">
        <v>4055</v>
      </c>
      <c r="I573" s="4" t="s">
        <v>4056</v>
      </c>
      <c r="J573" s="6">
        <v>45121</v>
      </c>
      <c r="K573" s="4">
        <f>VLOOKUP(G573,Exchange_Rates!A:B,2,FALSE)</f>
        <v>1.27</v>
      </c>
      <c r="L573" s="4">
        <f t="shared" si="8"/>
        <v>903.93520000000001</v>
      </c>
    </row>
    <row r="574" spans="1:12" x14ac:dyDescent="0.25">
      <c r="A574" s="4" t="s">
        <v>4754</v>
      </c>
      <c r="B574" s="4" t="s">
        <v>4430</v>
      </c>
      <c r="C574" s="6">
        <v>45645</v>
      </c>
      <c r="D574" s="4" t="s">
        <v>4066</v>
      </c>
      <c r="E574" s="4" t="s">
        <v>4054</v>
      </c>
      <c r="F574" s="4">
        <v>560.20000000000005</v>
      </c>
      <c r="G574" s="4" t="s">
        <v>28</v>
      </c>
      <c r="H574" s="4" t="s">
        <v>4063</v>
      </c>
      <c r="I574" s="4" t="s">
        <v>4070</v>
      </c>
      <c r="J574" s="4"/>
      <c r="K574" s="4">
        <f>VLOOKUP(G574,Exchange_Rates!A:B,2,FALSE)</f>
        <v>1.27</v>
      </c>
      <c r="L574" s="4">
        <f t="shared" si="8"/>
        <v>711.45400000000006</v>
      </c>
    </row>
    <row r="575" spans="1:12" x14ac:dyDescent="0.25">
      <c r="A575" s="4" t="s">
        <v>4755</v>
      </c>
      <c r="B575" s="4" t="s">
        <v>4129</v>
      </c>
      <c r="C575" s="6">
        <v>45319</v>
      </c>
      <c r="D575" s="4" t="s">
        <v>4096</v>
      </c>
      <c r="E575" s="4" t="s">
        <v>4054</v>
      </c>
      <c r="F575" s="4">
        <v>114.37</v>
      </c>
      <c r="G575" s="4" t="s">
        <v>28</v>
      </c>
      <c r="H575" s="4" t="s">
        <v>4097</v>
      </c>
      <c r="I575" s="4" t="s">
        <v>4070</v>
      </c>
      <c r="J575" s="4"/>
      <c r="K575" s="4">
        <f>VLOOKUP(G575,Exchange_Rates!A:B,2,FALSE)</f>
        <v>1.27</v>
      </c>
      <c r="L575" s="4">
        <f t="shared" si="8"/>
        <v>145.2499</v>
      </c>
    </row>
    <row r="576" spans="1:12" x14ac:dyDescent="0.25">
      <c r="A576" s="4" t="s">
        <v>4756</v>
      </c>
      <c r="B576" s="4" t="s">
        <v>4365</v>
      </c>
      <c r="C576" s="6">
        <v>45715</v>
      </c>
      <c r="D576" s="4" t="s">
        <v>4069</v>
      </c>
      <c r="E576" s="4" t="s">
        <v>4054</v>
      </c>
      <c r="F576" s="4">
        <v>143.57</v>
      </c>
      <c r="G576" s="4" t="s">
        <v>36</v>
      </c>
      <c r="H576" s="4" t="s">
        <v>4063</v>
      </c>
      <c r="I576" s="4" t="s">
        <v>4087</v>
      </c>
      <c r="J576" s="4"/>
      <c r="K576" s="4">
        <f>VLOOKUP(G576,Exchange_Rates!A:B,2,FALSE)</f>
        <v>1.08</v>
      </c>
      <c r="L576" s="4">
        <f t="shared" si="8"/>
        <v>155.0556</v>
      </c>
    </row>
    <row r="577" spans="1:12" x14ac:dyDescent="0.25">
      <c r="A577" s="4" t="s">
        <v>4757</v>
      </c>
      <c r="B577" s="4" t="s">
        <v>4112</v>
      </c>
      <c r="C577" s="6">
        <v>44984</v>
      </c>
      <c r="D577" s="4" t="s">
        <v>4069</v>
      </c>
      <c r="E577" s="4" t="s">
        <v>4054</v>
      </c>
      <c r="F577" s="4">
        <v>705.41</v>
      </c>
      <c r="G577" s="4" t="s">
        <v>45</v>
      </c>
      <c r="H577" s="4" t="s">
        <v>4059</v>
      </c>
      <c r="I577" s="4" t="s">
        <v>4056</v>
      </c>
      <c r="J577" s="4"/>
      <c r="K577" s="4">
        <f>VLOOKUP(G577,Exchange_Rates!A:B,2,FALSE)</f>
        <v>1</v>
      </c>
      <c r="L577" s="4">
        <f t="shared" si="8"/>
        <v>705.41</v>
      </c>
    </row>
    <row r="578" spans="1:12" x14ac:dyDescent="0.25">
      <c r="A578" s="4" t="s">
        <v>4758</v>
      </c>
      <c r="B578" s="4" t="s">
        <v>4232</v>
      </c>
      <c r="C578" s="6">
        <v>45537</v>
      </c>
      <c r="D578" s="4" t="s">
        <v>4053</v>
      </c>
      <c r="E578" s="4" t="s">
        <v>4054</v>
      </c>
      <c r="F578" s="4">
        <v>537.29999999999995</v>
      </c>
      <c r="G578" s="4" t="s">
        <v>64</v>
      </c>
      <c r="H578" s="4" t="s">
        <v>4097</v>
      </c>
      <c r="I578" s="4" t="s">
        <v>4070</v>
      </c>
      <c r="J578" s="4"/>
      <c r="K578" s="4">
        <f>VLOOKUP(G578,Exchange_Rates!A:B,2,FALSE)</f>
        <v>0.73</v>
      </c>
      <c r="L578" s="4">
        <f t="shared" si="8"/>
        <v>392.22899999999998</v>
      </c>
    </row>
    <row r="579" spans="1:12" x14ac:dyDescent="0.25">
      <c r="A579" s="4" t="s">
        <v>4759</v>
      </c>
      <c r="B579" s="4" t="s">
        <v>4302</v>
      </c>
      <c r="C579" s="6">
        <v>44941</v>
      </c>
      <c r="D579" s="4" t="s">
        <v>4096</v>
      </c>
      <c r="E579" s="4" t="s">
        <v>4054</v>
      </c>
      <c r="F579" s="4">
        <v>671.53</v>
      </c>
      <c r="G579" s="4" t="s">
        <v>64</v>
      </c>
      <c r="H579" s="4" t="s">
        <v>4059</v>
      </c>
      <c r="I579" s="4" t="s">
        <v>4056</v>
      </c>
      <c r="J579" s="4"/>
      <c r="K579" s="4">
        <f>VLOOKUP(G579,Exchange_Rates!A:B,2,FALSE)</f>
        <v>0.73</v>
      </c>
      <c r="L579" s="4">
        <f t="shared" ref="L579:L642" si="9">F579*K579</f>
        <v>490.21689999999995</v>
      </c>
    </row>
    <row r="580" spans="1:12" x14ac:dyDescent="0.25">
      <c r="A580" s="4" t="s">
        <v>4760</v>
      </c>
      <c r="B580" s="4" t="s">
        <v>4120</v>
      </c>
      <c r="C580" s="6">
        <v>45200</v>
      </c>
      <c r="D580" s="4" t="s">
        <v>4066</v>
      </c>
      <c r="E580" s="4" t="s">
        <v>4054</v>
      </c>
      <c r="F580" s="4">
        <v>337.74</v>
      </c>
      <c r="G580" s="4" t="s">
        <v>64</v>
      </c>
      <c r="H580" s="4" t="s">
        <v>4055</v>
      </c>
      <c r="I580" s="4" t="s">
        <v>4070</v>
      </c>
      <c r="J580" s="6">
        <v>45215</v>
      </c>
      <c r="K580" s="4">
        <f>VLOOKUP(G580,Exchange_Rates!A:B,2,FALSE)</f>
        <v>0.73</v>
      </c>
      <c r="L580" s="4">
        <f t="shared" si="9"/>
        <v>246.55019999999999</v>
      </c>
    </row>
    <row r="581" spans="1:12" x14ac:dyDescent="0.25">
      <c r="A581" s="4" t="s">
        <v>4761</v>
      </c>
      <c r="B581" s="4" t="s">
        <v>4145</v>
      </c>
      <c r="C581" s="6">
        <v>45326</v>
      </c>
      <c r="D581" s="4" t="s">
        <v>4062</v>
      </c>
      <c r="E581" s="4" t="s">
        <v>4054</v>
      </c>
      <c r="F581" s="4">
        <v>428.81</v>
      </c>
      <c r="G581" s="4" t="s">
        <v>64</v>
      </c>
      <c r="H581" s="4" t="s">
        <v>4059</v>
      </c>
      <c r="I581" s="4" t="s">
        <v>4087</v>
      </c>
      <c r="J581" s="4"/>
      <c r="K581" s="4">
        <f>VLOOKUP(G581,Exchange_Rates!A:B,2,FALSE)</f>
        <v>0.73</v>
      </c>
      <c r="L581" s="4">
        <f t="shared" si="9"/>
        <v>313.03129999999999</v>
      </c>
    </row>
    <row r="582" spans="1:12" x14ac:dyDescent="0.25">
      <c r="A582" s="4" t="s">
        <v>4762</v>
      </c>
      <c r="B582" s="4" t="s">
        <v>4558</v>
      </c>
      <c r="C582" s="6">
        <v>44998</v>
      </c>
      <c r="D582" s="4" t="s">
        <v>4053</v>
      </c>
      <c r="E582" s="4" t="s">
        <v>4054</v>
      </c>
      <c r="F582" s="4">
        <v>414.53</v>
      </c>
      <c r="G582" s="4" t="s">
        <v>45</v>
      </c>
      <c r="H582" s="4" t="s">
        <v>4097</v>
      </c>
      <c r="I582" s="4" t="s">
        <v>4087</v>
      </c>
      <c r="J582" s="4"/>
      <c r="K582" s="4">
        <f>VLOOKUP(G582,Exchange_Rates!A:B,2,FALSE)</f>
        <v>1</v>
      </c>
      <c r="L582" s="4">
        <f t="shared" si="9"/>
        <v>414.53</v>
      </c>
    </row>
    <row r="583" spans="1:12" x14ac:dyDescent="0.25">
      <c r="A583" s="4" t="s">
        <v>4763</v>
      </c>
      <c r="B583" s="4" t="s">
        <v>4152</v>
      </c>
      <c r="C583" s="6">
        <v>45669</v>
      </c>
      <c r="D583" s="4" t="s">
        <v>4069</v>
      </c>
      <c r="E583" s="4" t="s">
        <v>4054</v>
      </c>
      <c r="F583" s="4">
        <v>41.9</v>
      </c>
      <c r="G583" s="4" t="s">
        <v>28</v>
      </c>
      <c r="H583" s="4" t="s">
        <v>4097</v>
      </c>
      <c r="I583" s="4" t="s">
        <v>4070</v>
      </c>
      <c r="J583" s="4"/>
      <c r="K583" s="4">
        <f>VLOOKUP(G583,Exchange_Rates!A:B,2,FALSE)</f>
        <v>1.27</v>
      </c>
      <c r="L583" s="4">
        <f t="shared" si="9"/>
        <v>53.213000000000001</v>
      </c>
    </row>
    <row r="584" spans="1:12" x14ac:dyDescent="0.25">
      <c r="A584" s="4" t="s">
        <v>4764</v>
      </c>
      <c r="B584" s="4" t="s">
        <v>4082</v>
      </c>
      <c r="C584" s="6">
        <v>45284</v>
      </c>
      <c r="D584" s="4" t="s">
        <v>4062</v>
      </c>
      <c r="E584" s="4" t="s">
        <v>4054</v>
      </c>
      <c r="F584" s="4">
        <v>207.72</v>
      </c>
      <c r="G584" s="4" t="s">
        <v>45</v>
      </c>
      <c r="H584" s="4" t="s">
        <v>4097</v>
      </c>
      <c r="I584" s="4" t="s">
        <v>4087</v>
      </c>
      <c r="J584" s="4"/>
      <c r="K584" s="4">
        <f>VLOOKUP(G584,Exchange_Rates!A:B,2,FALSE)</f>
        <v>1</v>
      </c>
      <c r="L584" s="4">
        <f t="shared" si="9"/>
        <v>207.72</v>
      </c>
    </row>
    <row r="585" spans="1:12" x14ac:dyDescent="0.25">
      <c r="A585" s="4" t="s">
        <v>4765</v>
      </c>
      <c r="B585" s="4" t="s">
        <v>4082</v>
      </c>
      <c r="C585" s="6">
        <v>45021</v>
      </c>
      <c r="D585" s="4" t="s">
        <v>4066</v>
      </c>
      <c r="E585" s="4" t="s">
        <v>4054</v>
      </c>
      <c r="F585" s="4">
        <v>164.47</v>
      </c>
      <c r="G585" s="4" t="s">
        <v>28</v>
      </c>
      <c r="H585" s="4" t="s">
        <v>4097</v>
      </c>
      <c r="I585" s="4" t="s">
        <v>4056</v>
      </c>
      <c r="J585" s="4"/>
      <c r="K585" s="4">
        <f>VLOOKUP(G585,Exchange_Rates!A:B,2,FALSE)</f>
        <v>1.27</v>
      </c>
      <c r="L585" s="4">
        <f t="shared" si="9"/>
        <v>208.87690000000001</v>
      </c>
    </row>
    <row r="586" spans="1:12" x14ac:dyDescent="0.25">
      <c r="A586" s="4" t="s">
        <v>4766</v>
      </c>
      <c r="B586" s="4" t="s">
        <v>4204</v>
      </c>
      <c r="C586" s="6">
        <v>44956</v>
      </c>
      <c r="D586" s="4" t="s">
        <v>4069</v>
      </c>
      <c r="E586" s="4" t="s">
        <v>4054</v>
      </c>
      <c r="F586" s="4">
        <v>487.27</v>
      </c>
      <c r="G586" s="4" t="s">
        <v>42</v>
      </c>
      <c r="H586" s="4" t="s">
        <v>4097</v>
      </c>
      <c r="I586" s="4" t="s">
        <v>4056</v>
      </c>
      <c r="J586" s="4"/>
      <c r="K586" s="4">
        <f>VLOOKUP(G586,Exchange_Rates!A:B,2,FALSE)</f>
        <v>0.66</v>
      </c>
      <c r="L586" s="4">
        <f t="shared" si="9"/>
        <v>321.59820000000002</v>
      </c>
    </row>
    <row r="587" spans="1:12" x14ac:dyDescent="0.25">
      <c r="A587" s="4" t="s">
        <v>4767</v>
      </c>
      <c r="B587" s="4" t="s">
        <v>4061</v>
      </c>
      <c r="C587" s="6">
        <v>45070</v>
      </c>
      <c r="D587" s="4" t="s">
        <v>4053</v>
      </c>
      <c r="E587" s="4" t="s">
        <v>4054</v>
      </c>
      <c r="F587" s="4">
        <v>343.75</v>
      </c>
      <c r="G587" s="4" t="s">
        <v>28</v>
      </c>
      <c r="H587" s="4" t="s">
        <v>4097</v>
      </c>
      <c r="I587" s="4" t="s">
        <v>4087</v>
      </c>
      <c r="J587" s="4"/>
      <c r="K587" s="4">
        <f>VLOOKUP(G587,Exchange_Rates!A:B,2,FALSE)</f>
        <v>1.27</v>
      </c>
      <c r="L587" s="4">
        <f t="shared" si="9"/>
        <v>436.5625</v>
      </c>
    </row>
    <row r="588" spans="1:12" x14ac:dyDescent="0.25">
      <c r="A588" s="4" t="s">
        <v>4768</v>
      </c>
      <c r="B588" s="4" t="s">
        <v>4350</v>
      </c>
      <c r="C588" s="6">
        <v>45029</v>
      </c>
      <c r="D588" s="4" t="s">
        <v>4062</v>
      </c>
      <c r="E588" s="4" t="s">
        <v>4054</v>
      </c>
      <c r="F588" s="4">
        <v>584.99</v>
      </c>
      <c r="G588" s="4" t="s">
        <v>28</v>
      </c>
      <c r="H588" s="4" t="s">
        <v>4059</v>
      </c>
      <c r="I588" s="4" t="s">
        <v>4070</v>
      </c>
      <c r="J588" s="4"/>
      <c r="K588" s="4">
        <f>VLOOKUP(G588,Exchange_Rates!A:B,2,FALSE)</f>
        <v>1.27</v>
      </c>
      <c r="L588" s="4">
        <f t="shared" si="9"/>
        <v>742.93730000000005</v>
      </c>
    </row>
    <row r="589" spans="1:12" x14ac:dyDescent="0.25">
      <c r="A589" s="4" t="s">
        <v>4769</v>
      </c>
      <c r="B589" s="4" t="s">
        <v>4150</v>
      </c>
      <c r="C589" s="6">
        <v>45278</v>
      </c>
      <c r="D589" s="4" t="s">
        <v>4062</v>
      </c>
      <c r="E589" s="4" t="s">
        <v>4054</v>
      </c>
      <c r="F589" s="4">
        <v>174.13</v>
      </c>
      <c r="G589" s="4" t="s">
        <v>36</v>
      </c>
      <c r="H589" s="4" t="s">
        <v>4063</v>
      </c>
      <c r="I589" s="4" t="s">
        <v>4056</v>
      </c>
      <c r="J589" s="4"/>
      <c r="K589" s="4">
        <f>VLOOKUP(G589,Exchange_Rates!A:B,2,FALSE)</f>
        <v>1.08</v>
      </c>
      <c r="L589" s="4">
        <f t="shared" si="9"/>
        <v>188.06040000000002</v>
      </c>
    </row>
    <row r="590" spans="1:12" x14ac:dyDescent="0.25">
      <c r="A590" s="4" t="s">
        <v>4770</v>
      </c>
      <c r="B590" s="4" t="s">
        <v>4387</v>
      </c>
      <c r="C590" s="6">
        <v>45572</v>
      </c>
      <c r="D590" s="4" t="s">
        <v>4062</v>
      </c>
      <c r="E590" s="4" t="s">
        <v>4054</v>
      </c>
      <c r="F590" s="4">
        <v>291.85000000000002</v>
      </c>
      <c r="G590" s="4" t="s">
        <v>64</v>
      </c>
      <c r="H590" s="4" t="s">
        <v>4063</v>
      </c>
      <c r="I590" s="4" t="s">
        <v>4070</v>
      </c>
      <c r="J590" s="4"/>
      <c r="K590" s="4">
        <f>VLOOKUP(G590,Exchange_Rates!A:B,2,FALSE)</f>
        <v>0.73</v>
      </c>
      <c r="L590" s="4">
        <f t="shared" si="9"/>
        <v>213.0505</v>
      </c>
    </row>
    <row r="591" spans="1:12" x14ac:dyDescent="0.25">
      <c r="A591" s="4" t="s">
        <v>4771</v>
      </c>
      <c r="B591" s="4" t="s">
        <v>4626</v>
      </c>
      <c r="C591" s="6">
        <v>45767</v>
      </c>
      <c r="D591" s="4" t="s">
        <v>4062</v>
      </c>
      <c r="E591" s="4" t="s">
        <v>4054</v>
      </c>
      <c r="F591" s="4">
        <v>417.36</v>
      </c>
      <c r="G591" s="4" t="s">
        <v>28</v>
      </c>
      <c r="H591" s="4" t="s">
        <v>4097</v>
      </c>
      <c r="I591" s="4" t="s">
        <v>4070</v>
      </c>
      <c r="J591" s="4"/>
      <c r="K591" s="4">
        <f>VLOOKUP(G591,Exchange_Rates!A:B,2,FALSE)</f>
        <v>1.27</v>
      </c>
      <c r="L591" s="4">
        <f t="shared" si="9"/>
        <v>530.04719999999998</v>
      </c>
    </row>
    <row r="592" spans="1:12" x14ac:dyDescent="0.25">
      <c r="A592" s="4" t="s">
        <v>4772</v>
      </c>
      <c r="B592" s="4" t="s">
        <v>4324</v>
      </c>
      <c r="C592" s="6">
        <v>45820</v>
      </c>
      <c r="D592" s="4" t="s">
        <v>4096</v>
      </c>
      <c r="E592" s="4" t="s">
        <v>4054</v>
      </c>
      <c r="F592" s="4">
        <v>789.18</v>
      </c>
      <c r="G592" s="4" t="s">
        <v>42</v>
      </c>
      <c r="H592" s="4" t="s">
        <v>4055</v>
      </c>
      <c r="I592" s="4" t="s">
        <v>4070</v>
      </c>
      <c r="J592" s="6">
        <v>45835</v>
      </c>
      <c r="K592" s="4">
        <f>VLOOKUP(G592,Exchange_Rates!A:B,2,FALSE)</f>
        <v>0.66</v>
      </c>
      <c r="L592" s="4">
        <f t="shared" si="9"/>
        <v>520.85879999999997</v>
      </c>
    </row>
    <row r="593" spans="1:12" x14ac:dyDescent="0.25">
      <c r="A593" s="4" t="s">
        <v>4773</v>
      </c>
      <c r="B593" s="4" t="s">
        <v>4204</v>
      </c>
      <c r="C593" s="6">
        <v>45024</v>
      </c>
      <c r="D593" s="4" t="s">
        <v>4096</v>
      </c>
      <c r="E593" s="4" t="s">
        <v>4054</v>
      </c>
      <c r="F593" s="4">
        <v>610.48</v>
      </c>
      <c r="G593" s="4" t="s">
        <v>64</v>
      </c>
      <c r="H593" s="4" t="s">
        <v>4055</v>
      </c>
      <c r="I593" s="4" t="s">
        <v>4087</v>
      </c>
      <c r="J593" s="6">
        <v>45039</v>
      </c>
      <c r="K593" s="4">
        <f>VLOOKUP(G593,Exchange_Rates!A:B,2,FALSE)</f>
        <v>0.73</v>
      </c>
      <c r="L593" s="4">
        <f t="shared" si="9"/>
        <v>445.65039999999999</v>
      </c>
    </row>
    <row r="594" spans="1:12" x14ac:dyDescent="0.25">
      <c r="A594" s="4" t="s">
        <v>4774</v>
      </c>
      <c r="B594" s="4" t="s">
        <v>4225</v>
      </c>
      <c r="C594" s="6">
        <v>44963</v>
      </c>
      <c r="D594" s="4" t="s">
        <v>4053</v>
      </c>
      <c r="E594" s="4" t="s">
        <v>4054</v>
      </c>
      <c r="F594" s="4">
        <v>550.1</v>
      </c>
      <c r="G594" s="4" t="s">
        <v>45</v>
      </c>
      <c r="H594" s="4" t="s">
        <v>4063</v>
      </c>
      <c r="I594" s="4" t="s">
        <v>4056</v>
      </c>
      <c r="J594" s="4"/>
      <c r="K594" s="4">
        <f>VLOOKUP(G594,Exchange_Rates!A:B,2,FALSE)</f>
        <v>1</v>
      </c>
      <c r="L594" s="4">
        <f t="shared" si="9"/>
        <v>550.1</v>
      </c>
    </row>
    <row r="595" spans="1:12" x14ac:dyDescent="0.25">
      <c r="A595" s="4" t="s">
        <v>4775</v>
      </c>
      <c r="B595" s="4" t="s">
        <v>4547</v>
      </c>
      <c r="C595" s="6">
        <v>45282</v>
      </c>
      <c r="D595" s="4" t="s">
        <v>4062</v>
      </c>
      <c r="E595" s="4" t="s">
        <v>4054</v>
      </c>
      <c r="F595" s="4">
        <v>50.7</v>
      </c>
      <c r="G595" s="4" t="s">
        <v>28</v>
      </c>
      <c r="H595" s="4" t="s">
        <v>4097</v>
      </c>
      <c r="I595" s="4" t="s">
        <v>4056</v>
      </c>
      <c r="J595" s="4"/>
      <c r="K595" s="4">
        <f>VLOOKUP(G595,Exchange_Rates!A:B,2,FALSE)</f>
        <v>1.27</v>
      </c>
      <c r="L595" s="4">
        <f t="shared" si="9"/>
        <v>64.38900000000001</v>
      </c>
    </row>
    <row r="596" spans="1:12" x14ac:dyDescent="0.25">
      <c r="A596" s="4" t="s">
        <v>4776</v>
      </c>
      <c r="B596" s="4" t="s">
        <v>4124</v>
      </c>
      <c r="C596" s="6">
        <v>45671</v>
      </c>
      <c r="D596" s="4" t="s">
        <v>4066</v>
      </c>
      <c r="E596" s="4" t="s">
        <v>4054</v>
      </c>
      <c r="F596" s="4">
        <v>686.62</v>
      </c>
      <c r="G596" s="4" t="s">
        <v>45</v>
      </c>
      <c r="H596" s="4" t="s">
        <v>4059</v>
      </c>
      <c r="I596" s="4" t="s">
        <v>4056</v>
      </c>
      <c r="J596" s="4"/>
      <c r="K596" s="4">
        <f>VLOOKUP(G596,Exchange_Rates!A:B,2,FALSE)</f>
        <v>1</v>
      </c>
      <c r="L596" s="4">
        <f t="shared" si="9"/>
        <v>686.62</v>
      </c>
    </row>
    <row r="597" spans="1:12" x14ac:dyDescent="0.25">
      <c r="A597" s="4" t="s">
        <v>4777</v>
      </c>
      <c r="B597" s="4" t="s">
        <v>4117</v>
      </c>
      <c r="C597" s="6">
        <v>45015</v>
      </c>
      <c r="D597" s="4" t="s">
        <v>4062</v>
      </c>
      <c r="E597" s="4" t="s">
        <v>4054</v>
      </c>
      <c r="F597" s="4">
        <v>129.80000000000001</v>
      </c>
      <c r="G597" s="4" t="s">
        <v>45</v>
      </c>
      <c r="H597" s="4" t="s">
        <v>4097</v>
      </c>
      <c r="I597" s="4" t="s">
        <v>4056</v>
      </c>
      <c r="J597" s="4"/>
      <c r="K597" s="4">
        <f>VLOOKUP(G597,Exchange_Rates!A:B,2,FALSE)</f>
        <v>1</v>
      </c>
      <c r="L597" s="4">
        <f t="shared" si="9"/>
        <v>129.80000000000001</v>
      </c>
    </row>
    <row r="598" spans="1:12" x14ac:dyDescent="0.25">
      <c r="A598" s="4" t="s">
        <v>4778</v>
      </c>
      <c r="B598" s="4" t="s">
        <v>4626</v>
      </c>
      <c r="C598" s="6">
        <v>45212</v>
      </c>
      <c r="D598" s="4" t="s">
        <v>4062</v>
      </c>
      <c r="E598" s="4" t="s">
        <v>4054</v>
      </c>
      <c r="F598" s="4">
        <v>44.92</v>
      </c>
      <c r="G598" s="4" t="s">
        <v>45</v>
      </c>
      <c r="H598" s="4" t="s">
        <v>4063</v>
      </c>
      <c r="I598" s="4" t="s">
        <v>4087</v>
      </c>
      <c r="J598" s="4"/>
      <c r="K598" s="4">
        <f>VLOOKUP(G598,Exchange_Rates!A:B,2,FALSE)</f>
        <v>1</v>
      </c>
      <c r="L598" s="4">
        <f t="shared" si="9"/>
        <v>44.92</v>
      </c>
    </row>
    <row r="599" spans="1:12" x14ac:dyDescent="0.25">
      <c r="A599" s="4" t="s">
        <v>4779</v>
      </c>
      <c r="B599" s="4" t="s">
        <v>4187</v>
      </c>
      <c r="C599" s="6">
        <v>45425</v>
      </c>
      <c r="D599" s="4" t="s">
        <v>4096</v>
      </c>
      <c r="E599" s="4" t="s">
        <v>4054</v>
      </c>
      <c r="F599" s="4">
        <v>332</v>
      </c>
      <c r="G599" s="4" t="s">
        <v>45</v>
      </c>
      <c r="H599" s="4" t="s">
        <v>4055</v>
      </c>
      <c r="I599" s="4" t="s">
        <v>4056</v>
      </c>
      <c r="J599" s="6">
        <v>45440</v>
      </c>
      <c r="K599" s="4">
        <f>VLOOKUP(G599,Exchange_Rates!A:B,2,FALSE)</f>
        <v>1</v>
      </c>
      <c r="L599" s="4">
        <f t="shared" si="9"/>
        <v>332</v>
      </c>
    </row>
    <row r="600" spans="1:12" x14ac:dyDescent="0.25">
      <c r="A600" s="4" t="s">
        <v>4780</v>
      </c>
      <c r="B600" s="4" t="s">
        <v>4230</v>
      </c>
      <c r="C600" s="6">
        <v>44938</v>
      </c>
      <c r="D600" s="4" t="s">
        <v>4069</v>
      </c>
      <c r="E600" s="4" t="s">
        <v>4054</v>
      </c>
      <c r="F600" s="4">
        <v>307.24</v>
      </c>
      <c r="G600" s="4" t="s">
        <v>45</v>
      </c>
      <c r="H600" s="4" t="s">
        <v>4063</v>
      </c>
      <c r="I600" s="4" t="s">
        <v>4056</v>
      </c>
      <c r="J600" s="4"/>
      <c r="K600" s="4">
        <f>VLOOKUP(G600,Exchange_Rates!A:B,2,FALSE)</f>
        <v>1</v>
      </c>
      <c r="L600" s="4">
        <f t="shared" si="9"/>
        <v>307.24</v>
      </c>
    </row>
    <row r="601" spans="1:12" x14ac:dyDescent="0.25">
      <c r="A601" s="4" t="s">
        <v>4781</v>
      </c>
      <c r="B601" s="4" t="s">
        <v>4350</v>
      </c>
      <c r="C601" s="6">
        <v>45022</v>
      </c>
      <c r="D601" s="4" t="s">
        <v>4096</v>
      </c>
      <c r="E601" s="4" t="s">
        <v>4054</v>
      </c>
      <c r="F601" s="4">
        <v>88.31</v>
      </c>
      <c r="G601" s="4" t="s">
        <v>28</v>
      </c>
      <c r="H601" s="4" t="s">
        <v>4097</v>
      </c>
      <c r="I601" s="4" t="s">
        <v>4087</v>
      </c>
      <c r="J601" s="4"/>
      <c r="K601" s="4">
        <f>VLOOKUP(G601,Exchange_Rates!A:B,2,FALSE)</f>
        <v>1.27</v>
      </c>
      <c r="L601" s="4">
        <f t="shared" si="9"/>
        <v>112.1537</v>
      </c>
    </row>
    <row r="602" spans="1:12" x14ac:dyDescent="0.25">
      <c r="A602" s="4" t="s">
        <v>4782</v>
      </c>
      <c r="B602" s="4" t="s">
        <v>4317</v>
      </c>
      <c r="C602" s="6">
        <v>45586</v>
      </c>
      <c r="D602" s="4" t="s">
        <v>4096</v>
      </c>
      <c r="E602" s="4" t="s">
        <v>4054</v>
      </c>
      <c r="F602" s="4">
        <v>743.66</v>
      </c>
      <c r="G602" s="4" t="s">
        <v>36</v>
      </c>
      <c r="H602" s="4" t="s">
        <v>4055</v>
      </c>
      <c r="I602" s="4" t="s">
        <v>4056</v>
      </c>
      <c r="J602" s="6">
        <v>45601</v>
      </c>
      <c r="K602" s="4">
        <f>VLOOKUP(G602,Exchange_Rates!A:B,2,FALSE)</f>
        <v>1.08</v>
      </c>
      <c r="L602" s="4">
        <f t="shared" si="9"/>
        <v>803.15280000000007</v>
      </c>
    </row>
    <row r="603" spans="1:12" x14ac:dyDescent="0.25">
      <c r="A603" s="4" t="s">
        <v>4783</v>
      </c>
      <c r="B603" s="4" t="s">
        <v>4368</v>
      </c>
      <c r="C603" s="6">
        <v>44942</v>
      </c>
      <c r="D603" s="4" t="s">
        <v>4066</v>
      </c>
      <c r="E603" s="4" t="s">
        <v>4054</v>
      </c>
      <c r="F603" s="4">
        <v>744.77</v>
      </c>
      <c r="G603" s="4" t="s">
        <v>64</v>
      </c>
      <c r="H603" s="4" t="s">
        <v>4097</v>
      </c>
      <c r="I603" s="4" t="s">
        <v>4070</v>
      </c>
      <c r="J603" s="4"/>
      <c r="K603" s="4">
        <f>VLOOKUP(G603,Exchange_Rates!A:B,2,FALSE)</f>
        <v>0.73</v>
      </c>
      <c r="L603" s="4">
        <f t="shared" si="9"/>
        <v>543.68209999999999</v>
      </c>
    </row>
    <row r="604" spans="1:12" x14ac:dyDescent="0.25">
      <c r="A604" s="4" t="s">
        <v>4784</v>
      </c>
      <c r="B604" s="4" t="s">
        <v>4547</v>
      </c>
      <c r="C604" s="6">
        <v>45728</v>
      </c>
      <c r="D604" s="4" t="s">
        <v>4096</v>
      </c>
      <c r="E604" s="4" t="s">
        <v>4054</v>
      </c>
      <c r="F604" s="4">
        <v>349.42</v>
      </c>
      <c r="G604" s="4" t="s">
        <v>36</v>
      </c>
      <c r="H604" s="4" t="s">
        <v>4063</v>
      </c>
      <c r="I604" s="4" t="s">
        <v>4070</v>
      </c>
      <c r="J604" s="4"/>
      <c r="K604" s="4">
        <f>VLOOKUP(G604,Exchange_Rates!A:B,2,FALSE)</f>
        <v>1.08</v>
      </c>
      <c r="L604" s="4">
        <f t="shared" si="9"/>
        <v>377.37360000000007</v>
      </c>
    </row>
    <row r="605" spans="1:12" x14ac:dyDescent="0.25">
      <c r="A605" s="4" t="s">
        <v>4785</v>
      </c>
      <c r="B605" s="4" t="s">
        <v>4371</v>
      </c>
      <c r="C605" s="6">
        <v>45583</v>
      </c>
      <c r="D605" s="4" t="s">
        <v>4053</v>
      </c>
      <c r="E605" s="4" t="s">
        <v>4054</v>
      </c>
      <c r="F605" s="4">
        <v>381.34</v>
      </c>
      <c r="G605" s="4" t="s">
        <v>36</v>
      </c>
      <c r="H605" s="4" t="s">
        <v>4055</v>
      </c>
      <c r="I605" s="4" t="s">
        <v>4070</v>
      </c>
      <c r="J605" s="6">
        <v>45598</v>
      </c>
      <c r="K605" s="4">
        <f>VLOOKUP(G605,Exchange_Rates!A:B,2,FALSE)</f>
        <v>1.08</v>
      </c>
      <c r="L605" s="4">
        <f t="shared" si="9"/>
        <v>411.84719999999999</v>
      </c>
    </row>
    <row r="606" spans="1:12" x14ac:dyDescent="0.25">
      <c r="A606" s="4" t="s">
        <v>4786</v>
      </c>
      <c r="B606" s="4" t="s">
        <v>4143</v>
      </c>
      <c r="C606" s="6">
        <v>45222</v>
      </c>
      <c r="D606" s="4" t="s">
        <v>4066</v>
      </c>
      <c r="E606" s="4" t="s">
        <v>4054</v>
      </c>
      <c r="F606" s="4">
        <v>431.44</v>
      </c>
      <c r="G606" s="4" t="s">
        <v>36</v>
      </c>
      <c r="H606" s="4" t="s">
        <v>4063</v>
      </c>
      <c r="I606" s="4" t="s">
        <v>4056</v>
      </c>
      <c r="J606" s="4"/>
      <c r="K606" s="4">
        <f>VLOOKUP(G606,Exchange_Rates!A:B,2,FALSE)</f>
        <v>1.08</v>
      </c>
      <c r="L606" s="4">
        <f t="shared" si="9"/>
        <v>465.95520000000005</v>
      </c>
    </row>
    <row r="607" spans="1:12" x14ac:dyDescent="0.25">
      <c r="A607" s="4" t="s">
        <v>4787</v>
      </c>
      <c r="B607" s="4" t="s">
        <v>4156</v>
      </c>
      <c r="C607" s="6">
        <v>45369</v>
      </c>
      <c r="D607" s="4" t="s">
        <v>4066</v>
      </c>
      <c r="E607" s="4" t="s">
        <v>4054</v>
      </c>
      <c r="F607" s="4">
        <v>587.64</v>
      </c>
      <c r="G607" s="4" t="s">
        <v>64</v>
      </c>
      <c r="H607" s="4" t="s">
        <v>4097</v>
      </c>
      <c r="I607" s="4" t="s">
        <v>4087</v>
      </c>
      <c r="J607" s="4"/>
      <c r="K607" s="4">
        <f>VLOOKUP(G607,Exchange_Rates!A:B,2,FALSE)</f>
        <v>0.73</v>
      </c>
      <c r="L607" s="4">
        <f t="shared" si="9"/>
        <v>428.97719999999998</v>
      </c>
    </row>
    <row r="608" spans="1:12" x14ac:dyDescent="0.25">
      <c r="A608" s="4" t="s">
        <v>4788</v>
      </c>
      <c r="B608" s="4" t="s">
        <v>4138</v>
      </c>
      <c r="C608" s="6">
        <v>45817</v>
      </c>
      <c r="D608" s="4" t="s">
        <v>4053</v>
      </c>
      <c r="E608" s="4" t="s">
        <v>4054</v>
      </c>
      <c r="F608" s="4">
        <v>74.36</v>
      </c>
      <c r="G608" s="4" t="s">
        <v>36</v>
      </c>
      <c r="H608" s="4" t="s">
        <v>4055</v>
      </c>
      <c r="I608" s="4" t="s">
        <v>4087</v>
      </c>
      <c r="J608" s="6">
        <v>45832</v>
      </c>
      <c r="K608" s="4">
        <f>VLOOKUP(G608,Exchange_Rates!A:B,2,FALSE)</f>
        <v>1.08</v>
      </c>
      <c r="L608" s="4">
        <f t="shared" si="9"/>
        <v>80.308800000000005</v>
      </c>
    </row>
    <row r="609" spans="1:12" x14ac:dyDescent="0.25">
      <c r="A609" s="4" t="s">
        <v>4789</v>
      </c>
      <c r="B609" s="4" t="s">
        <v>4162</v>
      </c>
      <c r="C609" s="6">
        <v>45544</v>
      </c>
      <c r="D609" s="4" t="s">
        <v>4069</v>
      </c>
      <c r="E609" s="4" t="s">
        <v>4054</v>
      </c>
      <c r="F609" s="4">
        <v>540.96</v>
      </c>
      <c r="G609" s="4" t="s">
        <v>64</v>
      </c>
      <c r="H609" s="4" t="s">
        <v>4055</v>
      </c>
      <c r="I609" s="4" t="s">
        <v>4087</v>
      </c>
      <c r="J609" s="6">
        <v>45559</v>
      </c>
      <c r="K609" s="4">
        <f>VLOOKUP(G609,Exchange_Rates!A:B,2,FALSE)</f>
        <v>0.73</v>
      </c>
      <c r="L609" s="4">
        <f t="shared" si="9"/>
        <v>394.9008</v>
      </c>
    </row>
    <row r="610" spans="1:12" x14ac:dyDescent="0.25">
      <c r="A610" s="4" t="s">
        <v>4790</v>
      </c>
      <c r="B610" s="4" t="s">
        <v>4072</v>
      </c>
      <c r="C610" s="6">
        <v>45384</v>
      </c>
      <c r="D610" s="4" t="s">
        <v>4062</v>
      </c>
      <c r="E610" s="4" t="s">
        <v>4054</v>
      </c>
      <c r="F610" s="4">
        <v>545.29999999999995</v>
      </c>
      <c r="G610" s="4" t="s">
        <v>36</v>
      </c>
      <c r="H610" s="4" t="s">
        <v>4055</v>
      </c>
      <c r="I610" s="4" t="s">
        <v>4070</v>
      </c>
      <c r="J610" s="6">
        <v>45399</v>
      </c>
      <c r="K610" s="4">
        <f>VLOOKUP(G610,Exchange_Rates!A:B,2,FALSE)</f>
        <v>1.08</v>
      </c>
      <c r="L610" s="4">
        <f t="shared" si="9"/>
        <v>588.92399999999998</v>
      </c>
    </row>
    <row r="611" spans="1:12" x14ac:dyDescent="0.25">
      <c r="A611" s="4" t="s">
        <v>4791</v>
      </c>
      <c r="B611" s="4" t="s">
        <v>4419</v>
      </c>
      <c r="C611" s="6">
        <v>45554</v>
      </c>
      <c r="D611" s="4" t="s">
        <v>4062</v>
      </c>
      <c r="E611" s="4" t="s">
        <v>4054</v>
      </c>
      <c r="F611" s="4">
        <v>523.57000000000005</v>
      </c>
      <c r="G611" s="4" t="s">
        <v>28</v>
      </c>
      <c r="H611" s="4" t="s">
        <v>4097</v>
      </c>
      <c r="I611" s="4" t="s">
        <v>4087</v>
      </c>
      <c r="J611" s="4"/>
      <c r="K611" s="4">
        <f>VLOOKUP(G611,Exchange_Rates!A:B,2,FALSE)</f>
        <v>1.27</v>
      </c>
      <c r="L611" s="4">
        <f t="shared" si="9"/>
        <v>664.93390000000011</v>
      </c>
    </row>
    <row r="612" spans="1:12" x14ac:dyDescent="0.25">
      <c r="A612" s="4" t="s">
        <v>4792</v>
      </c>
      <c r="B612" s="4" t="s">
        <v>4129</v>
      </c>
      <c r="C612" s="6">
        <v>45533</v>
      </c>
      <c r="D612" s="4" t="s">
        <v>4069</v>
      </c>
      <c r="E612" s="4" t="s">
        <v>4054</v>
      </c>
      <c r="F612" s="4">
        <v>328.28</v>
      </c>
      <c r="G612" s="4" t="s">
        <v>45</v>
      </c>
      <c r="H612" s="4" t="s">
        <v>4063</v>
      </c>
      <c r="I612" s="4" t="s">
        <v>4070</v>
      </c>
      <c r="J612" s="4"/>
      <c r="K612" s="4">
        <f>VLOOKUP(G612,Exchange_Rates!A:B,2,FALSE)</f>
        <v>1</v>
      </c>
      <c r="L612" s="4">
        <f t="shared" si="9"/>
        <v>328.28</v>
      </c>
    </row>
    <row r="613" spans="1:12" x14ac:dyDescent="0.25">
      <c r="A613" s="4" t="s">
        <v>4793</v>
      </c>
      <c r="B613" s="4" t="s">
        <v>4321</v>
      </c>
      <c r="C613" s="6">
        <v>45023</v>
      </c>
      <c r="D613" s="4" t="s">
        <v>4053</v>
      </c>
      <c r="E613" s="4" t="s">
        <v>4054</v>
      </c>
      <c r="F613" s="4">
        <v>150.82</v>
      </c>
      <c r="G613" s="4" t="s">
        <v>45</v>
      </c>
      <c r="H613" s="4" t="s">
        <v>4097</v>
      </c>
      <c r="I613" s="4" t="s">
        <v>4056</v>
      </c>
      <c r="J613" s="4"/>
      <c r="K613" s="4">
        <f>VLOOKUP(G613,Exchange_Rates!A:B,2,FALSE)</f>
        <v>1</v>
      </c>
      <c r="L613" s="4">
        <f t="shared" si="9"/>
        <v>150.82</v>
      </c>
    </row>
    <row r="614" spans="1:12" x14ac:dyDescent="0.25">
      <c r="A614" s="4" t="s">
        <v>4794</v>
      </c>
      <c r="B614" s="4" t="s">
        <v>4166</v>
      </c>
      <c r="C614" s="6">
        <v>45189</v>
      </c>
      <c r="D614" s="4" t="s">
        <v>4069</v>
      </c>
      <c r="E614" s="4" t="s">
        <v>4054</v>
      </c>
      <c r="F614" s="4">
        <v>169.69</v>
      </c>
      <c r="G614" s="4" t="s">
        <v>28</v>
      </c>
      <c r="H614" s="4" t="s">
        <v>4055</v>
      </c>
      <c r="I614" s="4" t="s">
        <v>4087</v>
      </c>
      <c r="J614" s="6">
        <v>45204</v>
      </c>
      <c r="K614" s="4">
        <f>VLOOKUP(G614,Exchange_Rates!A:B,2,FALSE)</f>
        <v>1.27</v>
      </c>
      <c r="L614" s="4">
        <f t="shared" si="9"/>
        <v>215.50630000000001</v>
      </c>
    </row>
    <row r="615" spans="1:12" x14ac:dyDescent="0.25">
      <c r="A615" s="4" t="s">
        <v>4795</v>
      </c>
      <c r="B615" s="4" t="s">
        <v>4199</v>
      </c>
      <c r="C615" s="6">
        <v>45705</v>
      </c>
      <c r="D615" s="4" t="s">
        <v>4096</v>
      </c>
      <c r="E615" s="4" t="s">
        <v>4054</v>
      </c>
      <c r="F615" s="4">
        <v>154.63</v>
      </c>
      <c r="G615" s="4" t="s">
        <v>42</v>
      </c>
      <c r="H615" s="4" t="s">
        <v>4055</v>
      </c>
      <c r="I615" s="4" t="s">
        <v>4087</v>
      </c>
      <c r="J615" s="6">
        <v>45720</v>
      </c>
      <c r="K615" s="4">
        <f>VLOOKUP(G615,Exchange_Rates!A:B,2,FALSE)</f>
        <v>0.66</v>
      </c>
      <c r="L615" s="4">
        <f t="shared" si="9"/>
        <v>102.0558</v>
      </c>
    </row>
    <row r="616" spans="1:12" x14ac:dyDescent="0.25">
      <c r="A616" s="4" t="s">
        <v>4796</v>
      </c>
      <c r="B616" s="4" t="s">
        <v>4797</v>
      </c>
      <c r="C616" s="6">
        <v>45451</v>
      </c>
      <c r="D616" s="4" t="s">
        <v>4069</v>
      </c>
      <c r="E616" s="4" t="s">
        <v>4054</v>
      </c>
      <c r="F616" s="4">
        <v>341.7</v>
      </c>
      <c r="G616" s="4" t="s">
        <v>45</v>
      </c>
      <c r="H616" s="4" t="s">
        <v>4097</v>
      </c>
      <c r="I616" s="4" t="s">
        <v>4070</v>
      </c>
      <c r="J616" s="4"/>
      <c r="K616" s="4">
        <f>VLOOKUP(G616,Exchange_Rates!A:B,2,FALSE)</f>
        <v>1</v>
      </c>
      <c r="L616" s="4">
        <f t="shared" si="9"/>
        <v>341.7</v>
      </c>
    </row>
    <row r="617" spans="1:12" x14ac:dyDescent="0.25">
      <c r="A617" s="4" t="s">
        <v>4798</v>
      </c>
      <c r="B617" s="4" t="s">
        <v>4450</v>
      </c>
      <c r="C617" s="6">
        <v>45248</v>
      </c>
      <c r="D617" s="4" t="s">
        <v>4069</v>
      </c>
      <c r="E617" s="4" t="s">
        <v>4054</v>
      </c>
      <c r="F617" s="4">
        <v>135.32</v>
      </c>
      <c r="G617" s="4" t="s">
        <v>36</v>
      </c>
      <c r="H617" s="4" t="s">
        <v>4097</v>
      </c>
      <c r="I617" s="4" t="s">
        <v>4056</v>
      </c>
      <c r="J617" s="4"/>
      <c r="K617" s="4">
        <f>VLOOKUP(G617,Exchange_Rates!A:B,2,FALSE)</f>
        <v>1.08</v>
      </c>
      <c r="L617" s="4">
        <f t="shared" si="9"/>
        <v>146.1456</v>
      </c>
    </row>
    <row r="618" spans="1:12" x14ac:dyDescent="0.25">
      <c r="A618" s="4" t="s">
        <v>4799</v>
      </c>
      <c r="B618" s="4" t="s">
        <v>4117</v>
      </c>
      <c r="C618" s="6">
        <v>45640</v>
      </c>
      <c r="D618" s="4" t="s">
        <v>4062</v>
      </c>
      <c r="E618" s="4" t="s">
        <v>4054</v>
      </c>
      <c r="F618" s="4">
        <v>767.27</v>
      </c>
      <c r="G618" s="4" t="s">
        <v>36</v>
      </c>
      <c r="H618" s="4" t="s">
        <v>4059</v>
      </c>
      <c r="I618" s="4" t="s">
        <v>4070</v>
      </c>
      <c r="J618" s="4"/>
      <c r="K618" s="4">
        <f>VLOOKUP(G618,Exchange_Rates!A:B,2,FALSE)</f>
        <v>1.08</v>
      </c>
      <c r="L618" s="4">
        <f t="shared" si="9"/>
        <v>828.65160000000003</v>
      </c>
    </row>
    <row r="619" spans="1:12" x14ac:dyDescent="0.25">
      <c r="A619" s="4" t="s">
        <v>4800</v>
      </c>
      <c r="B619" s="4" t="s">
        <v>4173</v>
      </c>
      <c r="C619" s="6">
        <v>45069</v>
      </c>
      <c r="D619" s="4" t="s">
        <v>4053</v>
      </c>
      <c r="E619" s="4" t="s">
        <v>4054</v>
      </c>
      <c r="F619" s="4">
        <v>287.27</v>
      </c>
      <c r="G619" s="4" t="s">
        <v>45</v>
      </c>
      <c r="H619" s="4" t="s">
        <v>4055</v>
      </c>
      <c r="I619" s="4" t="s">
        <v>4070</v>
      </c>
      <c r="J619" s="6">
        <v>45084</v>
      </c>
      <c r="K619" s="4">
        <f>VLOOKUP(G619,Exchange_Rates!A:B,2,FALSE)</f>
        <v>1</v>
      </c>
      <c r="L619" s="4">
        <f t="shared" si="9"/>
        <v>287.27</v>
      </c>
    </row>
    <row r="620" spans="1:12" x14ac:dyDescent="0.25">
      <c r="A620" s="4" t="s">
        <v>4801</v>
      </c>
      <c r="B620" s="4" t="s">
        <v>4428</v>
      </c>
      <c r="C620" s="6">
        <v>45147</v>
      </c>
      <c r="D620" s="4" t="s">
        <v>4053</v>
      </c>
      <c r="E620" s="4" t="s">
        <v>4054</v>
      </c>
      <c r="F620" s="4">
        <v>524.28</v>
      </c>
      <c r="G620" s="4" t="s">
        <v>36</v>
      </c>
      <c r="H620" s="4" t="s">
        <v>4063</v>
      </c>
      <c r="I620" s="4" t="s">
        <v>4056</v>
      </c>
      <c r="J620" s="4"/>
      <c r="K620" s="4">
        <f>VLOOKUP(G620,Exchange_Rates!A:B,2,FALSE)</f>
        <v>1.08</v>
      </c>
      <c r="L620" s="4">
        <f t="shared" si="9"/>
        <v>566.22239999999999</v>
      </c>
    </row>
    <row r="621" spans="1:12" x14ac:dyDescent="0.25">
      <c r="A621" s="4" t="s">
        <v>4802</v>
      </c>
      <c r="B621" s="4" t="s">
        <v>4169</v>
      </c>
      <c r="C621" s="6">
        <v>45515</v>
      </c>
      <c r="D621" s="4" t="s">
        <v>4066</v>
      </c>
      <c r="E621" s="4" t="s">
        <v>4054</v>
      </c>
      <c r="F621" s="4">
        <v>509.3</v>
      </c>
      <c r="G621" s="4" t="s">
        <v>45</v>
      </c>
      <c r="H621" s="4" t="s">
        <v>4055</v>
      </c>
      <c r="I621" s="4" t="s">
        <v>4070</v>
      </c>
      <c r="J621" s="6">
        <v>45530</v>
      </c>
      <c r="K621" s="4">
        <f>VLOOKUP(G621,Exchange_Rates!A:B,2,FALSE)</f>
        <v>1</v>
      </c>
      <c r="L621" s="4">
        <f t="shared" si="9"/>
        <v>509.3</v>
      </c>
    </row>
    <row r="622" spans="1:12" x14ac:dyDescent="0.25">
      <c r="A622" s="4" t="s">
        <v>4803</v>
      </c>
      <c r="B622" s="4" t="s">
        <v>4528</v>
      </c>
      <c r="C622" s="6">
        <v>45188</v>
      </c>
      <c r="D622" s="4" t="s">
        <v>4053</v>
      </c>
      <c r="E622" s="4" t="s">
        <v>4054</v>
      </c>
      <c r="F622" s="4">
        <v>797.66</v>
      </c>
      <c r="G622" s="4" t="s">
        <v>42</v>
      </c>
      <c r="H622" s="4" t="s">
        <v>4097</v>
      </c>
      <c r="I622" s="4" t="s">
        <v>4087</v>
      </c>
      <c r="J622" s="4"/>
      <c r="K622" s="4">
        <f>VLOOKUP(G622,Exchange_Rates!A:B,2,FALSE)</f>
        <v>0.66</v>
      </c>
      <c r="L622" s="4">
        <f t="shared" si="9"/>
        <v>526.4556</v>
      </c>
    </row>
    <row r="623" spans="1:12" x14ac:dyDescent="0.25">
      <c r="A623" s="4" t="s">
        <v>4804</v>
      </c>
      <c r="B623" s="4" t="s">
        <v>4450</v>
      </c>
      <c r="C623" s="6">
        <v>45331</v>
      </c>
      <c r="D623" s="4" t="s">
        <v>4069</v>
      </c>
      <c r="E623" s="4" t="s">
        <v>4054</v>
      </c>
      <c r="F623" s="4">
        <v>548.41999999999996</v>
      </c>
      <c r="G623" s="4" t="s">
        <v>42</v>
      </c>
      <c r="H623" s="4" t="s">
        <v>4097</v>
      </c>
      <c r="I623" s="4" t="s">
        <v>4070</v>
      </c>
      <c r="J623" s="4"/>
      <c r="K623" s="4">
        <f>VLOOKUP(G623,Exchange_Rates!A:B,2,FALSE)</f>
        <v>0.66</v>
      </c>
      <c r="L623" s="4">
        <f t="shared" si="9"/>
        <v>361.9572</v>
      </c>
    </row>
    <row r="624" spans="1:12" x14ac:dyDescent="0.25">
      <c r="A624" s="4" t="s">
        <v>4805</v>
      </c>
      <c r="B624" s="4" t="s">
        <v>4304</v>
      </c>
      <c r="C624" s="6">
        <v>44970</v>
      </c>
      <c r="D624" s="4" t="s">
        <v>4062</v>
      </c>
      <c r="E624" s="4" t="s">
        <v>4054</v>
      </c>
      <c r="F624" s="4">
        <v>397.58</v>
      </c>
      <c r="G624" s="4" t="s">
        <v>45</v>
      </c>
      <c r="H624" s="4" t="s">
        <v>4059</v>
      </c>
      <c r="I624" s="4" t="s">
        <v>4087</v>
      </c>
      <c r="J624" s="4"/>
      <c r="K624" s="4">
        <f>VLOOKUP(G624,Exchange_Rates!A:B,2,FALSE)</f>
        <v>1</v>
      </c>
      <c r="L624" s="4">
        <f t="shared" si="9"/>
        <v>397.58</v>
      </c>
    </row>
    <row r="625" spans="1:12" x14ac:dyDescent="0.25">
      <c r="A625" s="4" t="s">
        <v>4806</v>
      </c>
      <c r="B625" s="4" t="s">
        <v>4072</v>
      </c>
      <c r="C625" s="6">
        <v>44938</v>
      </c>
      <c r="D625" s="4" t="s">
        <v>4062</v>
      </c>
      <c r="E625" s="4" t="s">
        <v>4054</v>
      </c>
      <c r="F625" s="4">
        <v>149.09</v>
      </c>
      <c r="G625" s="4" t="s">
        <v>64</v>
      </c>
      <c r="H625" s="4" t="s">
        <v>4055</v>
      </c>
      <c r="I625" s="4" t="s">
        <v>4056</v>
      </c>
      <c r="J625" s="6">
        <v>44953</v>
      </c>
      <c r="K625" s="4">
        <f>VLOOKUP(G625,Exchange_Rates!A:B,2,FALSE)</f>
        <v>0.73</v>
      </c>
      <c r="L625" s="4">
        <f t="shared" si="9"/>
        <v>108.8357</v>
      </c>
    </row>
    <row r="626" spans="1:12" x14ac:dyDescent="0.25">
      <c r="A626" s="4" t="s">
        <v>4807</v>
      </c>
      <c r="B626" s="4" t="s">
        <v>4308</v>
      </c>
      <c r="C626" s="6">
        <v>45422</v>
      </c>
      <c r="D626" s="4" t="s">
        <v>4096</v>
      </c>
      <c r="E626" s="4" t="s">
        <v>4054</v>
      </c>
      <c r="F626" s="4">
        <v>516.66</v>
      </c>
      <c r="G626" s="4" t="s">
        <v>45</v>
      </c>
      <c r="H626" s="4" t="s">
        <v>4097</v>
      </c>
      <c r="I626" s="4" t="s">
        <v>4087</v>
      </c>
      <c r="J626" s="4"/>
      <c r="K626" s="4">
        <f>VLOOKUP(G626,Exchange_Rates!A:B,2,FALSE)</f>
        <v>1</v>
      </c>
      <c r="L626" s="4">
        <f t="shared" si="9"/>
        <v>516.66</v>
      </c>
    </row>
    <row r="627" spans="1:12" x14ac:dyDescent="0.25">
      <c r="A627" s="4" t="s">
        <v>4808</v>
      </c>
      <c r="B627" s="4" t="s">
        <v>4145</v>
      </c>
      <c r="C627" s="6">
        <v>44962</v>
      </c>
      <c r="D627" s="4" t="s">
        <v>4096</v>
      </c>
      <c r="E627" s="4" t="s">
        <v>4054</v>
      </c>
      <c r="F627" s="4">
        <v>433.43</v>
      </c>
      <c r="G627" s="4" t="s">
        <v>45</v>
      </c>
      <c r="H627" s="4" t="s">
        <v>4097</v>
      </c>
      <c r="I627" s="4" t="s">
        <v>4070</v>
      </c>
      <c r="J627" s="4"/>
      <c r="K627" s="4">
        <f>VLOOKUP(G627,Exchange_Rates!A:B,2,FALSE)</f>
        <v>1</v>
      </c>
      <c r="L627" s="4">
        <f t="shared" si="9"/>
        <v>433.43</v>
      </c>
    </row>
    <row r="628" spans="1:12" x14ac:dyDescent="0.25">
      <c r="A628" s="4" t="s">
        <v>4809</v>
      </c>
      <c r="B628" s="4" t="s">
        <v>4193</v>
      </c>
      <c r="C628" s="6">
        <v>45816</v>
      </c>
      <c r="D628" s="4" t="s">
        <v>4066</v>
      </c>
      <c r="E628" s="4" t="s">
        <v>4054</v>
      </c>
      <c r="F628" s="4">
        <v>636.12</v>
      </c>
      <c r="G628" s="4" t="s">
        <v>28</v>
      </c>
      <c r="H628" s="4" t="s">
        <v>4055</v>
      </c>
      <c r="I628" s="4" t="s">
        <v>4087</v>
      </c>
      <c r="J628" s="6">
        <v>45831</v>
      </c>
      <c r="K628" s="4">
        <f>VLOOKUP(G628,Exchange_Rates!A:B,2,FALSE)</f>
        <v>1.27</v>
      </c>
      <c r="L628" s="4">
        <f t="shared" si="9"/>
        <v>807.87239999999997</v>
      </c>
    </row>
    <row r="629" spans="1:12" x14ac:dyDescent="0.25">
      <c r="A629" s="4" t="s">
        <v>4810</v>
      </c>
      <c r="B629" s="4" t="s">
        <v>4365</v>
      </c>
      <c r="C629" s="6">
        <v>45332</v>
      </c>
      <c r="D629" s="4" t="s">
        <v>4053</v>
      </c>
      <c r="E629" s="4" t="s">
        <v>4054</v>
      </c>
      <c r="F629" s="4">
        <v>457.36</v>
      </c>
      <c r="G629" s="4" t="s">
        <v>28</v>
      </c>
      <c r="H629" s="4" t="s">
        <v>4097</v>
      </c>
      <c r="I629" s="4" t="s">
        <v>4087</v>
      </c>
      <c r="J629" s="4"/>
      <c r="K629" s="4">
        <f>VLOOKUP(G629,Exchange_Rates!A:B,2,FALSE)</f>
        <v>1.27</v>
      </c>
      <c r="L629" s="4">
        <f t="shared" si="9"/>
        <v>580.84720000000004</v>
      </c>
    </row>
    <row r="630" spans="1:12" x14ac:dyDescent="0.25">
      <c r="A630" s="4" t="s">
        <v>4811</v>
      </c>
      <c r="B630" s="4" t="s">
        <v>4184</v>
      </c>
      <c r="C630" s="6">
        <v>45476</v>
      </c>
      <c r="D630" s="4" t="s">
        <v>4066</v>
      </c>
      <c r="E630" s="4" t="s">
        <v>4054</v>
      </c>
      <c r="F630" s="4">
        <v>221.83</v>
      </c>
      <c r="G630" s="4" t="s">
        <v>36</v>
      </c>
      <c r="H630" s="4" t="s">
        <v>4097</v>
      </c>
      <c r="I630" s="4" t="s">
        <v>4070</v>
      </c>
      <c r="J630" s="4"/>
      <c r="K630" s="4">
        <f>VLOOKUP(G630,Exchange_Rates!A:B,2,FALSE)</f>
        <v>1.08</v>
      </c>
      <c r="L630" s="4">
        <f t="shared" si="9"/>
        <v>239.57640000000004</v>
      </c>
    </row>
    <row r="631" spans="1:12" x14ac:dyDescent="0.25">
      <c r="A631" s="4" t="s">
        <v>4812</v>
      </c>
      <c r="B631" s="4" t="s">
        <v>4108</v>
      </c>
      <c r="C631" s="6">
        <v>45321</v>
      </c>
      <c r="D631" s="4" t="s">
        <v>4066</v>
      </c>
      <c r="E631" s="4" t="s">
        <v>4054</v>
      </c>
      <c r="F631" s="4">
        <v>82.86</v>
      </c>
      <c r="G631" s="4" t="s">
        <v>28</v>
      </c>
      <c r="H631" s="4" t="s">
        <v>4055</v>
      </c>
      <c r="I631" s="4" t="s">
        <v>4087</v>
      </c>
      <c r="J631" s="6">
        <v>45336</v>
      </c>
      <c r="K631" s="4">
        <f>VLOOKUP(G631,Exchange_Rates!A:B,2,FALSE)</f>
        <v>1.27</v>
      </c>
      <c r="L631" s="4">
        <f t="shared" si="9"/>
        <v>105.23220000000001</v>
      </c>
    </row>
    <row r="632" spans="1:12" x14ac:dyDescent="0.25">
      <c r="A632" s="4" t="s">
        <v>4813</v>
      </c>
      <c r="B632" s="4" t="s">
        <v>4302</v>
      </c>
      <c r="C632" s="6">
        <v>45369</v>
      </c>
      <c r="D632" s="4" t="s">
        <v>4062</v>
      </c>
      <c r="E632" s="4" t="s">
        <v>4054</v>
      </c>
      <c r="F632" s="4">
        <v>123.01</v>
      </c>
      <c r="G632" s="4" t="s">
        <v>36</v>
      </c>
      <c r="H632" s="4" t="s">
        <v>4055</v>
      </c>
      <c r="I632" s="4" t="s">
        <v>4070</v>
      </c>
      <c r="J632" s="6">
        <v>45384</v>
      </c>
      <c r="K632" s="4">
        <f>VLOOKUP(G632,Exchange_Rates!A:B,2,FALSE)</f>
        <v>1.08</v>
      </c>
      <c r="L632" s="4">
        <f t="shared" si="9"/>
        <v>132.85080000000002</v>
      </c>
    </row>
    <row r="633" spans="1:12" x14ac:dyDescent="0.25">
      <c r="A633" s="4" t="s">
        <v>4814</v>
      </c>
      <c r="B633" s="4" t="s">
        <v>4154</v>
      </c>
      <c r="C633" s="6">
        <v>45486</v>
      </c>
      <c r="D633" s="4" t="s">
        <v>4096</v>
      </c>
      <c r="E633" s="4" t="s">
        <v>4054</v>
      </c>
      <c r="F633" s="4">
        <v>478.59</v>
      </c>
      <c r="G633" s="4" t="s">
        <v>28</v>
      </c>
      <c r="H633" s="4" t="s">
        <v>4063</v>
      </c>
      <c r="I633" s="4" t="s">
        <v>4070</v>
      </c>
      <c r="J633" s="4"/>
      <c r="K633" s="4">
        <f>VLOOKUP(G633,Exchange_Rates!A:B,2,FALSE)</f>
        <v>1.27</v>
      </c>
      <c r="L633" s="4">
        <f t="shared" si="9"/>
        <v>607.80930000000001</v>
      </c>
    </row>
    <row r="634" spans="1:12" x14ac:dyDescent="0.25">
      <c r="A634" s="4" t="s">
        <v>4815</v>
      </c>
      <c r="B634" s="4" t="s">
        <v>4419</v>
      </c>
      <c r="C634" s="6">
        <v>45278</v>
      </c>
      <c r="D634" s="4" t="s">
        <v>4069</v>
      </c>
      <c r="E634" s="4" t="s">
        <v>4054</v>
      </c>
      <c r="F634" s="4">
        <v>766.67</v>
      </c>
      <c r="G634" s="4" t="s">
        <v>42</v>
      </c>
      <c r="H634" s="4" t="s">
        <v>4055</v>
      </c>
      <c r="I634" s="4" t="s">
        <v>4087</v>
      </c>
      <c r="J634" s="6">
        <v>45293</v>
      </c>
      <c r="K634" s="4">
        <f>VLOOKUP(G634,Exchange_Rates!A:B,2,FALSE)</f>
        <v>0.66</v>
      </c>
      <c r="L634" s="4">
        <f t="shared" si="9"/>
        <v>506.00220000000002</v>
      </c>
    </row>
    <row r="635" spans="1:12" x14ac:dyDescent="0.25">
      <c r="A635" s="4" t="s">
        <v>4816</v>
      </c>
      <c r="B635" s="4" t="s">
        <v>4068</v>
      </c>
      <c r="C635" s="6">
        <v>45431</v>
      </c>
      <c r="D635" s="4" t="s">
        <v>4053</v>
      </c>
      <c r="E635" s="4" t="s">
        <v>4054</v>
      </c>
      <c r="F635" s="4">
        <v>622.65</v>
      </c>
      <c r="G635" s="4" t="s">
        <v>45</v>
      </c>
      <c r="H635" s="4" t="s">
        <v>4097</v>
      </c>
      <c r="I635" s="4" t="s">
        <v>4070</v>
      </c>
      <c r="J635" s="4"/>
      <c r="K635" s="4">
        <f>VLOOKUP(G635,Exchange_Rates!A:B,2,FALSE)</f>
        <v>1</v>
      </c>
      <c r="L635" s="4">
        <f t="shared" si="9"/>
        <v>622.65</v>
      </c>
    </row>
    <row r="636" spans="1:12" x14ac:dyDescent="0.25">
      <c r="A636" s="4" t="s">
        <v>4817</v>
      </c>
      <c r="B636" s="4" t="s">
        <v>4158</v>
      </c>
      <c r="C636" s="6">
        <v>45765</v>
      </c>
      <c r="D636" s="4" t="s">
        <v>4069</v>
      </c>
      <c r="E636" s="4" t="s">
        <v>4054</v>
      </c>
      <c r="F636" s="4">
        <v>101.88</v>
      </c>
      <c r="G636" s="4" t="s">
        <v>64</v>
      </c>
      <c r="H636" s="4" t="s">
        <v>4097</v>
      </c>
      <c r="I636" s="4" t="s">
        <v>4056</v>
      </c>
      <c r="J636" s="4"/>
      <c r="K636" s="4">
        <f>VLOOKUP(G636,Exchange_Rates!A:B,2,FALSE)</f>
        <v>0.73</v>
      </c>
      <c r="L636" s="4">
        <f t="shared" si="9"/>
        <v>74.372399999999999</v>
      </c>
    </row>
    <row r="637" spans="1:12" x14ac:dyDescent="0.25">
      <c r="A637" s="4" t="s">
        <v>4818</v>
      </c>
      <c r="B637" s="4" t="s">
        <v>4093</v>
      </c>
      <c r="C637" s="6">
        <v>45557</v>
      </c>
      <c r="D637" s="4" t="s">
        <v>4096</v>
      </c>
      <c r="E637" s="4" t="s">
        <v>4054</v>
      </c>
      <c r="F637" s="4">
        <v>215.2</v>
      </c>
      <c r="G637" s="4" t="s">
        <v>45</v>
      </c>
      <c r="H637" s="4" t="s">
        <v>4097</v>
      </c>
      <c r="I637" s="4" t="s">
        <v>4087</v>
      </c>
      <c r="J637" s="4"/>
      <c r="K637" s="4">
        <f>VLOOKUP(G637,Exchange_Rates!A:B,2,FALSE)</f>
        <v>1</v>
      </c>
      <c r="L637" s="4">
        <f t="shared" si="9"/>
        <v>215.2</v>
      </c>
    </row>
    <row r="638" spans="1:12" x14ac:dyDescent="0.25">
      <c r="A638" s="4" t="s">
        <v>4819</v>
      </c>
      <c r="B638" s="4" t="s">
        <v>4515</v>
      </c>
      <c r="C638" s="6">
        <v>45171</v>
      </c>
      <c r="D638" s="4" t="s">
        <v>4053</v>
      </c>
      <c r="E638" s="4" t="s">
        <v>4054</v>
      </c>
      <c r="F638" s="4">
        <v>493.65</v>
      </c>
      <c r="G638" s="4" t="s">
        <v>64</v>
      </c>
      <c r="H638" s="4" t="s">
        <v>4063</v>
      </c>
      <c r="I638" s="4" t="s">
        <v>4087</v>
      </c>
      <c r="J638" s="4"/>
      <c r="K638" s="4">
        <f>VLOOKUP(G638,Exchange_Rates!A:B,2,FALSE)</f>
        <v>0.73</v>
      </c>
      <c r="L638" s="4">
        <f t="shared" si="9"/>
        <v>360.36449999999996</v>
      </c>
    </row>
    <row r="639" spans="1:12" x14ac:dyDescent="0.25">
      <c r="A639" s="4" t="s">
        <v>4820</v>
      </c>
      <c r="B639" s="4" t="s">
        <v>4300</v>
      </c>
      <c r="C639" s="6">
        <v>45023</v>
      </c>
      <c r="D639" s="4" t="s">
        <v>4062</v>
      </c>
      <c r="E639" s="4" t="s">
        <v>4054</v>
      </c>
      <c r="F639" s="4">
        <v>89.06</v>
      </c>
      <c r="G639" s="4" t="s">
        <v>64</v>
      </c>
      <c r="H639" s="4" t="s">
        <v>4097</v>
      </c>
      <c r="I639" s="4" t="s">
        <v>4056</v>
      </c>
      <c r="J639" s="4"/>
      <c r="K639" s="4">
        <f>VLOOKUP(G639,Exchange_Rates!A:B,2,FALSE)</f>
        <v>0.73</v>
      </c>
      <c r="L639" s="4">
        <f t="shared" si="9"/>
        <v>65.013800000000003</v>
      </c>
    </row>
    <row r="640" spans="1:12" x14ac:dyDescent="0.25">
      <c r="A640" s="4" t="s">
        <v>4821</v>
      </c>
      <c r="B640" s="4" t="s">
        <v>4164</v>
      </c>
      <c r="C640" s="6">
        <v>45097</v>
      </c>
      <c r="D640" s="4" t="s">
        <v>4096</v>
      </c>
      <c r="E640" s="4" t="s">
        <v>4054</v>
      </c>
      <c r="F640" s="4">
        <v>652.03</v>
      </c>
      <c r="G640" s="4" t="s">
        <v>64</v>
      </c>
      <c r="H640" s="4" t="s">
        <v>4059</v>
      </c>
      <c r="I640" s="4" t="s">
        <v>4056</v>
      </c>
      <c r="J640" s="4"/>
      <c r="K640" s="4">
        <f>VLOOKUP(G640,Exchange_Rates!A:B,2,FALSE)</f>
        <v>0.73</v>
      </c>
      <c r="L640" s="4">
        <f t="shared" si="9"/>
        <v>475.9819</v>
      </c>
    </row>
    <row r="641" spans="1:12" x14ac:dyDescent="0.25">
      <c r="A641" s="4" t="s">
        <v>4822</v>
      </c>
      <c r="B641" s="4" t="s">
        <v>4099</v>
      </c>
      <c r="C641" s="6">
        <v>44945</v>
      </c>
      <c r="D641" s="4" t="s">
        <v>4053</v>
      </c>
      <c r="E641" s="4" t="s">
        <v>4054</v>
      </c>
      <c r="F641" s="4">
        <v>344.65</v>
      </c>
      <c r="G641" s="4" t="s">
        <v>64</v>
      </c>
      <c r="H641" s="4" t="s">
        <v>4055</v>
      </c>
      <c r="I641" s="4" t="s">
        <v>4087</v>
      </c>
      <c r="J641" s="6">
        <v>44960</v>
      </c>
      <c r="K641" s="4">
        <f>VLOOKUP(G641,Exchange_Rates!A:B,2,FALSE)</f>
        <v>0.73</v>
      </c>
      <c r="L641" s="4">
        <f t="shared" si="9"/>
        <v>251.59449999999998</v>
      </c>
    </row>
    <row r="642" spans="1:12" x14ac:dyDescent="0.25">
      <c r="A642" s="4" t="s">
        <v>4823</v>
      </c>
      <c r="B642" s="4" t="s">
        <v>4385</v>
      </c>
      <c r="C642" s="6">
        <v>45546</v>
      </c>
      <c r="D642" s="4" t="s">
        <v>4053</v>
      </c>
      <c r="E642" s="4" t="s">
        <v>4054</v>
      </c>
      <c r="F642" s="4">
        <v>21.09</v>
      </c>
      <c r="G642" s="4" t="s">
        <v>36</v>
      </c>
      <c r="H642" s="4" t="s">
        <v>4063</v>
      </c>
      <c r="I642" s="4" t="s">
        <v>4070</v>
      </c>
      <c r="J642" s="4"/>
      <c r="K642" s="4">
        <f>VLOOKUP(G642,Exchange_Rates!A:B,2,FALSE)</f>
        <v>1.08</v>
      </c>
      <c r="L642" s="4">
        <f t="shared" si="9"/>
        <v>22.777200000000001</v>
      </c>
    </row>
    <row r="643" spans="1:12" x14ac:dyDescent="0.25">
      <c r="A643" s="4" t="s">
        <v>4824</v>
      </c>
      <c r="B643" s="4" t="s">
        <v>4117</v>
      </c>
      <c r="C643" s="6">
        <v>45246</v>
      </c>
      <c r="D643" s="4" t="s">
        <v>4062</v>
      </c>
      <c r="E643" s="4" t="s">
        <v>4054</v>
      </c>
      <c r="F643" s="4">
        <v>749.85</v>
      </c>
      <c r="G643" s="4" t="s">
        <v>36</v>
      </c>
      <c r="H643" s="4" t="s">
        <v>4059</v>
      </c>
      <c r="I643" s="4" t="s">
        <v>4087</v>
      </c>
      <c r="J643" s="4"/>
      <c r="K643" s="4">
        <f>VLOOKUP(G643,Exchange_Rates!A:B,2,FALSE)</f>
        <v>1.08</v>
      </c>
      <c r="L643" s="4">
        <f t="shared" ref="L643:L706" si="10">F643*K643</f>
        <v>809.83800000000008</v>
      </c>
    </row>
    <row r="644" spans="1:12" x14ac:dyDescent="0.25">
      <c r="A644" s="4" t="s">
        <v>4825</v>
      </c>
      <c r="B644" s="4" t="s">
        <v>4199</v>
      </c>
      <c r="C644" s="6">
        <v>44971</v>
      </c>
      <c r="D644" s="4" t="s">
        <v>4053</v>
      </c>
      <c r="E644" s="4" t="s">
        <v>4054</v>
      </c>
      <c r="F644" s="4">
        <v>433.3</v>
      </c>
      <c r="G644" s="4" t="s">
        <v>64</v>
      </c>
      <c r="H644" s="4" t="s">
        <v>4059</v>
      </c>
      <c r="I644" s="4" t="s">
        <v>4056</v>
      </c>
      <c r="J644" s="4"/>
      <c r="K644" s="4">
        <f>VLOOKUP(G644,Exchange_Rates!A:B,2,FALSE)</f>
        <v>0.73</v>
      </c>
      <c r="L644" s="4">
        <f t="shared" si="10"/>
        <v>316.30900000000003</v>
      </c>
    </row>
    <row r="645" spans="1:12" x14ac:dyDescent="0.25">
      <c r="A645" s="4" t="s">
        <v>4826</v>
      </c>
      <c r="B645" s="4" t="s">
        <v>4405</v>
      </c>
      <c r="C645" s="6">
        <v>45475</v>
      </c>
      <c r="D645" s="4" t="s">
        <v>4066</v>
      </c>
      <c r="E645" s="4" t="s">
        <v>4054</v>
      </c>
      <c r="F645" s="4">
        <v>458.54</v>
      </c>
      <c r="G645" s="4" t="s">
        <v>64</v>
      </c>
      <c r="H645" s="4" t="s">
        <v>4063</v>
      </c>
      <c r="I645" s="4" t="s">
        <v>4087</v>
      </c>
      <c r="J645" s="4"/>
      <c r="K645" s="4">
        <f>VLOOKUP(G645,Exchange_Rates!A:B,2,FALSE)</f>
        <v>0.73</v>
      </c>
      <c r="L645" s="4">
        <f t="shared" si="10"/>
        <v>334.73419999999999</v>
      </c>
    </row>
    <row r="646" spans="1:12" x14ac:dyDescent="0.25">
      <c r="A646" s="4" t="s">
        <v>4827</v>
      </c>
      <c r="B646" s="4" t="s">
        <v>4072</v>
      </c>
      <c r="C646" s="6">
        <v>45261</v>
      </c>
      <c r="D646" s="4" t="s">
        <v>4066</v>
      </c>
      <c r="E646" s="4" t="s">
        <v>4054</v>
      </c>
      <c r="F646" s="4">
        <v>216.14</v>
      </c>
      <c r="G646" s="4" t="s">
        <v>36</v>
      </c>
      <c r="H646" s="4" t="s">
        <v>4059</v>
      </c>
      <c r="I646" s="4" t="s">
        <v>4070</v>
      </c>
      <c r="J646" s="4"/>
      <c r="K646" s="4">
        <f>VLOOKUP(G646,Exchange_Rates!A:B,2,FALSE)</f>
        <v>1.08</v>
      </c>
      <c r="L646" s="4">
        <f t="shared" si="10"/>
        <v>233.43119999999999</v>
      </c>
    </row>
    <row r="647" spans="1:12" x14ac:dyDescent="0.25">
      <c r="A647" s="4" t="s">
        <v>4828</v>
      </c>
      <c r="B647" s="4" t="s">
        <v>4520</v>
      </c>
      <c r="C647" s="6">
        <v>45035</v>
      </c>
      <c r="D647" s="4" t="s">
        <v>4062</v>
      </c>
      <c r="E647" s="4" t="s">
        <v>4054</v>
      </c>
      <c r="F647" s="4">
        <v>710.4</v>
      </c>
      <c r="G647" s="4" t="s">
        <v>28</v>
      </c>
      <c r="H647" s="4" t="s">
        <v>4063</v>
      </c>
      <c r="I647" s="4" t="s">
        <v>4087</v>
      </c>
      <c r="J647" s="4"/>
      <c r="K647" s="4">
        <f>VLOOKUP(G647,Exchange_Rates!A:B,2,FALSE)</f>
        <v>1.27</v>
      </c>
      <c r="L647" s="4">
        <f t="shared" si="10"/>
        <v>902.20799999999997</v>
      </c>
    </row>
    <row r="648" spans="1:12" x14ac:dyDescent="0.25">
      <c r="A648" s="4" t="s">
        <v>4829</v>
      </c>
      <c r="B648" s="4" t="s">
        <v>4273</v>
      </c>
      <c r="C648" s="6">
        <v>45098</v>
      </c>
      <c r="D648" s="4" t="s">
        <v>4069</v>
      </c>
      <c r="E648" s="4" t="s">
        <v>4054</v>
      </c>
      <c r="F648" s="4">
        <v>667.03</v>
      </c>
      <c r="G648" s="4" t="s">
        <v>42</v>
      </c>
      <c r="H648" s="4" t="s">
        <v>4097</v>
      </c>
      <c r="I648" s="4" t="s">
        <v>4056</v>
      </c>
      <c r="J648" s="4"/>
      <c r="K648" s="4">
        <f>VLOOKUP(G648,Exchange_Rates!A:B,2,FALSE)</f>
        <v>0.66</v>
      </c>
      <c r="L648" s="4">
        <f t="shared" si="10"/>
        <v>440.2398</v>
      </c>
    </row>
    <row r="649" spans="1:12" x14ac:dyDescent="0.25">
      <c r="A649" s="4" t="s">
        <v>4830</v>
      </c>
      <c r="B649" s="4" t="s">
        <v>4176</v>
      </c>
      <c r="C649" s="6">
        <v>45078</v>
      </c>
      <c r="D649" s="4" t="s">
        <v>4066</v>
      </c>
      <c r="E649" s="4" t="s">
        <v>4054</v>
      </c>
      <c r="F649" s="4">
        <v>746.62</v>
      </c>
      <c r="G649" s="4" t="s">
        <v>28</v>
      </c>
      <c r="H649" s="4" t="s">
        <v>4097</v>
      </c>
      <c r="I649" s="4" t="s">
        <v>4070</v>
      </c>
      <c r="J649" s="4"/>
      <c r="K649" s="4">
        <f>VLOOKUP(G649,Exchange_Rates!A:B,2,FALSE)</f>
        <v>1.27</v>
      </c>
      <c r="L649" s="4">
        <f t="shared" si="10"/>
        <v>948.20740000000001</v>
      </c>
    </row>
    <row r="650" spans="1:12" x14ac:dyDescent="0.25">
      <c r="A650" s="4" t="s">
        <v>4831</v>
      </c>
      <c r="B650" s="4" t="s">
        <v>4145</v>
      </c>
      <c r="C650" s="6">
        <v>45448</v>
      </c>
      <c r="D650" s="4" t="s">
        <v>4066</v>
      </c>
      <c r="E650" s="4" t="s">
        <v>4054</v>
      </c>
      <c r="F650" s="4">
        <v>129.16999999999999</v>
      </c>
      <c r="G650" s="4" t="s">
        <v>36</v>
      </c>
      <c r="H650" s="4" t="s">
        <v>4097</v>
      </c>
      <c r="I650" s="4" t="s">
        <v>4087</v>
      </c>
      <c r="J650" s="4"/>
      <c r="K650" s="4">
        <f>VLOOKUP(G650,Exchange_Rates!A:B,2,FALSE)</f>
        <v>1.08</v>
      </c>
      <c r="L650" s="4">
        <f t="shared" si="10"/>
        <v>139.50360000000001</v>
      </c>
    </row>
    <row r="651" spans="1:12" x14ac:dyDescent="0.25">
      <c r="A651" s="4" t="s">
        <v>4832</v>
      </c>
      <c r="B651" s="4" t="s">
        <v>4187</v>
      </c>
      <c r="C651" s="6">
        <v>45457</v>
      </c>
      <c r="D651" s="4" t="s">
        <v>4096</v>
      </c>
      <c r="E651" s="4" t="s">
        <v>4054</v>
      </c>
      <c r="F651" s="4">
        <v>114.71</v>
      </c>
      <c r="G651" s="4" t="s">
        <v>45</v>
      </c>
      <c r="H651" s="4" t="s">
        <v>4097</v>
      </c>
      <c r="I651" s="4" t="s">
        <v>4070</v>
      </c>
      <c r="J651" s="4"/>
      <c r="K651" s="4">
        <f>VLOOKUP(G651,Exchange_Rates!A:B,2,FALSE)</f>
        <v>1</v>
      </c>
      <c r="L651" s="4">
        <f t="shared" si="10"/>
        <v>114.71</v>
      </c>
    </row>
    <row r="652" spans="1:12" x14ac:dyDescent="0.25">
      <c r="A652" s="4" t="s">
        <v>4833</v>
      </c>
      <c r="B652" s="4" t="s">
        <v>4295</v>
      </c>
      <c r="C652" s="6">
        <v>45203</v>
      </c>
      <c r="D652" s="4" t="s">
        <v>4069</v>
      </c>
      <c r="E652" s="4" t="s">
        <v>4054</v>
      </c>
      <c r="F652" s="4">
        <v>543.76</v>
      </c>
      <c r="G652" s="4" t="s">
        <v>36</v>
      </c>
      <c r="H652" s="4" t="s">
        <v>4097</v>
      </c>
      <c r="I652" s="4" t="s">
        <v>4070</v>
      </c>
      <c r="J652" s="4"/>
      <c r="K652" s="4">
        <f>VLOOKUP(G652,Exchange_Rates!A:B,2,FALSE)</f>
        <v>1.08</v>
      </c>
      <c r="L652" s="4">
        <f t="shared" si="10"/>
        <v>587.26080000000002</v>
      </c>
    </row>
    <row r="653" spans="1:12" x14ac:dyDescent="0.25">
      <c r="A653" s="4" t="s">
        <v>4834</v>
      </c>
      <c r="B653" s="4" t="s">
        <v>4103</v>
      </c>
      <c r="C653" s="6">
        <v>45226</v>
      </c>
      <c r="D653" s="4" t="s">
        <v>4053</v>
      </c>
      <c r="E653" s="4" t="s">
        <v>4054</v>
      </c>
      <c r="F653" s="4">
        <v>198.6</v>
      </c>
      <c r="G653" s="4" t="s">
        <v>28</v>
      </c>
      <c r="H653" s="4" t="s">
        <v>4097</v>
      </c>
      <c r="I653" s="4" t="s">
        <v>4087</v>
      </c>
      <c r="J653" s="4"/>
      <c r="K653" s="4">
        <f>VLOOKUP(G653,Exchange_Rates!A:B,2,FALSE)</f>
        <v>1.27</v>
      </c>
      <c r="L653" s="4">
        <f t="shared" si="10"/>
        <v>252.22200000000001</v>
      </c>
    </row>
    <row r="654" spans="1:12" x14ac:dyDescent="0.25">
      <c r="A654" s="4" t="s">
        <v>4835</v>
      </c>
      <c r="B654" s="4" t="s">
        <v>4132</v>
      </c>
      <c r="C654" s="6">
        <v>45801</v>
      </c>
      <c r="D654" s="4" t="s">
        <v>4053</v>
      </c>
      <c r="E654" s="4" t="s">
        <v>4054</v>
      </c>
      <c r="F654" s="4">
        <v>364.17</v>
      </c>
      <c r="G654" s="4" t="s">
        <v>45</v>
      </c>
      <c r="H654" s="4" t="s">
        <v>4097</v>
      </c>
      <c r="I654" s="4" t="s">
        <v>4087</v>
      </c>
      <c r="J654" s="4"/>
      <c r="K654" s="4">
        <f>VLOOKUP(G654,Exchange_Rates!A:B,2,FALSE)</f>
        <v>1</v>
      </c>
      <c r="L654" s="4">
        <f t="shared" si="10"/>
        <v>364.17</v>
      </c>
    </row>
    <row r="655" spans="1:12" x14ac:dyDescent="0.25">
      <c r="A655" s="4" t="s">
        <v>4836</v>
      </c>
      <c r="B655" s="4" t="s">
        <v>4145</v>
      </c>
      <c r="C655" s="6">
        <v>45525</v>
      </c>
      <c r="D655" s="4" t="s">
        <v>4066</v>
      </c>
      <c r="E655" s="4" t="s">
        <v>4054</v>
      </c>
      <c r="F655" s="4">
        <v>521.69000000000005</v>
      </c>
      <c r="G655" s="4" t="s">
        <v>42</v>
      </c>
      <c r="H655" s="4" t="s">
        <v>4055</v>
      </c>
      <c r="I655" s="4" t="s">
        <v>4070</v>
      </c>
      <c r="J655" s="6">
        <v>45540</v>
      </c>
      <c r="K655" s="4">
        <f>VLOOKUP(G655,Exchange_Rates!A:B,2,FALSE)</f>
        <v>0.66</v>
      </c>
      <c r="L655" s="4">
        <f t="shared" si="10"/>
        <v>344.31540000000007</v>
      </c>
    </row>
    <row r="656" spans="1:12" x14ac:dyDescent="0.25">
      <c r="A656" s="4" t="s">
        <v>4837</v>
      </c>
      <c r="B656" s="4" t="s">
        <v>4202</v>
      </c>
      <c r="C656" s="6">
        <v>45328</v>
      </c>
      <c r="D656" s="4" t="s">
        <v>4062</v>
      </c>
      <c r="E656" s="4" t="s">
        <v>4054</v>
      </c>
      <c r="F656" s="4">
        <v>37.51</v>
      </c>
      <c r="G656" s="4" t="s">
        <v>45</v>
      </c>
      <c r="H656" s="4" t="s">
        <v>4059</v>
      </c>
      <c r="I656" s="4" t="s">
        <v>4056</v>
      </c>
      <c r="J656" s="4"/>
      <c r="K656" s="4">
        <f>VLOOKUP(G656,Exchange_Rates!A:B,2,FALSE)</f>
        <v>1</v>
      </c>
      <c r="L656" s="4">
        <f t="shared" si="10"/>
        <v>37.51</v>
      </c>
    </row>
    <row r="657" spans="1:12" x14ac:dyDescent="0.25">
      <c r="A657" s="4" t="s">
        <v>4838</v>
      </c>
      <c r="B657" s="4" t="s">
        <v>4095</v>
      </c>
      <c r="C657" s="6">
        <v>45451</v>
      </c>
      <c r="D657" s="4" t="s">
        <v>4053</v>
      </c>
      <c r="E657" s="4" t="s">
        <v>4054</v>
      </c>
      <c r="F657" s="4">
        <v>722.15</v>
      </c>
      <c r="G657" s="4" t="s">
        <v>64</v>
      </c>
      <c r="H657" s="4" t="s">
        <v>4055</v>
      </c>
      <c r="I657" s="4" t="s">
        <v>4056</v>
      </c>
      <c r="J657" s="6">
        <v>45466</v>
      </c>
      <c r="K657" s="4">
        <f>VLOOKUP(G657,Exchange_Rates!A:B,2,FALSE)</f>
        <v>0.73</v>
      </c>
      <c r="L657" s="4">
        <f t="shared" si="10"/>
        <v>527.16949999999997</v>
      </c>
    </row>
    <row r="658" spans="1:12" x14ac:dyDescent="0.25">
      <c r="A658" s="4" t="s">
        <v>4839</v>
      </c>
      <c r="B658" s="4" t="s">
        <v>4258</v>
      </c>
      <c r="C658" s="6">
        <v>45129</v>
      </c>
      <c r="D658" s="4" t="s">
        <v>4069</v>
      </c>
      <c r="E658" s="4" t="s">
        <v>4054</v>
      </c>
      <c r="F658" s="4">
        <v>530.09</v>
      </c>
      <c r="G658" s="4" t="s">
        <v>45</v>
      </c>
      <c r="H658" s="4" t="s">
        <v>4059</v>
      </c>
      <c r="I658" s="4" t="s">
        <v>4070</v>
      </c>
      <c r="J658" s="4"/>
      <c r="K658" s="4">
        <f>VLOOKUP(G658,Exchange_Rates!A:B,2,FALSE)</f>
        <v>1</v>
      </c>
      <c r="L658" s="4">
        <f t="shared" si="10"/>
        <v>530.09</v>
      </c>
    </row>
    <row r="659" spans="1:12" x14ac:dyDescent="0.25">
      <c r="A659" s="4" t="s">
        <v>4840</v>
      </c>
      <c r="B659" s="4" t="s">
        <v>4371</v>
      </c>
      <c r="C659" s="6">
        <v>45092</v>
      </c>
      <c r="D659" s="4" t="s">
        <v>4069</v>
      </c>
      <c r="E659" s="4" t="s">
        <v>4054</v>
      </c>
      <c r="F659" s="4">
        <v>138.35</v>
      </c>
      <c r="G659" s="4" t="s">
        <v>45</v>
      </c>
      <c r="H659" s="4" t="s">
        <v>4059</v>
      </c>
      <c r="I659" s="4" t="s">
        <v>4056</v>
      </c>
      <c r="J659" s="4"/>
      <c r="K659" s="4">
        <f>VLOOKUP(G659,Exchange_Rates!A:B,2,FALSE)</f>
        <v>1</v>
      </c>
      <c r="L659" s="4">
        <f t="shared" si="10"/>
        <v>138.35</v>
      </c>
    </row>
    <row r="660" spans="1:12" x14ac:dyDescent="0.25">
      <c r="A660" s="4" t="s">
        <v>4841</v>
      </c>
      <c r="B660" s="4" t="s">
        <v>4385</v>
      </c>
      <c r="C660" s="6">
        <v>45143</v>
      </c>
      <c r="D660" s="4" t="s">
        <v>4069</v>
      </c>
      <c r="E660" s="4" t="s">
        <v>4054</v>
      </c>
      <c r="F660" s="4">
        <v>35.659999999999997</v>
      </c>
      <c r="G660" s="4" t="s">
        <v>36</v>
      </c>
      <c r="H660" s="4" t="s">
        <v>4063</v>
      </c>
      <c r="I660" s="4" t="s">
        <v>4087</v>
      </c>
      <c r="J660" s="4"/>
      <c r="K660" s="4">
        <f>VLOOKUP(G660,Exchange_Rates!A:B,2,FALSE)</f>
        <v>1.08</v>
      </c>
      <c r="L660" s="4">
        <f t="shared" si="10"/>
        <v>38.512799999999999</v>
      </c>
    </row>
    <row r="661" spans="1:12" x14ac:dyDescent="0.25">
      <c r="A661" s="4" t="s">
        <v>4842</v>
      </c>
      <c r="B661" s="4" t="s">
        <v>4558</v>
      </c>
      <c r="C661" s="6">
        <v>45433</v>
      </c>
      <c r="D661" s="4" t="s">
        <v>4096</v>
      </c>
      <c r="E661" s="4" t="s">
        <v>4054</v>
      </c>
      <c r="F661" s="4">
        <v>323.3</v>
      </c>
      <c r="G661" s="4" t="s">
        <v>45</v>
      </c>
      <c r="H661" s="4" t="s">
        <v>4059</v>
      </c>
      <c r="I661" s="4" t="s">
        <v>4087</v>
      </c>
      <c r="J661" s="4"/>
      <c r="K661" s="4">
        <f>VLOOKUP(G661,Exchange_Rates!A:B,2,FALSE)</f>
        <v>1</v>
      </c>
      <c r="L661" s="4">
        <f t="shared" si="10"/>
        <v>323.3</v>
      </c>
    </row>
    <row r="662" spans="1:12" x14ac:dyDescent="0.25">
      <c r="A662" s="4" t="s">
        <v>4843</v>
      </c>
      <c r="B662" s="4" t="s">
        <v>4475</v>
      </c>
      <c r="C662" s="6">
        <v>45652</v>
      </c>
      <c r="D662" s="4" t="s">
        <v>4053</v>
      </c>
      <c r="E662" s="4" t="s">
        <v>4054</v>
      </c>
      <c r="F662" s="4">
        <v>659.07</v>
      </c>
      <c r="G662" s="4" t="s">
        <v>36</v>
      </c>
      <c r="H662" s="4" t="s">
        <v>4059</v>
      </c>
      <c r="I662" s="4" t="s">
        <v>4056</v>
      </c>
      <c r="J662" s="4"/>
      <c r="K662" s="4">
        <f>VLOOKUP(G662,Exchange_Rates!A:B,2,FALSE)</f>
        <v>1.08</v>
      </c>
      <c r="L662" s="4">
        <f t="shared" si="10"/>
        <v>711.79560000000015</v>
      </c>
    </row>
    <row r="663" spans="1:12" x14ac:dyDescent="0.25">
      <c r="A663" s="4" t="s">
        <v>4844</v>
      </c>
      <c r="B663" s="4" t="s">
        <v>4124</v>
      </c>
      <c r="C663" s="6">
        <v>45282</v>
      </c>
      <c r="D663" s="4" t="s">
        <v>4069</v>
      </c>
      <c r="E663" s="4" t="s">
        <v>4054</v>
      </c>
      <c r="F663" s="4">
        <v>421.97</v>
      </c>
      <c r="G663" s="4" t="s">
        <v>28</v>
      </c>
      <c r="H663" s="4" t="s">
        <v>4059</v>
      </c>
      <c r="I663" s="4" t="s">
        <v>4087</v>
      </c>
      <c r="J663" s="4"/>
      <c r="K663" s="4">
        <f>VLOOKUP(G663,Exchange_Rates!A:B,2,FALSE)</f>
        <v>1.27</v>
      </c>
      <c r="L663" s="4">
        <f t="shared" si="10"/>
        <v>535.90190000000007</v>
      </c>
    </row>
    <row r="664" spans="1:12" x14ac:dyDescent="0.25">
      <c r="A664" s="4" t="s">
        <v>4845</v>
      </c>
      <c r="B664" s="4" t="s">
        <v>4308</v>
      </c>
      <c r="C664" s="6">
        <v>45285</v>
      </c>
      <c r="D664" s="4" t="s">
        <v>4066</v>
      </c>
      <c r="E664" s="4" t="s">
        <v>4054</v>
      </c>
      <c r="F664" s="4">
        <v>23.26</v>
      </c>
      <c r="G664" s="4" t="s">
        <v>45</v>
      </c>
      <c r="H664" s="4" t="s">
        <v>4059</v>
      </c>
      <c r="I664" s="4" t="s">
        <v>4087</v>
      </c>
      <c r="J664" s="4"/>
      <c r="K664" s="4">
        <f>VLOOKUP(G664,Exchange_Rates!A:B,2,FALSE)</f>
        <v>1</v>
      </c>
      <c r="L664" s="4">
        <f t="shared" si="10"/>
        <v>23.26</v>
      </c>
    </row>
    <row r="665" spans="1:12" x14ac:dyDescent="0.25">
      <c r="A665" s="4" t="s">
        <v>4846</v>
      </c>
      <c r="B665" s="4" t="s">
        <v>4180</v>
      </c>
      <c r="C665" s="6">
        <v>45068</v>
      </c>
      <c r="D665" s="4" t="s">
        <v>4096</v>
      </c>
      <c r="E665" s="4" t="s">
        <v>4054</v>
      </c>
      <c r="F665" s="4">
        <v>31.77</v>
      </c>
      <c r="G665" s="4" t="s">
        <v>36</v>
      </c>
      <c r="H665" s="4" t="s">
        <v>4055</v>
      </c>
      <c r="I665" s="4" t="s">
        <v>4087</v>
      </c>
      <c r="J665" s="6">
        <v>45083</v>
      </c>
      <c r="K665" s="4">
        <f>VLOOKUP(G665,Exchange_Rates!A:B,2,FALSE)</f>
        <v>1.08</v>
      </c>
      <c r="L665" s="4">
        <f t="shared" si="10"/>
        <v>34.311599999999999</v>
      </c>
    </row>
    <row r="666" spans="1:12" x14ac:dyDescent="0.25">
      <c r="A666" s="4" t="s">
        <v>4847</v>
      </c>
      <c r="B666" s="4" t="s">
        <v>4569</v>
      </c>
      <c r="C666" s="6">
        <v>45018</v>
      </c>
      <c r="D666" s="4" t="s">
        <v>4069</v>
      </c>
      <c r="E666" s="4" t="s">
        <v>4054</v>
      </c>
      <c r="F666" s="4">
        <v>545.27</v>
      </c>
      <c r="G666" s="4" t="s">
        <v>36</v>
      </c>
      <c r="H666" s="4" t="s">
        <v>4097</v>
      </c>
      <c r="I666" s="4" t="s">
        <v>4087</v>
      </c>
      <c r="J666" s="4"/>
      <c r="K666" s="4">
        <f>VLOOKUP(G666,Exchange_Rates!A:B,2,FALSE)</f>
        <v>1.08</v>
      </c>
      <c r="L666" s="4">
        <f t="shared" si="10"/>
        <v>588.89160000000004</v>
      </c>
    </row>
    <row r="667" spans="1:12" x14ac:dyDescent="0.25">
      <c r="A667" s="4" t="s">
        <v>4848</v>
      </c>
      <c r="B667" s="4" t="s">
        <v>4076</v>
      </c>
      <c r="C667" s="6">
        <v>45611</v>
      </c>
      <c r="D667" s="4" t="s">
        <v>4066</v>
      </c>
      <c r="E667" s="4" t="s">
        <v>4054</v>
      </c>
      <c r="F667" s="4">
        <v>712.59</v>
      </c>
      <c r="G667" s="4" t="s">
        <v>36</v>
      </c>
      <c r="H667" s="4" t="s">
        <v>4055</v>
      </c>
      <c r="I667" s="4" t="s">
        <v>4087</v>
      </c>
      <c r="J667" s="6">
        <v>45626</v>
      </c>
      <c r="K667" s="4">
        <f>VLOOKUP(G667,Exchange_Rates!A:B,2,FALSE)</f>
        <v>1.08</v>
      </c>
      <c r="L667" s="4">
        <f t="shared" si="10"/>
        <v>769.59720000000004</v>
      </c>
    </row>
    <row r="668" spans="1:12" x14ac:dyDescent="0.25">
      <c r="A668" s="4" t="s">
        <v>4849</v>
      </c>
      <c r="B668" s="4" t="s">
        <v>4475</v>
      </c>
      <c r="C668" s="6">
        <v>45111</v>
      </c>
      <c r="D668" s="4" t="s">
        <v>4069</v>
      </c>
      <c r="E668" s="4" t="s">
        <v>4054</v>
      </c>
      <c r="F668" s="4">
        <v>518.39</v>
      </c>
      <c r="G668" s="4" t="s">
        <v>64</v>
      </c>
      <c r="H668" s="4" t="s">
        <v>4055</v>
      </c>
      <c r="I668" s="4" t="s">
        <v>4070</v>
      </c>
      <c r="J668" s="6">
        <v>45126</v>
      </c>
      <c r="K668" s="4">
        <f>VLOOKUP(G668,Exchange_Rates!A:B,2,FALSE)</f>
        <v>0.73</v>
      </c>
      <c r="L668" s="4">
        <f t="shared" si="10"/>
        <v>378.42469999999997</v>
      </c>
    </row>
    <row r="669" spans="1:12" x14ac:dyDescent="0.25">
      <c r="A669" s="4" t="s">
        <v>4850</v>
      </c>
      <c r="B669" s="4" t="s">
        <v>4350</v>
      </c>
      <c r="C669" s="6">
        <v>45080</v>
      </c>
      <c r="D669" s="4" t="s">
        <v>4069</v>
      </c>
      <c r="E669" s="4" t="s">
        <v>4054</v>
      </c>
      <c r="F669" s="4">
        <v>633.48</v>
      </c>
      <c r="G669" s="4" t="s">
        <v>64</v>
      </c>
      <c r="H669" s="4" t="s">
        <v>4063</v>
      </c>
      <c r="I669" s="4" t="s">
        <v>4070</v>
      </c>
      <c r="J669" s="4"/>
      <c r="K669" s="4">
        <f>VLOOKUP(G669,Exchange_Rates!A:B,2,FALSE)</f>
        <v>0.73</v>
      </c>
      <c r="L669" s="4">
        <f t="shared" si="10"/>
        <v>462.44040000000001</v>
      </c>
    </row>
    <row r="670" spans="1:12" x14ac:dyDescent="0.25">
      <c r="A670" s="4" t="s">
        <v>4851</v>
      </c>
      <c r="B670" s="4" t="s">
        <v>4362</v>
      </c>
      <c r="C670" s="6">
        <v>45522</v>
      </c>
      <c r="D670" s="4" t="s">
        <v>4053</v>
      </c>
      <c r="E670" s="4" t="s">
        <v>4054</v>
      </c>
      <c r="F670" s="4">
        <v>794.81</v>
      </c>
      <c r="G670" s="4" t="s">
        <v>36</v>
      </c>
      <c r="H670" s="4" t="s">
        <v>4063</v>
      </c>
      <c r="I670" s="4" t="s">
        <v>4070</v>
      </c>
      <c r="J670" s="4"/>
      <c r="K670" s="4">
        <f>VLOOKUP(G670,Exchange_Rates!A:B,2,FALSE)</f>
        <v>1.08</v>
      </c>
      <c r="L670" s="4">
        <f t="shared" si="10"/>
        <v>858.39480000000003</v>
      </c>
    </row>
    <row r="671" spans="1:12" x14ac:dyDescent="0.25">
      <c r="A671" s="4" t="s">
        <v>4852</v>
      </c>
      <c r="B671" s="4" t="s">
        <v>4126</v>
      </c>
      <c r="C671" s="6">
        <v>44985</v>
      </c>
      <c r="D671" s="4" t="s">
        <v>4053</v>
      </c>
      <c r="E671" s="4" t="s">
        <v>4054</v>
      </c>
      <c r="F671" s="4">
        <v>559.97</v>
      </c>
      <c r="G671" s="4" t="s">
        <v>28</v>
      </c>
      <c r="H671" s="4" t="s">
        <v>4055</v>
      </c>
      <c r="I671" s="4" t="s">
        <v>4087</v>
      </c>
      <c r="J671" s="6">
        <v>45000</v>
      </c>
      <c r="K671" s="4">
        <f>VLOOKUP(G671,Exchange_Rates!A:B,2,FALSE)</f>
        <v>1.27</v>
      </c>
      <c r="L671" s="4">
        <f t="shared" si="10"/>
        <v>711.16190000000006</v>
      </c>
    </row>
    <row r="672" spans="1:12" x14ac:dyDescent="0.25">
      <c r="A672" s="4" t="s">
        <v>4853</v>
      </c>
      <c r="B672" s="4" t="s">
        <v>4166</v>
      </c>
      <c r="C672" s="6">
        <v>45465</v>
      </c>
      <c r="D672" s="4" t="s">
        <v>4066</v>
      </c>
      <c r="E672" s="4" t="s">
        <v>4054</v>
      </c>
      <c r="F672" s="4">
        <v>334.08</v>
      </c>
      <c r="G672" s="4" t="s">
        <v>42</v>
      </c>
      <c r="H672" s="4" t="s">
        <v>4055</v>
      </c>
      <c r="I672" s="4" t="s">
        <v>4087</v>
      </c>
      <c r="J672" s="6">
        <v>45480</v>
      </c>
      <c r="K672" s="4">
        <f>VLOOKUP(G672,Exchange_Rates!A:B,2,FALSE)</f>
        <v>0.66</v>
      </c>
      <c r="L672" s="4">
        <f t="shared" si="10"/>
        <v>220.49279999999999</v>
      </c>
    </row>
    <row r="673" spans="1:12" x14ac:dyDescent="0.25">
      <c r="A673" s="4" t="s">
        <v>4854</v>
      </c>
      <c r="B673" s="4" t="s">
        <v>4158</v>
      </c>
      <c r="C673" s="6">
        <v>45677</v>
      </c>
      <c r="D673" s="4" t="s">
        <v>4069</v>
      </c>
      <c r="E673" s="4" t="s">
        <v>4054</v>
      </c>
      <c r="F673" s="4">
        <v>175.63</v>
      </c>
      <c r="G673" s="4" t="s">
        <v>45</v>
      </c>
      <c r="H673" s="4" t="s">
        <v>4097</v>
      </c>
      <c r="I673" s="4" t="s">
        <v>4070</v>
      </c>
      <c r="J673" s="4"/>
      <c r="K673" s="4">
        <f>VLOOKUP(G673,Exchange_Rates!A:B,2,FALSE)</f>
        <v>1</v>
      </c>
      <c r="L673" s="4">
        <f t="shared" si="10"/>
        <v>175.63</v>
      </c>
    </row>
    <row r="674" spans="1:12" x14ac:dyDescent="0.25">
      <c r="A674" s="4" t="s">
        <v>4855</v>
      </c>
      <c r="B674" s="4" t="s">
        <v>4117</v>
      </c>
      <c r="C674" s="6">
        <v>45324</v>
      </c>
      <c r="D674" s="4" t="s">
        <v>4066</v>
      </c>
      <c r="E674" s="4" t="s">
        <v>4054</v>
      </c>
      <c r="F674" s="4">
        <v>73.73</v>
      </c>
      <c r="G674" s="4" t="s">
        <v>36</v>
      </c>
      <c r="H674" s="4" t="s">
        <v>4055</v>
      </c>
      <c r="I674" s="4" t="s">
        <v>4087</v>
      </c>
      <c r="J674" s="6">
        <v>45339</v>
      </c>
      <c r="K674" s="4">
        <f>VLOOKUP(G674,Exchange_Rates!A:B,2,FALSE)</f>
        <v>1.08</v>
      </c>
      <c r="L674" s="4">
        <f t="shared" si="10"/>
        <v>79.628400000000013</v>
      </c>
    </row>
    <row r="675" spans="1:12" x14ac:dyDescent="0.25">
      <c r="A675" s="4" t="s">
        <v>4856</v>
      </c>
      <c r="B675" s="4" t="s">
        <v>4393</v>
      </c>
      <c r="C675" s="6">
        <v>45520</v>
      </c>
      <c r="D675" s="4" t="s">
        <v>4096</v>
      </c>
      <c r="E675" s="4" t="s">
        <v>4054</v>
      </c>
      <c r="F675" s="4">
        <v>547.32000000000005</v>
      </c>
      <c r="G675" s="4" t="s">
        <v>36</v>
      </c>
      <c r="H675" s="4" t="s">
        <v>4059</v>
      </c>
      <c r="I675" s="4" t="s">
        <v>4056</v>
      </c>
      <c r="J675" s="4"/>
      <c r="K675" s="4">
        <f>VLOOKUP(G675,Exchange_Rates!A:B,2,FALSE)</f>
        <v>1.08</v>
      </c>
      <c r="L675" s="4">
        <f t="shared" si="10"/>
        <v>591.10560000000009</v>
      </c>
    </row>
    <row r="676" spans="1:12" x14ac:dyDescent="0.25">
      <c r="A676" s="4" t="s">
        <v>4857</v>
      </c>
      <c r="B676" s="4" t="s">
        <v>4515</v>
      </c>
      <c r="C676" s="6">
        <v>45650</v>
      </c>
      <c r="D676" s="4" t="s">
        <v>4096</v>
      </c>
      <c r="E676" s="4" t="s">
        <v>4054</v>
      </c>
      <c r="F676" s="4">
        <v>401.22</v>
      </c>
      <c r="G676" s="4" t="s">
        <v>45</v>
      </c>
      <c r="H676" s="4" t="s">
        <v>4059</v>
      </c>
      <c r="I676" s="4" t="s">
        <v>4070</v>
      </c>
      <c r="J676" s="4"/>
      <c r="K676" s="4">
        <f>VLOOKUP(G676,Exchange_Rates!A:B,2,FALSE)</f>
        <v>1</v>
      </c>
      <c r="L676" s="4">
        <f t="shared" si="10"/>
        <v>401.22</v>
      </c>
    </row>
    <row r="677" spans="1:12" x14ac:dyDescent="0.25">
      <c r="A677" s="4" t="s">
        <v>4858</v>
      </c>
      <c r="B677" s="4" t="s">
        <v>4143</v>
      </c>
      <c r="C677" s="6">
        <v>45065</v>
      </c>
      <c r="D677" s="4" t="s">
        <v>4053</v>
      </c>
      <c r="E677" s="4" t="s">
        <v>4054</v>
      </c>
      <c r="F677" s="4">
        <v>489.62</v>
      </c>
      <c r="G677" s="4" t="s">
        <v>64</v>
      </c>
      <c r="H677" s="4" t="s">
        <v>4055</v>
      </c>
      <c r="I677" s="4" t="s">
        <v>4070</v>
      </c>
      <c r="J677" s="6">
        <v>45080</v>
      </c>
      <c r="K677" s="4">
        <f>VLOOKUP(G677,Exchange_Rates!A:B,2,FALSE)</f>
        <v>0.73</v>
      </c>
      <c r="L677" s="4">
        <f t="shared" si="10"/>
        <v>357.42259999999999</v>
      </c>
    </row>
    <row r="678" spans="1:12" x14ac:dyDescent="0.25">
      <c r="A678" s="4" t="s">
        <v>4859</v>
      </c>
      <c r="B678" s="4" t="s">
        <v>4267</v>
      </c>
      <c r="C678" s="6">
        <v>45412</v>
      </c>
      <c r="D678" s="4" t="s">
        <v>4066</v>
      </c>
      <c r="E678" s="4" t="s">
        <v>4054</v>
      </c>
      <c r="F678" s="4">
        <v>789.31</v>
      </c>
      <c r="G678" s="4" t="s">
        <v>45</v>
      </c>
      <c r="H678" s="4" t="s">
        <v>4059</v>
      </c>
      <c r="I678" s="4" t="s">
        <v>4056</v>
      </c>
      <c r="J678" s="4"/>
      <c r="K678" s="4">
        <f>VLOOKUP(G678,Exchange_Rates!A:B,2,FALSE)</f>
        <v>1</v>
      </c>
      <c r="L678" s="4">
        <f t="shared" si="10"/>
        <v>789.31</v>
      </c>
    </row>
    <row r="679" spans="1:12" x14ac:dyDescent="0.25">
      <c r="A679" s="4" t="s">
        <v>4860</v>
      </c>
      <c r="B679" s="4" t="s">
        <v>4115</v>
      </c>
      <c r="C679" s="6">
        <v>45656</v>
      </c>
      <c r="D679" s="4" t="s">
        <v>4053</v>
      </c>
      <c r="E679" s="4" t="s">
        <v>4054</v>
      </c>
      <c r="F679" s="4">
        <v>133.57</v>
      </c>
      <c r="G679" s="4" t="s">
        <v>28</v>
      </c>
      <c r="H679" s="4" t="s">
        <v>4055</v>
      </c>
      <c r="I679" s="4" t="s">
        <v>4070</v>
      </c>
      <c r="J679" s="6">
        <v>45671</v>
      </c>
      <c r="K679" s="4">
        <f>VLOOKUP(G679,Exchange_Rates!A:B,2,FALSE)</f>
        <v>1.27</v>
      </c>
      <c r="L679" s="4">
        <f t="shared" si="10"/>
        <v>169.63389999999998</v>
      </c>
    </row>
    <row r="680" spans="1:12" x14ac:dyDescent="0.25">
      <c r="A680" s="4" t="s">
        <v>4861</v>
      </c>
      <c r="B680" s="4" t="s">
        <v>4180</v>
      </c>
      <c r="C680" s="6">
        <v>45736</v>
      </c>
      <c r="D680" s="4" t="s">
        <v>4053</v>
      </c>
      <c r="E680" s="4" t="s">
        <v>4054</v>
      </c>
      <c r="F680" s="4">
        <v>307.49</v>
      </c>
      <c r="G680" s="4" t="s">
        <v>28</v>
      </c>
      <c r="H680" s="4" t="s">
        <v>4059</v>
      </c>
      <c r="I680" s="4" t="s">
        <v>4087</v>
      </c>
      <c r="J680" s="4"/>
      <c r="K680" s="4">
        <f>VLOOKUP(G680,Exchange_Rates!A:B,2,FALSE)</f>
        <v>1.27</v>
      </c>
      <c r="L680" s="4">
        <f t="shared" si="10"/>
        <v>390.51230000000004</v>
      </c>
    </row>
    <row r="681" spans="1:12" x14ac:dyDescent="0.25">
      <c r="A681" s="4" t="s">
        <v>4862</v>
      </c>
      <c r="B681" s="4" t="s">
        <v>4405</v>
      </c>
      <c r="C681" s="6">
        <v>45418</v>
      </c>
      <c r="D681" s="4" t="s">
        <v>4069</v>
      </c>
      <c r="E681" s="4" t="s">
        <v>4054</v>
      </c>
      <c r="F681" s="4">
        <v>327.92</v>
      </c>
      <c r="G681" s="4" t="s">
        <v>42</v>
      </c>
      <c r="H681" s="4" t="s">
        <v>4059</v>
      </c>
      <c r="I681" s="4" t="s">
        <v>4070</v>
      </c>
      <c r="J681" s="4"/>
      <c r="K681" s="4">
        <f>VLOOKUP(G681,Exchange_Rates!A:B,2,FALSE)</f>
        <v>0.66</v>
      </c>
      <c r="L681" s="4">
        <f t="shared" si="10"/>
        <v>216.42720000000003</v>
      </c>
    </row>
    <row r="682" spans="1:12" x14ac:dyDescent="0.25">
      <c r="A682" s="4" t="s">
        <v>4863</v>
      </c>
      <c r="B682" s="4" t="s">
        <v>4061</v>
      </c>
      <c r="C682" s="6">
        <v>45272</v>
      </c>
      <c r="D682" s="4" t="s">
        <v>4096</v>
      </c>
      <c r="E682" s="4" t="s">
        <v>4054</v>
      </c>
      <c r="F682" s="4">
        <v>756.76</v>
      </c>
      <c r="G682" s="4" t="s">
        <v>36</v>
      </c>
      <c r="H682" s="4" t="s">
        <v>4055</v>
      </c>
      <c r="I682" s="4" t="s">
        <v>4070</v>
      </c>
      <c r="J682" s="6">
        <v>45287</v>
      </c>
      <c r="K682" s="4">
        <f>VLOOKUP(G682,Exchange_Rates!A:B,2,FALSE)</f>
        <v>1.08</v>
      </c>
      <c r="L682" s="4">
        <f t="shared" si="10"/>
        <v>817.30080000000009</v>
      </c>
    </row>
    <row r="683" spans="1:12" x14ac:dyDescent="0.25">
      <c r="A683" s="4" t="s">
        <v>4864</v>
      </c>
      <c r="B683" s="4" t="s">
        <v>4199</v>
      </c>
      <c r="C683" s="6">
        <v>45006</v>
      </c>
      <c r="D683" s="4" t="s">
        <v>4096</v>
      </c>
      <c r="E683" s="4" t="s">
        <v>4054</v>
      </c>
      <c r="F683" s="4">
        <v>292.14999999999998</v>
      </c>
      <c r="G683" s="4" t="s">
        <v>36</v>
      </c>
      <c r="H683" s="4" t="s">
        <v>4055</v>
      </c>
      <c r="I683" s="4" t="s">
        <v>4070</v>
      </c>
      <c r="J683" s="6">
        <v>45021</v>
      </c>
      <c r="K683" s="4">
        <f>VLOOKUP(G683,Exchange_Rates!A:B,2,FALSE)</f>
        <v>1.08</v>
      </c>
      <c r="L683" s="4">
        <f t="shared" si="10"/>
        <v>315.52199999999999</v>
      </c>
    </row>
    <row r="684" spans="1:12" x14ac:dyDescent="0.25">
      <c r="A684" s="4" t="s">
        <v>4865</v>
      </c>
      <c r="B684" s="4" t="s">
        <v>4428</v>
      </c>
      <c r="C684" s="6">
        <v>45775</v>
      </c>
      <c r="D684" s="4" t="s">
        <v>4069</v>
      </c>
      <c r="E684" s="4" t="s">
        <v>4054</v>
      </c>
      <c r="F684" s="4">
        <v>774</v>
      </c>
      <c r="G684" s="4" t="s">
        <v>42</v>
      </c>
      <c r="H684" s="4" t="s">
        <v>4055</v>
      </c>
      <c r="I684" s="4" t="s">
        <v>4070</v>
      </c>
      <c r="J684" s="6">
        <v>45790</v>
      </c>
      <c r="K684" s="4">
        <f>VLOOKUP(G684,Exchange_Rates!A:B,2,FALSE)</f>
        <v>0.66</v>
      </c>
      <c r="L684" s="4">
        <f t="shared" si="10"/>
        <v>510.84000000000003</v>
      </c>
    </row>
    <row r="685" spans="1:12" x14ac:dyDescent="0.25">
      <c r="A685" s="4" t="s">
        <v>4866</v>
      </c>
      <c r="B685" s="4" t="s">
        <v>4387</v>
      </c>
      <c r="C685" s="6">
        <v>45254</v>
      </c>
      <c r="D685" s="4" t="s">
        <v>4062</v>
      </c>
      <c r="E685" s="4" t="s">
        <v>4054</v>
      </c>
      <c r="F685" s="4">
        <v>223.41</v>
      </c>
      <c r="G685" s="4" t="s">
        <v>28</v>
      </c>
      <c r="H685" s="4" t="s">
        <v>4055</v>
      </c>
      <c r="I685" s="4" t="s">
        <v>4070</v>
      </c>
      <c r="J685" s="6">
        <v>45269</v>
      </c>
      <c r="K685" s="4">
        <f>VLOOKUP(G685,Exchange_Rates!A:B,2,FALSE)</f>
        <v>1.27</v>
      </c>
      <c r="L685" s="4">
        <f t="shared" si="10"/>
        <v>283.73070000000001</v>
      </c>
    </row>
    <row r="686" spans="1:12" x14ac:dyDescent="0.25">
      <c r="A686" s="4" t="s">
        <v>4867</v>
      </c>
      <c r="B686" s="4" t="s">
        <v>4178</v>
      </c>
      <c r="C686" s="6">
        <v>44967</v>
      </c>
      <c r="D686" s="4" t="s">
        <v>4053</v>
      </c>
      <c r="E686" s="4" t="s">
        <v>4054</v>
      </c>
      <c r="F686" s="4">
        <v>643.30999999999995</v>
      </c>
      <c r="G686" s="4" t="s">
        <v>36</v>
      </c>
      <c r="H686" s="4" t="s">
        <v>4055</v>
      </c>
      <c r="I686" s="4" t="s">
        <v>4070</v>
      </c>
      <c r="J686" s="6">
        <v>44982</v>
      </c>
      <c r="K686" s="4">
        <f>VLOOKUP(G686,Exchange_Rates!A:B,2,FALSE)</f>
        <v>1.08</v>
      </c>
      <c r="L686" s="4">
        <f t="shared" si="10"/>
        <v>694.77480000000003</v>
      </c>
    </row>
    <row r="687" spans="1:12" x14ac:dyDescent="0.25">
      <c r="A687" s="4" t="s">
        <v>4868</v>
      </c>
      <c r="B687" s="4" t="s">
        <v>4134</v>
      </c>
      <c r="C687" s="6">
        <v>44979</v>
      </c>
      <c r="D687" s="4" t="s">
        <v>4096</v>
      </c>
      <c r="E687" s="4" t="s">
        <v>4054</v>
      </c>
      <c r="F687" s="4">
        <v>49.53</v>
      </c>
      <c r="G687" s="4" t="s">
        <v>36</v>
      </c>
      <c r="H687" s="4" t="s">
        <v>4097</v>
      </c>
      <c r="I687" s="4" t="s">
        <v>4070</v>
      </c>
      <c r="J687" s="4"/>
      <c r="K687" s="4">
        <f>VLOOKUP(G687,Exchange_Rates!A:B,2,FALSE)</f>
        <v>1.08</v>
      </c>
      <c r="L687" s="4">
        <f t="shared" si="10"/>
        <v>53.492400000000004</v>
      </c>
    </row>
    <row r="688" spans="1:12" x14ac:dyDescent="0.25">
      <c r="A688" s="4" t="s">
        <v>4869</v>
      </c>
      <c r="B688" s="4" t="s">
        <v>4166</v>
      </c>
      <c r="C688" s="6">
        <v>45352</v>
      </c>
      <c r="D688" s="4" t="s">
        <v>4062</v>
      </c>
      <c r="E688" s="4" t="s">
        <v>4054</v>
      </c>
      <c r="F688" s="4">
        <v>305.35000000000002</v>
      </c>
      <c r="G688" s="4" t="s">
        <v>42</v>
      </c>
      <c r="H688" s="4" t="s">
        <v>4055</v>
      </c>
      <c r="I688" s="4" t="s">
        <v>4087</v>
      </c>
      <c r="J688" s="6">
        <v>45367</v>
      </c>
      <c r="K688" s="4">
        <f>VLOOKUP(G688,Exchange_Rates!A:B,2,FALSE)</f>
        <v>0.66</v>
      </c>
      <c r="L688" s="4">
        <f t="shared" si="10"/>
        <v>201.53100000000003</v>
      </c>
    </row>
    <row r="689" spans="1:12" x14ac:dyDescent="0.25">
      <c r="A689" s="4" t="s">
        <v>4870</v>
      </c>
      <c r="B689" s="4" t="s">
        <v>4143</v>
      </c>
      <c r="C689" s="6">
        <v>45331</v>
      </c>
      <c r="D689" s="4" t="s">
        <v>4096</v>
      </c>
      <c r="E689" s="4" t="s">
        <v>4054</v>
      </c>
      <c r="F689" s="4">
        <v>643.89</v>
      </c>
      <c r="G689" s="4" t="s">
        <v>64</v>
      </c>
      <c r="H689" s="4" t="s">
        <v>4097</v>
      </c>
      <c r="I689" s="4" t="s">
        <v>4056</v>
      </c>
      <c r="J689" s="4"/>
      <c r="K689" s="4">
        <f>VLOOKUP(G689,Exchange_Rates!A:B,2,FALSE)</f>
        <v>0.73</v>
      </c>
      <c r="L689" s="4">
        <f t="shared" si="10"/>
        <v>470.03969999999998</v>
      </c>
    </row>
    <row r="690" spans="1:12" x14ac:dyDescent="0.25">
      <c r="A690" s="4" t="s">
        <v>4871</v>
      </c>
      <c r="B690" s="4" t="s">
        <v>4430</v>
      </c>
      <c r="C690" s="6">
        <v>45467</v>
      </c>
      <c r="D690" s="4" t="s">
        <v>4053</v>
      </c>
      <c r="E690" s="4" t="s">
        <v>4054</v>
      </c>
      <c r="F690" s="4">
        <v>73.94</v>
      </c>
      <c r="G690" s="4" t="s">
        <v>36</v>
      </c>
      <c r="H690" s="4" t="s">
        <v>4059</v>
      </c>
      <c r="I690" s="4" t="s">
        <v>4087</v>
      </c>
      <c r="J690" s="4"/>
      <c r="K690" s="4">
        <f>VLOOKUP(G690,Exchange_Rates!A:B,2,FALSE)</f>
        <v>1.08</v>
      </c>
      <c r="L690" s="4">
        <f t="shared" si="10"/>
        <v>79.855199999999996</v>
      </c>
    </row>
    <row r="691" spans="1:12" x14ac:dyDescent="0.25">
      <c r="A691" s="4" t="s">
        <v>4872</v>
      </c>
      <c r="B691" s="4" t="s">
        <v>4497</v>
      </c>
      <c r="C691" s="6">
        <v>45037</v>
      </c>
      <c r="D691" s="4" t="s">
        <v>4062</v>
      </c>
      <c r="E691" s="4" t="s">
        <v>4054</v>
      </c>
      <c r="F691" s="4">
        <v>679.91</v>
      </c>
      <c r="G691" s="4" t="s">
        <v>42</v>
      </c>
      <c r="H691" s="4" t="s">
        <v>4063</v>
      </c>
      <c r="I691" s="4" t="s">
        <v>4056</v>
      </c>
      <c r="J691" s="4"/>
      <c r="K691" s="4">
        <f>VLOOKUP(G691,Exchange_Rates!A:B,2,FALSE)</f>
        <v>0.66</v>
      </c>
      <c r="L691" s="4">
        <f t="shared" si="10"/>
        <v>448.74059999999997</v>
      </c>
    </row>
    <row r="692" spans="1:12" x14ac:dyDescent="0.25">
      <c r="A692" s="4" t="s">
        <v>4873</v>
      </c>
      <c r="B692" s="4" t="s">
        <v>4076</v>
      </c>
      <c r="C692" s="6">
        <v>45213</v>
      </c>
      <c r="D692" s="4" t="s">
        <v>4096</v>
      </c>
      <c r="E692" s="4" t="s">
        <v>4054</v>
      </c>
      <c r="F692" s="4">
        <v>797.7</v>
      </c>
      <c r="G692" s="4" t="s">
        <v>28</v>
      </c>
      <c r="H692" s="4" t="s">
        <v>4097</v>
      </c>
      <c r="I692" s="4" t="s">
        <v>4070</v>
      </c>
      <c r="J692" s="4"/>
      <c r="K692" s="4">
        <f>VLOOKUP(G692,Exchange_Rates!A:B,2,FALSE)</f>
        <v>1.27</v>
      </c>
      <c r="L692" s="4">
        <f t="shared" si="10"/>
        <v>1013.0790000000001</v>
      </c>
    </row>
    <row r="693" spans="1:12" x14ac:dyDescent="0.25">
      <c r="A693" s="4" t="s">
        <v>4874</v>
      </c>
      <c r="B693" s="4" t="s">
        <v>4295</v>
      </c>
      <c r="C693" s="6">
        <v>45049</v>
      </c>
      <c r="D693" s="4" t="s">
        <v>4062</v>
      </c>
      <c r="E693" s="4" t="s">
        <v>4054</v>
      </c>
      <c r="F693" s="4">
        <v>297.97000000000003</v>
      </c>
      <c r="G693" s="4" t="s">
        <v>64</v>
      </c>
      <c r="H693" s="4" t="s">
        <v>4097</v>
      </c>
      <c r="I693" s="4" t="s">
        <v>4056</v>
      </c>
      <c r="J693" s="4"/>
      <c r="K693" s="4">
        <f>VLOOKUP(G693,Exchange_Rates!A:B,2,FALSE)</f>
        <v>0.73</v>
      </c>
      <c r="L693" s="4">
        <f t="shared" si="10"/>
        <v>217.5181</v>
      </c>
    </row>
    <row r="694" spans="1:12" x14ac:dyDescent="0.25">
      <c r="A694" s="4" t="s">
        <v>4875</v>
      </c>
      <c r="B694" s="4" t="s">
        <v>4184</v>
      </c>
      <c r="C694" s="6">
        <v>45381</v>
      </c>
      <c r="D694" s="4" t="s">
        <v>4062</v>
      </c>
      <c r="E694" s="4" t="s">
        <v>4054</v>
      </c>
      <c r="F694" s="4">
        <v>77.03</v>
      </c>
      <c r="G694" s="4" t="s">
        <v>64</v>
      </c>
      <c r="H694" s="4" t="s">
        <v>4059</v>
      </c>
      <c r="I694" s="4" t="s">
        <v>4056</v>
      </c>
      <c r="J694" s="4"/>
      <c r="K694" s="4">
        <f>VLOOKUP(G694,Exchange_Rates!A:B,2,FALSE)</f>
        <v>0.73</v>
      </c>
      <c r="L694" s="4">
        <f t="shared" si="10"/>
        <v>56.231899999999996</v>
      </c>
    </row>
    <row r="695" spans="1:12" x14ac:dyDescent="0.25">
      <c r="A695" s="4" t="s">
        <v>4876</v>
      </c>
      <c r="B695" s="4" t="s">
        <v>4448</v>
      </c>
      <c r="C695" s="6">
        <v>45526</v>
      </c>
      <c r="D695" s="4" t="s">
        <v>4053</v>
      </c>
      <c r="E695" s="4" t="s">
        <v>4054</v>
      </c>
      <c r="F695" s="4">
        <v>677.91</v>
      </c>
      <c r="G695" s="4" t="s">
        <v>28</v>
      </c>
      <c r="H695" s="4" t="s">
        <v>4055</v>
      </c>
      <c r="I695" s="4" t="s">
        <v>4056</v>
      </c>
      <c r="J695" s="6">
        <v>45541</v>
      </c>
      <c r="K695" s="4">
        <f>VLOOKUP(G695,Exchange_Rates!A:B,2,FALSE)</f>
        <v>1.27</v>
      </c>
      <c r="L695" s="4">
        <f t="shared" si="10"/>
        <v>860.94569999999999</v>
      </c>
    </row>
    <row r="696" spans="1:12" x14ac:dyDescent="0.25">
      <c r="A696" s="4" t="s">
        <v>4877</v>
      </c>
      <c r="B696" s="4" t="s">
        <v>4076</v>
      </c>
      <c r="C696" s="6">
        <v>45628</v>
      </c>
      <c r="D696" s="4" t="s">
        <v>4062</v>
      </c>
      <c r="E696" s="4" t="s">
        <v>4054</v>
      </c>
      <c r="F696" s="4">
        <v>453.86</v>
      </c>
      <c r="G696" s="4" t="s">
        <v>45</v>
      </c>
      <c r="H696" s="4" t="s">
        <v>4097</v>
      </c>
      <c r="I696" s="4" t="s">
        <v>4056</v>
      </c>
      <c r="J696" s="4"/>
      <c r="K696" s="4">
        <f>VLOOKUP(G696,Exchange_Rates!A:B,2,FALSE)</f>
        <v>1</v>
      </c>
      <c r="L696" s="4">
        <f t="shared" si="10"/>
        <v>453.86</v>
      </c>
    </row>
    <row r="697" spans="1:12" x14ac:dyDescent="0.25">
      <c r="A697" s="4" t="s">
        <v>4878</v>
      </c>
      <c r="B697" s="4" t="s">
        <v>4255</v>
      </c>
      <c r="C697" s="6">
        <v>45331</v>
      </c>
      <c r="D697" s="4" t="s">
        <v>4062</v>
      </c>
      <c r="E697" s="4" t="s">
        <v>4054</v>
      </c>
      <c r="F697" s="4">
        <v>789.58</v>
      </c>
      <c r="G697" s="4" t="s">
        <v>28</v>
      </c>
      <c r="H697" s="4" t="s">
        <v>4063</v>
      </c>
      <c r="I697" s="4" t="s">
        <v>4070</v>
      </c>
      <c r="J697" s="4"/>
      <c r="K697" s="4">
        <f>VLOOKUP(G697,Exchange_Rates!A:B,2,FALSE)</f>
        <v>1.27</v>
      </c>
      <c r="L697" s="4">
        <f t="shared" si="10"/>
        <v>1002.7666</v>
      </c>
    </row>
    <row r="698" spans="1:12" x14ac:dyDescent="0.25">
      <c r="A698" s="4" t="s">
        <v>4879</v>
      </c>
      <c r="B698" s="4" t="s">
        <v>4112</v>
      </c>
      <c r="C698" s="6">
        <v>45631</v>
      </c>
      <c r="D698" s="4" t="s">
        <v>4053</v>
      </c>
      <c r="E698" s="4" t="s">
        <v>4054</v>
      </c>
      <c r="F698" s="4">
        <v>493.03</v>
      </c>
      <c r="G698" s="4" t="s">
        <v>64</v>
      </c>
      <c r="H698" s="4" t="s">
        <v>4059</v>
      </c>
      <c r="I698" s="4" t="s">
        <v>4056</v>
      </c>
      <c r="J698" s="4"/>
      <c r="K698" s="4">
        <f>VLOOKUP(G698,Exchange_Rates!A:B,2,FALSE)</f>
        <v>0.73</v>
      </c>
      <c r="L698" s="4">
        <f t="shared" si="10"/>
        <v>359.91189999999995</v>
      </c>
    </row>
    <row r="699" spans="1:12" x14ac:dyDescent="0.25">
      <c r="A699" s="4" t="s">
        <v>4880</v>
      </c>
      <c r="B699" s="4" t="s">
        <v>4052</v>
      </c>
      <c r="C699" s="6">
        <v>45628</v>
      </c>
      <c r="D699" s="4" t="s">
        <v>4062</v>
      </c>
      <c r="E699" s="4" t="s">
        <v>4054</v>
      </c>
      <c r="F699" s="4">
        <v>120.88</v>
      </c>
      <c r="G699" s="4" t="s">
        <v>45</v>
      </c>
      <c r="H699" s="4" t="s">
        <v>4097</v>
      </c>
      <c r="I699" s="4" t="s">
        <v>4056</v>
      </c>
      <c r="J699" s="4"/>
      <c r="K699" s="4">
        <f>VLOOKUP(G699,Exchange_Rates!A:B,2,FALSE)</f>
        <v>1</v>
      </c>
      <c r="L699" s="4">
        <f t="shared" si="10"/>
        <v>120.88</v>
      </c>
    </row>
    <row r="700" spans="1:12" x14ac:dyDescent="0.25">
      <c r="A700" s="4" t="s">
        <v>4881</v>
      </c>
      <c r="B700" s="4" t="s">
        <v>4302</v>
      </c>
      <c r="C700" s="6">
        <v>45270</v>
      </c>
      <c r="D700" s="4" t="s">
        <v>4066</v>
      </c>
      <c r="E700" s="4" t="s">
        <v>4054</v>
      </c>
      <c r="F700" s="4">
        <v>785.23</v>
      </c>
      <c r="G700" s="4" t="s">
        <v>64</v>
      </c>
      <c r="H700" s="4" t="s">
        <v>4063</v>
      </c>
      <c r="I700" s="4" t="s">
        <v>4087</v>
      </c>
      <c r="J700" s="4"/>
      <c r="K700" s="4">
        <f>VLOOKUP(G700,Exchange_Rates!A:B,2,FALSE)</f>
        <v>0.73</v>
      </c>
      <c r="L700" s="4">
        <f t="shared" si="10"/>
        <v>573.21789999999999</v>
      </c>
    </row>
    <row r="701" spans="1:12" x14ac:dyDescent="0.25">
      <c r="A701" s="4" t="s">
        <v>4882</v>
      </c>
      <c r="B701" s="4" t="s">
        <v>4626</v>
      </c>
      <c r="C701" s="6">
        <v>45119</v>
      </c>
      <c r="D701" s="4" t="s">
        <v>4069</v>
      </c>
      <c r="E701" s="4" t="s">
        <v>4054</v>
      </c>
      <c r="F701" s="4">
        <v>38.549999999999997</v>
      </c>
      <c r="G701" s="4" t="s">
        <v>45</v>
      </c>
      <c r="H701" s="4" t="s">
        <v>4097</v>
      </c>
      <c r="I701" s="4" t="s">
        <v>4087</v>
      </c>
      <c r="J701" s="4"/>
      <c r="K701" s="4">
        <f>VLOOKUP(G701,Exchange_Rates!A:B,2,FALSE)</f>
        <v>1</v>
      </c>
      <c r="L701" s="4">
        <f t="shared" si="10"/>
        <v>38.549999999999997</v>
      </c>
    </row>
    <row r="702" spans="1:12" x14ac:dyDescent="0.25">
      <c r="A702" s="4" t="s">
        <v>4883</v>
      </c>
      <c r="B702" s="4" t="s">
        <v>4199</v>
      </c>
      <c r="C702" s="6">
        <v>45649</v>
      </c>
      <c r="D702" s="4" t="s">
        <v>4053</v>
      </c>
      <c r="E702" s="4" t="s">
        <v>4054</v>
      </c>
      <c r="F702" s="4">
        <v>638.41999999999996</v>
      </c>
      <c r="G702" s="4" t="s">
        <v>42</v>
      </c>
      <c r="H702" s="4" t="s">
        <v>4055</v>
      </c>
      <c r="I702" s="4" t="s">
        <v>4056</v>
      </c>
      <c r="J702" s="6">
        <v>45664</v>
      </c>
      <c r="K702" s="4">
        <f>VLOOKUP(G702,Exchange_Rates!A:B,2,FALSE)</f>
        <v>0.66</v>
      </c>
      <c r="L702" s="4">
        <f t="shared" si="10"/>
        <v>421.35719999999998</v>
      </c>
    </row>
    <row r="703" spans="1:12" x14ac:dyDescent="0.25">
      <c r="A703" s="4" t="s">
        <v>4884</v>
      </c>
      <c r="B703" s="4" t="s">
        <v>4317</v>
      </c>
      <c r="C703" s="6">
        <v>45530</v>
      </c>
      <c r="D703" s="4" t="s">
        <v>4069</v>
      </c>
      <c r="E703" s="4" t="s">
        <v>4054</v>
      </c>
      <c r="F703" s="4">
        <v>235.45</v>
      </c>
      <c r="G703" s="4" t="s">
        <v>64</v>
      </c>
      <c r="H703" s="4" t="s">
        <v>4059</v>
      </c>
      <c r="I703" s="4" t="s">
        <v>4056</v>
      </c>
      <c r="J703" s="4"/>
      <c r="K703" s="4">
        <f>VLOOKUP(G703,Exchange_Rates!A:B,2,FALSE)</f>
        <v>0.73</v>
      </c>
      <c r="L703" s="4">
        <f t="shared" si="10"/>
        <v>171.87849999999997</v>
      </c>
    </row>
    <row r="704" spans="1:12" x14ac:dyDescent="0.25">
      <c r="A704" s="4" t="s">
        <v>4885</v>
      </c>
      <c r="B704" s="4" t="s">
        <v>4273</v>
      </c>
      <c r="C704" s="6">
        <v>45583</v>
      </c>
      <c r="D704" s="4" t="s">
        <v>4096</v>
      </c>
      <c r="E704" s="4" t="s">
        <v>4054</v>
      </c>
      <c r="F704" s="4">
        <v>106.55</v>
      </c>
      <c r="G704" s="4" t="s">
        <v>36</v>
      </c>
      <c r="H704" s="4" t="s">
        <v>4059</v>
      </c>
      <c r="I704" s="4" t="s">
        <v>4070</v>
      </c>
      <c r="J704" s="4"/>
      <c r="K704" s="4">
        <f>VLOOKUP(G704,Exchange_Rates!A:B,2,FALSE)</f>
        <v>1.08</v>
      </c>
      <c r="L704" s="4">
        <f t="shared" si="10"/>
        <v>115.074</v>
      </c>
    </row>
    <row r="705" spans="1:12" x14ac:dyDescent="0.25">
      <c r="A705" s="4" t="s">
        <v>4886</v>
      </c>
      <c r="B705" s="4" t="s">
        <v>4086</v>
      </c>
      <c r="C705" s="6">
        <v>45042</v>
      </c>
      <c r="D705" s="4" t="s">
        <v>4066</v>
      </c>
      <c r="E705" s="4" t="s">
        <v>4054</v>
      </c>
      <c r="F705" s="4">
        <v>57.18</v>
      </c>
      <c r="G705" s="4" t="s">
        <v>28</v>
      </c>
      <c r="H705" s="4" t="s">
        <v>4063</v>
      </c>
      <c r="I705" s="4" t="s">
        <v>4087</v>
      </c>
      <c r="J705" s="4"/>
      <c r="K705" s="4">
        <f>VLOOKUP(G705,Exchange_Rates!A:B,2,FALSE)</f>
        <v>1.27</v>
      </c>
      <c r="L705" s="4">
        <f t="shared" si="10"/>
        <v>72.618600000000001</v>
      </c>
    </row>
    <row r="706" spans="1:12" x14ac:dyDescent="0.25">
      <c r="A706" s="4" t="s">
        <v>4887</v>
      </c>
      <c r="B706" s="4" t="s">
        <v>4378</v>
      </c>
      <c r="C706" s="6">
        <v>45137</v>
      </c>
      <c r="D706" s="4" t="s">
        <v>4096</v>
      </c>
      <c r="E706" s="4" t="s">
        <v>4054</v>
      </c>
      <c r="F706" s="4">
        <v>530</v>
      </c>
      <c r="G706" s="4" t="s">
        <v>45</v>
      </c>
      <c r="H706" s="4" t="s">
        <v>4055</v>
      </c>
      <c r="I706" s="4" t="s">
        <v>4056</v>
      </c>
      <c r="J706" s="6">
        <v>45152</v>
      </c>
      <c r="K706" s="4">
        <f>VLOOKUP(G706,Exchange_Rates!A:B,2,FALSE)</f>
        <v>1</v>
      </c>
      <c r="L706" s="4">
        <f t="shared" si="10"/>
        <v>530</v>
      </c>
    </row>
    <row r="707" spans="1:12" x14ac:dyDescent="0.25">
      <c r="A707" s="4" t="s">
        <v>4888</v>
      </c>
      <c r="B707" s="4" t="s">
        <v>4082</v>
      </c>
      <c r="C707" s="6">
        <v>45684</v>
      </c>
      <c r="D707" s="4" t="s">
        <v>4053</v>
      </c>
      <c r="E707" s="4" t="s">
        <v>4054</v>
      </c>
      <c r="F707" s="4">
        <v>56.7</v>
      </c>
      <c r="G707" s="4" t="s">
        <v>45</v>
      </c>
      <c r="H707" s="4" t="s">
        <v>4059</v>
      </c>
      <c r="I707" s="4" t="s">
        <v>4056</v>
      </c>
      <c r="J707" s="4"/>
      <c r="K707" s="4">
        <f>VLOOKUP(G707,Exchange_Rates!A:B,2,FALSE)</f>
        <v>1</v>
      </c>
      <c r="L707" s="4">
        <f t="shared" ref="L707:L770" si="11">F707*K707</f>
        <v>56.7</v>
      </c>
    </row>
    <row r="708" spans="1:12" x14ac:dyDescent="0.25">
      <c r="A708" s="4" t="s">
        <v>4889</v>
      </c>
      <c r="B708" s="4" t="s">
        <v>4180</v>
      </c>
      <c r="C708" s="6">
        <v>45652</v>
      </c>
      <c r="D708" s="4" t="s">
        <v>4053</v>
      </c>
      <c r="E708" s="4" t="s">
        <v>4054</v>
      </c>
      <c r="F708" s="4">
        <v>713.46</v>
      </c>
      <c r="G708" s="4" t="s">
        <v>64</v>
      </c>
      <c r="H708" s="4" t="s">
        <v>4097</v>
      </c>
      <c r="I708" s="4" t="s">
        <v>4087</v>
      </c>
      <c r="J708" s="4"/>
      <c r="K708" s="4">
        <f>VLOOKUP(G708,Exchange_Rates!A:B,2,FALSE)</f>
        <v>0.73</v>
      </c>
      <c r="L708" s="4">
        <f t="shared" si="11"/>
        <v>520.82579999999996</v>
      </c>
    </row>
    <row r="709" spans="1:12" x14ac:dyDescent="0.25">
      <c r="A709" s="4" t="s">
        <v>4890</v>
      </c>
      <c r="B709" s="4" t="s">
        <v>4251</v>
      </c>
      <c r="C709" s="6">
        <v>45601</v>
      </c>
      <c r="D709" s="4" t="s">
        <v>4066</v>
      </c>
      <c r="E709" s="4" t="s">
        <v>4054</v>
      </c>
      <c r="F709" s="4">
        <v>565.78</v>
      </c>
      <c r="G709" s="4" t="s">
        <v>28</v>
      </c>
      <c r="H709" s="4" t="s">
        <v>4097</v>
      </c>
      <c r="I709" s="4" t="s">
        <v>4070</v>
      </c>
      <c r="J709" s="4"/>
      <c r="K709" s="4">
        <f>VLOOKUP(G709,Exchange_Rates!A:B,2,FALSE)</f>
        <v>1.27</v>
      </c>
      <c r="L709" s="4">
        <f t="shared" si="11"/>
        <v>718.54059999999993</v>
      </c>
    </row>
    <row r="710" spans="1:12" x14ac:dyDescent="0.25">
      <c r="A710" s="4" t="s">
        <v>4891</v>
      </c>
      <c r="B710" s="4" t="s">
        <v>4108</v>
      </c>
      <c r="C710" s="6">
        <v>45136</v>
      </c>
      <c r="D710" s="4" t="s">
        <v>4066</v>
      </c>
      <c r="E710" s="4" t="s">
        <v>4054</v>
      </c>
      <c r="F710" s="4">
        <v>190.39</v>
      </c>
      <c r="G710" s="4" t="s">
        <v>45</v>
      </c>
      <c r="H710" s="4" t="s">
        <v>4097</v>
      </c>
      <c r="I710" s="4" t="s">
        <v>4056</v>
      </c>
      <c r="J710" s="4"/>
      <c r="K710" s="4">
        <f>VLOOKUP(G710,Exchange_Rates!A:B,2,FALSE)</f>
        <v>1</v>
      </c>
      <c r="L710" s="4">
        <f t="shared" si="11"/>
        <v>190.39</v>
      </c>
    </row>
    <row r="711" spans="1:12" x14ac:dyDescent="0.25">
      <c r="A711" s="4" t="s">
        <v>4892</v>
      </c>
      <c r="B711" s="4" t="s">
        <v>4651</v>
      </c>
      <c r="C711" s="6">
        <v>45161</v>
      </c>
      <c r="D711" s="4" t="s">
        <v>4062</v>
      </c>
      <c r="E711" s="4" t="s">
        <v>4054</v>
      </c>
      <c r="F711" s="4">
        <v>707.46</v>
      </c>
      <c r="G711" s="4" t="s">
        <v>64</v>
      </c>
      <c r="H711" s="4" t="s">
        <v>4055</v>
      </c>
      <c r="I711" s="4" t="s">
        <v>4056</v>
      </c>
      <c r="J711" s="6">
        <v>45176</v>
      </c>
      <c r="K711" s="4">
        <f>VLOOKUP(G711,Exchange_Rates!A:B,2,FALSE)</f>
        <v>0.73</v>
      </c>
      <c r="L711" s="4">
        <f t="shared" si="11"/>
        <v>516.44579999999996</v>
      </c>
    </row>
    <row r="712" spans="1:12" x14ac:dyDescent="0.25">
      <c r="A712" s="4" t="s">
        <v>4893</v>
      </c>
      <c r="B712" s="4" t="s">
        <v>4321</v>
      </c>
      <c r="C712" s="6">
        <v>44967</v>
      </c>
      <c r="D712" s="4" t="s">
        <v>4053</v>
      </c>
      <c r="E712" s="4" t="s">
        <v>4054</v>
      </c>
      <c r="F712" s="4">
        <v>756.72</v>
      </c>
      <c r="G712" s="4" t="s">
        <v>28</v>
      </c>
      <c r="H712" s="4" t="s">
        <v>4059</v>
      </c>
      <c r="I712" s="4" t="s">
        <v>4070</v>
      </c>
      <c r="J712" s="4"/>
      <c r="K712" s="4">
        <f>VLOOKUP(G712,Exchange_Rates!A:B,2,FALSE)</f>
        <v>1.27</v>
      </c>
      <c r="L712" s="4">
        <f t="shared" si="11"/>
        <v>961.03440000000001</v>
      </c>
    </row>
    <row r="713" spans="1:12" x14ac:dyDescent="0.25">
      <c r="A713" s="4" t="s">
        <v>4894</v>
      </c>
      <c r="B713" s="4" t="s">
        <v>4558</v>
      </c>
      <c r="C713" s="6">
        <v>45154</v>
      </c>
      <c r="D713" s="4" t="s">
        <v>4053</v>
      </c>
      <c r="E713" s="4" t="s">
        <v>4054</v>
      </c>
      <c r="F713" s="4">
        <v>471.5</v>
      </c>
      <c r="G713" s="4" t="s">
        <v>36</v>
      </c>
      <c r="H713" s="4" t="s">
        <v>4097</v>
      </c>
      <c r="I713" s="4" t="s">
        <v>4087</v>
      </c>
      <c r="J713" s="4"/>
      <c r="K713" s="4">
        <f>VLOOKUP(G713,Exchange_Rates!A:B,2,FALSE)</f>
        <v>1.08</v>
      </c>
      <c r="L713" s="4">
        <f t="shared" si="11"/>
        <v>509.22</v>
      </c>
    </row>
    <row r="714" spans="1:12" x14ac:dyDescent="0.25">
      <c r="A714" s="4" t="s">
        <v>4895</v>
      </c>
      <c r="B714" s="4" t="s">
        <v>4103</v>
      </c>
      <c r="C714" s="6">
        <v>45744</v>
      </c>
      <c r="D714" s="4" t="s">
        <v>4053</v>
      </c>
      <c r="E714" s="4" t="s">
        <v>4054</v>
      </c>
      <c r="F714" s="4">
        <v>362.72</v>
      </c>
      <c r="G714" s="4" t="s">
        <v>28</v>
      </c>
      <c r="H714" s="4" t="s">
        <v>4063</v>
      </c>
      <c r="I714" s="4" t="s">
        <v>4056</v>
      </c>
      <c r="J714" s="4"/>
      <c r="K714" s="4">
        <f>VLOOKUP(G714,Exchange_Rates!A:B,2,FALSE)</f>
        <v>1.27</v>
      </c>
      <c r="L714" s="4">
        <f t="shared" si="11"/>
        <v>460.65440000000007</v>
      </c>
    </row>
    <row r="715" spans="1:12" x14ac:dyDescent="0.25">
      <c r="A715" s="4" t="s">
        <v>4896</v>
      </c>
      <c r="B715" s="4" t="s">
        <v>4450</v>
      </c>
      <c r="C715" s="6">
        <v>45130</v>
      </c>
      <c r="D715" s="4" t="s">
        <v>4062</v>
      </c>
      <c r="E715" s="4" t="s">
        <v>4054</v>
      </c>
      <c r="F715" s="4">
        <v>449.82</v>
      </c>
      <c r="G715" s="4" t="s">
        <v>28</v>
      </c>
      <c r="H715" s="4" t="s">
        <v>4097</v>
      </c>
      <c r="I715" s="4" t="s">
        <v>4087</v>
      </c>
      <c r="J715" s="4"/>
      <c r="K715" s="4">
        <f>VLOOKUP(G715,Exchange_Rates!A:B,2,FALSE)</f>
        <v>1.27</v>
      </c>
      <c r="L715" s="4">
        <f t="shared" si="11"/>
        <v>571.27139999999997</v>
      </c>
    </row>
    <row r="716" spans="1:12" x14ac:dyDescent="0.25">
      <c r="A716" s="4" t="s">
        <v>4897</v>
      </c>
      <c r="B716" s="4" t="s">
        <v>4180</v>
      </c>
      <c r="C716" s="6">
        <v>45826</v>
      </c>
      <c r="D716" s="4" t="s">
        <v>4062</v>
      </c>
      <c r="E716" s="4" t="s">
        <v>4054</v>
      </c>
      <c r="F716" s="4">
        <v>535.30999999999995</v>
      </c>
      <c r="G716" s="4" t="s">
        <v>28</v>
      </c>
      <c r="H716" s="4" t="s">
        <v>4097</v>
      </c>
      <c r="I716" s="4" t="s">
        <v>4070</v>
      </c>
      <c r="J716" s="4"/>
      <c r="K716" s="4">
        <f>VLOOKUP(G716,Exchange_Rates!A:B,2,FALSE)</f>
        <v>1.27</v>
      </c>
      <c r="L716" s="4">
        <f t="shared" si="11"/>
        <v>679.8436999999999</v>
      </c>
    </row>
    <row r="717" spans="1:12" x14ac:dyDescent="0.25">
      <c r="A717" s="4" t="s">
        <v>4898</v>
      </c>
      <c r="B717" s="4" t="s">
        <v>4199</v>
      </c>
      <c r="C717" s="6">
        <v>45377</v>
      </c>
      <c r="D717" s="4" t="s">
        <v>4069</v>
      </c>
      <c r="E717" s="4" t="s">
        <v>4054</v>
      </c>
      <c r="F717" s="4">
        <v>370.29</v>
      </c>
      <c r="G717" s="4" t="s">
        <v>28</v>
      </c>
      <c r="H717" s="4" t="s">
        <v>4055</v>
      </c>
      <c r="I717" s="4" t="s">
        <v>4087</v>
      </c>
      <c r="J717" s="6">
        <v>45392</v>
      </c>
      <c r="K717" s="4">
        <f>VLOOKUP(G717,Exchange_Rates!A:B,2,FALSE)</f>
        <v>1.27</v>
      </c>
      <c r="L717" s="4">
        <f t="shared" si="11"/>
        <v>470.26830000000001</v>
      </c>
    </row>
    <row r="718" spans="1:12" x14ac:dyDescent="0.25">
      <c r="A718" s="4" t="s">
        <v>4899</v>
      </c>
      <c r="B718" s="4" t="s">
        <v>4206</v>
      </c>
      <c r="C718" s="6">
        <v>45096</v>
      </c>
      <c r="D718" s="4" t="s">
        <v>4062</v>
      </c>
      <c r="E718" s="4" t="s">
        <v>4054</v>
      </c>
      <c r="F718" s="4">
        <v>774.71</v>
      </c>
      <c r="G718" s="4" t="s">
        <v>36</v>
      </c>
      <c r="H718" s="4" t="s">
        <v>4059</v>
      </c>
      <c r="I718" s="4" t="s">
        <v>4056</v>
      </c>
      <c r="J718" s="4"/>
      <c r="K718" s="4">
        <f>VLOOKUP(G718,Exchange_Rates!A:B,2,FALSE)</f>
        <v>1.08</v>
      </c>
      <c r="L718" s="4">
        <f t="shared" si="11"/>
        <v>836.68680000000006</v>
      </c>
    </row>
    <row r="719" spans="1:12" x14ac:dyDescent="0.25">
      <c r="A719" s="4" t="s">
        <v>4900</v>
      </c>
      <c r="B719" s="4" t="s">
        <v>4184</v>
      </c>
      <c r="C719" s="6">
        <v>45235</v>
      </c>
      <c r="D719" s="4" t="s">
        <v>4066</v>
      </c>
      <c r="E719" s="4" t="s">
        <v>4054</v>
      </c>
      <c r="F719" s="4">
        <v>530.19000000000005</v>
      </c>
      <c r="G719" s="4" t="s">
        <v>45</v>
      </c>
      <c r="H719" s="4" t="s">
        <v>4059</v>
      </c>
      <c r="I719" s="4" t="s">
        <v>4087</v>
      </c>
      <c r="J719" s="4"/>
      <c r="K719" s="4">
        <f>VLOOKUP(G719,Exchange_Rates!A:B,2,FALSE)</f>
        <v>1</v>
      </c>
      <c r="L719" s="4">
        <f t="shared" si="11"/>
        <v>530.19000000000005</v>
      </c>
    </row>
    <row r="720" spans="1:12" x14ac:dyDescent="0.25">
      <c r="A720" s="4" t="s">
        <v>4901</v>
      </c>
      <c r="B720" s="4" t="s">
        <v>4178</v>
      </c>
      <c r="C720" s="6">
        <v>45819</v>
      </c>
      <c r="D720" s="4" t="s">
        <v>4069</v>
      </c>
      <c r="E720" s="4" t="s">
        <v>4054</v>
      </c>
      <c r="F720" s="4">
        <v>502.63</v>
      </c>
      <c r="G720" s="4" t="s">
        <v>45</v>
      </c>
      <c r="H720" s="4" t="s">
        <v>4063</v>
      </c>
      <c r="I720" s="4" t="s">
        <v>4056</v>
      </c>
      <c r="J720" s="4"/>
      <c r="K720" s="4">
        <f>VLOOKUP(G720,Exchange_Rates!A:B,2,FALSE)</f>
        <v>1</v>
      </c>
      <c r="L720" s="4">
        <f t="shared" si="11"/>
        <v>502.63</v>
      </c>
    </row>
    <row r="721" spans="1:12" x14ac:dyDescent="0.25">
      <c r="A721" s="4" t="s">
        <v>4902</v>
      </c>
      <c r="B721" s="4" t="s">
        <v>4528</v>
      </c>
      <c r="C721" s="6">
        <v>45494</v>
      </c>
      <c r="D721" s="4" t="s">
        <v>4066</v>
      </c>
      <c r="E721" s="4" t="s">
        <v>4054</v>
      </c>
      <c r="F721" s="4">
        <v>140.35</v>
      </c>
      <c r="G721" s="4" t="s">
        <v>45</v>
      </c>
      <c r="H721" s="4" t="s">
        <v>4055</v>
      </c>
      <c r="I721" s="4" t="s">
        <v>4056</v>
      </c>
      <c r="J721" s="6">
        <v>45509</v>
      </c>
      <c r="K721" s="4">
        <f>VLOOKUP(G721,Exchange_Rates!A:B,2,FALSE)</f>
        <v>1</v>
      </c>
      <c r="L721" s="4">
        <f t="shared" si="11"/>
        <v>140.35</v>
      </c>
    </row>
    <row r="722" spans="1:12" x14ac:dyDescent="0.25">
      <c r="A722" s="4" t="s">
        <v>4903</v>
      </c>
      <c r="B722" s="4" t="s">
        <v>4797</v>
      </c>
      <c r="C722" s="6">
        <v>45201</v>
      </c>
      <c r="D722" s="4" t="s">
        <v>4053</v>
      </c>
      <c r="E722" s="4" t="s">
        <v>4054</v>
      </c>
      <c r="F722" s="4">
        <v>301.77999999999997</v>
      </c>
      <c r="G722" s="4" t="s">
        <v>45</v>
      </c>
      <c r="H722" s="4" t="s">
        <v>4059</v>
      </c>
      <c r="I722" s="4" t="s">
        <v>4087</v>
      </c>
      <c r="J722" s="4"/>
      <c r="K722" s="4">
        <f>VLOOKUP(G722,Exchange_Rates!A:B,2,FALSE)</f>
        <v>1</v>
      </c>
      <c r="L722" s="4">
        <f t="shared" si="11"/>
        <v>301.77999999999997</v>
      </c>
    </row>
    <row r="723" spans="1:12" x14ac:dyDescent="0.25">
      <c r="A723" s="4" t="s">
        <v>4904</v>
      </c>
      <c r="B723" s="4" t="s">
        <v>4515</v>
      </c>
      <c r="C723" s="6">
        <v>45704</v>
      </c>
      <c r="D723" s="4" t="s">
        <v>4096</v>
      </c>
      <c r="E723" s="4" t="s">
        <v>4054</v>
      </c>
      <c r="F723" s="4">
        <v>713.99</v>
      </c>
      <c r="G723" s="4" t="s">
        <v>42</v>
      </c>
      <c r="H723" s="4" t="s">
        <v>4055</v>
      </c>
      <c r="I723" s="4" t="s">
        <v>4070</v>
      </c>
      <c r="J723" s="6">
        <v>45719</v>
      </c>
      <c r="K723" s="4">
        <f>VLOOKUP(G723,Exchange_Rates!A:B,2,FALSE)</f>
        <v>0.66</v>
      </c>
      <c r="L723" s="4">
        <f t="shared" si="11"/>
        <v>471.23340000000002</v>
      </c>
    </row>
    <row r="724" spans="1:12" x14ac:dyDescent="0.25">
      <c r="A724" s="4" t="s">
        <v>4905</v>
      </c>
      <c r="B724" s="4" t="s">
        <v>4101</v>
      </c>
      <c r="C724" s="6">
        <v>45837</v>
      </c>
      <c r="D724" s="4" t="s">
        <v>4069</v>
      </c>
      <c r="E724" s="4" t="s">
        <v>4054</v>
      </c>
      <c r="F724" s="4">
        <v>279.24</v>
      </c>
      <c r="G724" s="4" t="s">
        <v>28</v>
      </c>
      <c r="H724" s="4" t="s">
        <v>4059</v>
      </c>
      <c r="I724" s="4" t="s">
        <v>4070</v>
      </c>
      <c r="J724" s="4"/>
      <c r="K724" s="4">
        <f>VLOOKUP(G724,Exchange_Rates!A:B,2,FALSE)</f>
        <v>1.27</v>
      </c>
      <c r="L724" s="4">
        <f t="shared" si="11"/>
        <v>354.63480000000004</v>
      </c>
    </row>
    <row r="725" spans="1:12" x14ac:dyDescent="0.25">
      <c r="A725" s="4" t="s">
        <v>4906</v>
      </c>
      <c r="B725" s="4" t="s">
        <v>4199</v>
      </c>
      <c r="C725" s="6">
        <v>45640</v>
      </c>
      <c r="D725" s="4" t="s">
        <v>4069</v>
      </c>
      <c r="E725" s="4" t="s">
        <v>4054</v>
      </c>
      <c r="F725" s="4">
        <v>423.55</v>
      </c>
      <c r="G725" s="4" t="s">
        <v>42</v>
      </c>
      <c r="H725" s="4" t="s">
        <v>4063</v>
      </c>
      <c r="I725" s="4" t="s">
        <v>4070</v>
      </c>
      <c r="J725" s="4"/>
      <c r="K725" s="4">
        <f>VLOOKUP(G725,Exchange_Rates!A:B,2,FALSE)</f>
        <v>0.66</v>
      </c>
      <c r="L725" s="4">
        <f t="shared" si="11"/>
        <v>279.54300000000001</v>
      </c>
    </row>
    <row r="726" spans="1:12" x14ac:dyDescent="0.25">
      <c r="A726" s="4" t="s">
        <v>4907</v>
      </c>
      <c r="B726" s="4" t="s">
        <v>4371</v>
      </c>
      <c r="C726" s="6">
        <v>45142</v>
      </c>
      <c r="D726" s="4" t="s">
        <v>4053</v>
      </c>
      <c r="E726" s="4" t="s">
        <v>4054</v>
      </c>
      <c r="F726" s="4">
        <v>341.26</v>
      </c>
      <c r="G726" s="4" t="s">
        <v>42</v>
      </c>
      <c r="H726" s="4" t="s">
        <v>4063</v>
      </c>
      <c r="I726" s="4" t="s">
        <v>4056</v>
      </c>
      <c r="J726" s="4"/>
      <c r="K726" s="4">
        <f>VLOOKUP(G726,Exchange_Rates!A:B,2,FALSE)</f>
        <v>0.66</v>
      </c>
      <c r="L726" s="4">
        <f t="shared" si="11"/>
        <v>225.23160000000001</v>
      </c>
    </row>
    <row r="727" spans="1:12" x14ac:dyDescent="0.25">
      <c r="A727" s="4" t="s">
        <v>4908</v>
      </c>
      <c r="B727" s="4" t="s">
        <v>4558</v>
      </c>
      <c r="C727" s="6">
        <v>45437</v>
      </c>
      <c r="D727" s="4" t="s">
        <v>4053</v>
      </c>
      <c r="E727" s="4" t="s">
        <v>4054</v>
      </c>
      <c r="F727" s="4">
        <v>126.57</v>
      </c>
      <c r="G727" s="4" t="s">
        <v>28</v>
      </c>
      <c r="H727" s="4" t="s">
        <v>4055</v>
      </c>
      <c r="I727" s="4" t="s">
        <v>4087</v>
      </c>
      <c r="J727" s="6">
        <v>45452</v>
      </c>
      <c r="K727" s="4">
        <f>VLOOKUP(G727,Exchange_Rates!A:B,2,FALSE)</f>
        <v>1.27</v>
      </c>
      <c r="L727" s="4">
        <f t="shared" si="11"/>
        <v>160.7439</v>
      </c>
    </row>
    <row r="728" spans="1:12" x14ac:dyDescent="0.25">
      <c r="A728" s="4" t="s">
        <v>4909</v>
      </c>
      <c r="B728" s="4" t="s">
        <v>4204</v>
      </c>
      <c r="C728" s="6">
        <v>45824</v>
      </c>
      <c r="D728" s="4" t="s">
        <v>4066</v>
      </c>
      <c r="E728" s="4" t="s">
        <v>4054</v>
      </c>
      <c r="F728" s="4">
        <v>443.37</v>
      </c>
      <c r="G728" s="4" t="s">
        <v>64</v>
      </c>
      <c r="H728" s="4" t="s">
        <v>4059</v>
      </c>
      <c r="I728" s="4" t="s">
        <v>4087</v>
      </c>
      <c r="J728" s="4"/>
      <c r="K728" s="4">
        <f>VLOOKUP(G728,Exchange_Rates!A:B,2,FALSE)</f>
        <v>0.73</v>
      </c>
      <c r="L728" s="4">
        <f t="shared" si="11"/>
        <v>323.6601</v>
      </c>
    </row>
    <row r="729" spans="1:12" x14ac:dyDescent="0.25">
      <c r="A729" s="4" t="s">
        <v>4910</v>
      </c>
      <c r="B729" s="4" t="s">
        <v>4178</v>
      </c>
      <c r="C729" s="6">
        <v>45666</v>
      </c>
      <c r="D729" s="4" t="s">
        <v>4066</v>
      </c>
      <c r="E729" s="4" t="s">
        <v>4054</v>
      </c>
      <c r="F729" s="4">
        <v>305.57</v>
      </c>
      <c r="G729" s="4" t="s">
        <v>36</v>
      </c>
      <c r="H729" s="4" t="s">
        <v>4059</v>
      </c>
      <c r="I729" s="4" t="s">
        <v>4056</v>
      </c>
      <c r="J729" s="4"/>
      <c r="K729" s="4">
        <f>VLOOKUP(G729,Exchange_Rates!A:B,2,FALSE)</f>
        <v>1.08</v>
      </c>
      <c r="L729" s="4">
        <f t="shared" si="11"/>
        <v>330.01560000000001</v>
      </c>
    </row>
    <row r="730" spans="1:12" x14ac:dyDescent="0.25">
      <c r="A730" s="4" t="s">
        <v>4911</v>
      </c>
      <c r="B730" s="4" t="s">
        <v>4065</v>
      </c>
      <c r="C730" s="6">
        <v>45595</v>
      </c>
      <c r="D730" s="4" t="s">
        <v>4053</v>
      </c>
      <c r="E730" s="4" t="s">
        <v>4054</v>
      </c>
      <c r="F730" s="4">
        <v>379.61</v>
      </c>
      <c r="G730" s="4" t="s">
        <v>28</v>
      </c>
      <c r="H730" s="4" t="s">
        <v>4063</v>
      </c>
      <c r="I730" s="4" t="s">
        <v>4087</v>
      </c>
      <c r="J730" s="4"/>
      <c r="K730" s="4">
        <f>VLOOKUP(G730,Exchange_Rates!A:B,2,FALSE)</f>
        <v>1.27</v>
      </c>
      <c r="L730" s="4">
        <f t="shared" si="11"/>
        <v>482.10470000000004</v>
      </c>
    </row>
    <row r="731" spans="1:12" x14ac:dyDescent="0.25">
      <c r="A731" s="4" t="s">
        <v>4912</v>
      </c>
      <c r="B731" s="4" t="s">
        <v>4477</v>
      </c>
      <c r="C731" s="6">
        <v>45463</v>
      </c>
      <c r="D731" s="4" t="s">
        <v>4069</v>
      </c>
      <c r="E731" s="4" t="s">
        <v>4054</v>
      </c>
      <c r="F731" s="4">
        <v>498.78</v>
      </c>
      <c r="G731" s="4" t="s">
        <v>42</v>
      </c>
      <c r="H731" s="4" t="s">
        <v>4055</v>
      </c>
      <c r="I731" s="4" t="s">
        <v>4087</v>
      </c>
      <c r="J731" s="6">
        <v>45478</v>
      </c>
      <c r="K731" s="4">
        <f>VLOOKUP(G731,Exchange_Rates!A:B,2,FALSE)</f>
        <v>0.66</v>
      </c>
      <c r="L731" s="4">
        <f t="shared" si="11"/>
        <v>329.19479999999999</v>
      </c>
    </row>
    <row r="732" spans="1:12" x14ac:dyDescent="0.25">
      <c r="A732" s="4" t="s">
        <v>4913</v>
      </c>
      <c r="B732" s="4" t="s">
        <v>4068</v>
      </c>
      <c r="C732" s="6">
        <v>45462</v>
      </c>
      <c r="D732" s="4" t="s">
        <v>4069</v>
      </c>
      <c r="E732" s="4" t="s">
        <v>4054</v>
      </c>
      <c r="F732" s="4">
        <v>654.62</v>
      </c>
      <c r="G732" s="4" t="s">
        <v>45</v>
      </c>
      <c r="H732" s="4" t="s">
        <v>4059</v>
      </c>
      <c r="I732" s="4" t="s">
        <v>4087</v>
      </c>
      <c r="J732" s="4"/>
      <c r="K732" s="4">
        <f>VLOOKUP(G732,Exchange_Rates!A:B,2,FALSE)</f>
        <v>1</v>
      </c>
      <c r="L732" s="4">
        <f t="shared" si="11"/>
        <v>654.62</v>
      </c>
    </row>
    <row r="733" spans="1:12" x14ac:dyDescent="0.25">
      <c r="A733" s="4" t="s">
        <v>4914</v>
      </c>
      <c r="B733" s="4" t="s">
        <v>4108</v>
      </c>
      <c r="C733" s="6">
        <v>45267</v>
      </c>
      <c r="D733" s="4" t="s">
        <v>4096</v>
      </c>
      <c r="E733" s="4" t="s">
        <v>4054</v>
      </c>
      <c r="F733" s="4">
        <v>84.49</v>
      </c>
      <c r="G733" s="4" t="s">
        <v>45</v>
      </c>
      <c r="H733" s="4" t="s">
        <v>4059</v>
      </c>
      <c r="I733" s="4" t="s">
        <v>4070</v>
      </c>
      <c r="J733" s="4"/>
      <c r="K733" s="4">
        <f>VLOOKUP(G733,Exchange_Rates!A:B,2,FALSE)</f>
        <v>1</v>
      </c>
      <c r="L733" s="4">
        <f t="shared" si="11"/>
        <v>84.49</v>
      </c>
    </row>
    <row r="734" spans="1:12" x14ac:dyDescent="0.25">
      <c r="A734" s="4" t="s">
        <v>4915</v>
      </c>
      <c r="B734" s="4" t="s">
        <v>4547</v>
      </c>
      <c r="C734" s="6">
        <v>45751</v>
      </c>
      <c r="D734" s="4" t="s">
        <v>4053</v>
      </c>
      <c r="E734" s="4" t="s">
        <v>4054</v>
      </c>
      <c r="F734" s="4">
        <v>702.15</v>
      </c>
      <c r="G734" s="4" t="s">
        <v>64</v>
      </c>
      <c r="H734" s="4" t="s">
        <v>4063</v>
      </c>
      <c r="I734" s="4" t="s">
        <v>4087</v>
      </c>
      <c r="J734" s="4"/>
      <c r="K734" s="4">
        <f>VLOOKUP(G734,Exchange_Rates!A:B,2,FALSE)</f>
        <v>0.73</v>
      </c>
      <c r="L734" s="4">
        <f t="shared" si="11"/>
        <v>512.56949999999995</v>
      </c>
    </row>
    <row r="735" spans="1:12" x14ac:dyDescent="0.25">
      <c r="A735" s="4" t="s">
        <v>4916</v>
      </c>
      <c r="B735" s="4" t="s">
        <v>4371</v>
      </c>
      <c r="C735" s="6">
        <v>45606</v>
      </c>
      <c r="D735" s="4" t="s">
        <v>4096</v>
      </c>
      <c r="E735" s="4" t="s">
        <v>4054</v>
      </c>
      <c r="F735" s="4">
        <v>634.91</v>
      </c>
      <c r="G735" s="4" t="s">
        <v>42</v>
      </c>
      <c r="H735" s="4" t="s">
        <v>4097</v>
      </c>
      <c r="I735" s="4" t="s">
        <v>4070</v>
      </c>
      <c r="J735" s="4"/>
      <c r="K735" s="4">
        <f>VLOOKUP(G735,Exchange_Rates!A:B,2,FALSE)</f>
        <v>0.66</v>
      </c>
      <c r="L735" s="4">
        <f t="shared" si="11"/>
        <v>419.04059999999998</v>
      </c>
    </row>
    <row r="736" spans="1:12" x14ac:dyDescent="0.25">
      <c r="A736" s="4" t="s">
        <v>4917</v>
      </c>
      <c r="B736" s="4" t="s">
        <v>4448</v>
      </c>
      <c r="C736" s="6">
        <v>45399</v>
      </c>
      <c r="D736" s="4" t="s">
        <v>4096</v>
      </c>
      <c r="E736" s="4" t="s">
        <v>4054</v>
      </c>
      <c r="F736" s="4">
        <v>266.39</v>
      </c>
      <c r="G736" s="4" t="s">
        <v>36</v>
      </c>
      <c r="H736" s="4" t="s">
        <v>4097</v>
      </c>
      <c r="I736" s="4" t="s">
        <v>4056</v>
      </c>
      <c r="J736" s="4"/>
      <c r="K736" s="4">
        <f>VLOOKUP(G736,Exchange_Rates!A:B,2,FALSE)</f>
        <v>1.08</v>
      </c>
      <c r="L736" s="4">
        <f t="shared" si="11"/>
        <v>287.70120000000003</v>
      </c>
    </row>
    <row r="737" spans="1:12" x14ac:dyDescent="0.25">
      <c r="A737" s="4" t="s">
        <v>4918</v>
      </c>
      <c r="B737" s="4" t="s">
        <v>4187</v>
      </c>
      <c r="C737" s="6">
        <v>45051</v>
      </c>
      <c r="D737" s="4" t="s">
        <v>4062</v>
      </c>
      <c r="E737" s="4" t="s">
        <v>4054</v>
      </c>
      <c r="F737" s="4">
        <v>728.77</v>
      </c>
      <c r="G737" s="4" t="s">
        <v>28</v>
      </c>
      <c r="H737" s="4" t="s">
        <v>4055</v>
      </c>
      <c r="I737" s="4" t="s">
        <v>4070</v>
      </c>
      <c r="J737" s="6">
        <v>45066</v>
      </c>
      <c r="K737" s="4">
        <f>VLOOKUP(G737,Exchange_Rates!A:B,2,FALSE)</f>
        <v>1.27</v>
      </c>
      <c r="L737" s="4">
        <f t="shared" si="11"/>
        <v>925.53790000000004</v>
      </c>
    </row>
    <row r="738" spans="1:12" x14ac:dyDescent="0.25">
      <c r="A738" s="4" t="s">
        <v>4919</v>
      </c>
      <c r="B738" s="4" t="s">
        <v>4350</v>
      </c>
      <c r="C738" s="6">
        <v>45204</v>
      </c>
      <c r="D738" s="4" t="s">
        <v>4069</v>
      </c>
      <c r="E738" s="4" t="s">
        <v>4054</v>
      </c>
      <c r="F738" s="4">
        <v>110.13</v>
      </c>
      <c r="G738" s="4" t="s">
        <v>36</v>
      </c>
      <c r="H738" s="4" t="s">
        <v>4097</v>
      </c>
      <c r="I738" s="4" t="s">
        <v>4070</v>
      </c>
      <c r="J738" s="4"/>
      <c r="K738" s="4">
        <f>VLOOKUP(G738,Exchange_Rates!A:B,2,FALSE)</f>
        <v>1.08</v>
      </c>
      <c r="L738" s="4">
        <f t="shared" si="11"/>
        <v>118.9404</v>
      </c>
    </row>
    <row r="739" spans="1:12" x14ac:dyDescent="0.25">
      <c r="A739" s="4" t="s">
        <v>4920</v>
      </c>
      <c r="B739" s="4" t="s">
        <v>4269</v>
      </c>
      <c r="C739" s="6">
        <v>45619</v>
      </c>
      <c r="D739" s="4" t="s">
        <v>4069</v>
      </c>
      <c r="E739" s="4" t="s">
        <v>4054</v>
      </c>
      <c r="F739" s="4">
        <v>679.96</v>
      </c>
      <c r="G739" s="4" t="s">
        <v>64</v>
      </c>
      <c r="H739" s="4" t="s">
        <v>4097</v>
      </c>
      <c r="I739" s="4" t="s">
        <v>4070</v>
      </c>
      <c r="J739" s="4"/>
      <c r="K739" s="4">
        <f>VLOOKUP(G739,Exchange_Rates!A:B,2,FALSE)</f>
        <v>0.73</v>
      </c>
      <c r="L739" s="4">
        <f t="shared" si="11"/>
        <v>496.37080000000003</v>
      </c>
    </row>
    <row r="740" spans="1:12" x14ac:dyDescent="0.25">
      <c r="A740" s="4" t="s">
        <v>4921</v>
      </c>
      <c r="B740" s="4" t="s">
        <v>4263</v>
      </c>
      <c r="C740" s="6">
        <v>45522</v>
      </c>
      <c r="D740" s="4" t="s">
        <v>4096</v>
      </c>
      <c r="E740" s="4" t="s">
        <v>4054</v>
      </c>
      <c r="F740" s="4">
        <v>382.77</v>
      </c>
      <c r="G740" s="4" t="s">
        <v>45</v>
      </c>
      <c r="H740" s="4" t="s">
        <v>4055</v>
      </c>
      <c r="I740" s="4" t="s">
        <v>4070</v>
      </c>
      <c r="J740" s="6">
        <v>45537</v>
      </c>
      <c r="K740" s="4">
        <f>VLOOKUP(G740,Exchange_Rates!A:B,2,FALSE)</f>
        <v>1</v>
      </c>
      <c r="L740" s="4">
        <f t="shared" si="11"/>
        <v>382.77</v>
      </c>
    </row>
    <row r="741" spans="1:12" x14ac:dyDescent="0.25">
      <c r="A741" s="4" t="s">
        <v>4922</v>
      </c>
      <c r="B741" s="4" t="s">
        <v>4345</v>
      </c>
      <c r="C741" s="6">
        <v>45085</v>
      </c>
      <c r="D741" s="4" t="s">
        <v>4062</v>
      </c>
      <c r="E741" s="4" t="s">
        <v>4054</v>
      </c>
      <c r="F741" s="4">
        <v>526.6</v>
      </c>
      <c r="G741" s="4" t="s">
        <v>64</v>
      </c>
      <c r="H741" s="4" t="s">
        <v>4055</v>
      </c>
      <c r="I741" s="4" t="s">
        <v>4087</v>
      </c>
      <c r="J741" s="6">
        <v>45100</v>
      </c>
      <c r="K741" s="4">
        <f>VLOOKUP(G741,Exchange_Rates!A:B,2,FALSE)</f>
        <v>0.73</v>
      </c>
      <c r="L741" s="4">
        <f t="shared" si="11"/>
        <v>384.41800000000001</v>
      </c>
    </row>
    <row r="742" spans="1:12" x14ac:dyDescent="0.25">
      <c r="A742" s="4" t="s">
        <v>4923</v>
      </c>
      <c r="B742" s="4" t="s">
        <v>4150</v>
      </c>
      <c r="C742" s="6">
        <v>45260</v>
      </c>
      <c r="D742" s="4" t="s">
        <v>4096</v>
      </c>
      <c r="E742" s="4" t="s">
        <v>4054</v>
      </c>
      <c r="F742" s="4">
        <v>408.78</v>
      </c>
      <c r="G742" s="4" t="s">
        <v>42</v>
      </c>
      <c r="H742" s="4" t="s">
        <v>4097</v>
      </c>
      <c r="I742" s="4" t="s">
        <v>4087</v>
      </c>
      <c r="J742" s="4"/>
      <c r="K742" s="4">
        <f>VLOOKUP(G742,Exchange_Rates!A:B,2,FALSE)</f>
        <v>0.66</v>
      </c>
      <c r="L742" s="4">
        <f t="shared" si="11"/>
        <v>269.79480000000001</v>
      </c>
    </row>
    <row r="743" spans="1:12" x14ac:dyDescent="0.25">
      <c r="A743" s="4" t="s">
        <v>4924</v>
      </c>
      <c r="B743" s="4" t="s">
        <v>4178</v>
      </c>
      <c r="C743" s="6">
        <v>45046</v>
      </c>
      <c r="D743" s="4" t="s">
        <v>4062</v>
      </c>
      <c r="E743" s="4" t="s">
        <v>4054</v>
      </c>
      <c r="F743" s="4">
        <v>47.11</v>
      </c>
      <c r="G743" s="4" t="s">
        <v>45</v>
      </c>
      <c r="H743" s="4" t="s">
        <v>4055</v>
      </c>
      <c r="I743" s="4" t="s">
        <v>4087</v>
      </c>
      <c r="J743" s="6">
        <v>45061</v>
      </c>
      <c r="K743" s="4">
        <f>VLOOKUP(G743,Exchange_Rates!A:B,2,FALSE)</f>
        <v>1</v>
      </c>
      <c r="L743" s="4">
        <f t="shared" si="11"/>
        <v>47.11</v>
      </c>
    </row>
    <row r="744" spans="1:12" x14ac:dyDescent="0.25">
      <c r="A744" s="4" t="s">
        <v>4925</v>
      </c>
      <c r="B744" s="4" t="s">
        <v>4365</v>
      </c>
      <c r="C744" s="6">
        <v>44972</v>
      </c>
      <c r="D744" s="4" t="s">
        <v>4096</v>
      </c>
      <c r="E744" s="4" t="s">
        <v>4054</v>
      </c>
      <c r="F744" s="4">
        <v>745.84</v>
      </c>
      <c r="G744" s="4" t="s">
        <v>28</v>
      </c>
      <c r="H744" s="4" t="s">
        <v>4059</v>
      </c>
      <c r="I744" s="4" t="s">
        <v>4087</v>
      </c>
      <c r="J744" s="4"/>
      <c r="K744" s="4">
        <f>VLOOKUP(G744,Exchange_Rates!A:B,2,FALSE)</f>
        <v>1.27</v>
      </c>
      <c r="L744" s="4">
        <f t="shared" si="11"/>
        <v>947.21680000000003</v>
      </c>
    </row>
    <row r="745" spans="1:12" x14ac:dyDescent="0.25">
      <c r="A745" s="4" t="s">
        <v>4926</v>
      </c>
      <c r="B745" s="4" t="s">
        <v>4330</v>
      </c>
      <c r="C745" s="6">
        <v>45294</v>
      </c>
      <c r="D745" s="4" t="s">
        <v>4066</v>
      </c>
      <c r="E745" s="4" t="s">
        <v>4054</v>
      </c>
      <c r="F745" s="4">
        <v>273.12</v>
      </c>
      <c r="G745" s="4" t="s">
        <v>36</v>
      </c>
      <c r="H745" s="4" t="s">
        <v>4063</v>
      </c>
      <c r="I745" s="4" t="s">
        <v>4056</v>
      </c>
      <c r="J745" s="4"/>
      <c r="K745" s="4">
        <f>VLOOKUP(G745,Exchange_Rates!A:B,2,FALSE)</f>
        <v>1.08</v>
      </c>
      <c r="L745" s="4">
        <f t="shared" si="11"/>
        <v>294.96960000000001</v>
      </c>
    </row>
    <row r="746" spans="1:12" x14ac:dyDescent="0.25">
      <c r="A746" s="4" t="s">
        <v>4927</v>
      </c>
      <c r="B746" s="4" t="s">
        <v>4206</v>
      </c>
      <c r="C746" s="6">
        <v>45161</v>
      </c>
      <c r="D746" s="4" t="s">
        <v>4066</v>
      </c>
      <c r="E746" s="4" t="s">
        <v>4054</v>
      </c>
      <c r="F746" s="4">
        <v>773.86</v>
      </c>
      <c r="G746" s="4" t="s">
        <v>42</v>
      </c>
      <c r="H746" s="4" t="s">
        <v>4059</v>
      </c>
      <c r="I746" s="4" t="s">
        <v>4056</v>
      </c>
      <c r="J746" s="4"/>
      <c r="K746" s="4">
        <f>VLOOKUP(G746,Exchange_Rates!A:B,2,FALSE)</f>
        <v>0.66</v>
      </c>
      <c r="L746" s="4">
        <f t="shared" si="11"/>
        <v>510.74760000000003</v>
      </c>
    </row>
    <row r="747" spans="1:12" x14ac:dyDescent="0.25">
      <c r="A747" s="4" t="s">
        <v>4928</v>
      </c>
      <c r="B747" s="4" t="s">
        <v>4239</v>
      </c>
      <c r="C747" s="6">
        <v>44948</v>
      </c>
      <c r="D747" s="4" t="s">
        <v>4066</v>
      </c>
      <c r="E747" s="4" t="s">
        <v>4054</v>
      </c>
      <c r="F747" s="4">
        <v>58.15</v>
      </c>
      <c r="G747" s="4" t="s">
        <v>28</v>
      </c>
      <c r="H747" s="4" t="s">
        <v>4097</v>
      </c>
      <c r="I747" s="4" t="s">
        <v>4087</v>
      </c>
      <c r="J747" s="4"/>
      <c r="K747" s="4">
        <f>VLOOKUP(G747,Exchange_Rates!A:B,2,FALSE)</f>
        <v>1.27</v>
      </c>
      <c r="L747" s="4">
        <f t="shared" si="11"/>
        <v>73.850499999999997</v>
      </c>
    </row>
    <row r="748" spans="1:12" x14ac:dyDescent="0.25">
      <c r="A748" s="4" t="s">
        <v>4929</v>
      </c>
      <c r="B748" s="4" t="s">
        <v>4058</v>
      </c>
      <c r="C748" s="6">
        <v>45665</v>
      </c>
      <c r="D748" s="4" t="s">
        <v>4096</v>
      </c>
      <c r="E748" s="4" t="s">
        <v>4054</v>
      </c>
      <c r="F748" s="4">
        <v>57.29</v>
      </c>
      <c r="G748" s="4" t="s">
        <v>42</v>
      </c>
      <c r="H748" s="4" t="s">
        <v>4055</v>
      </c>
      <c r="I748" s="4" t="s">
        <v>4087</v>
      </c>
      <c r="J748" s="6">
        <v>45680</v>
      </c>
      <c r="K748" s="4">
        <f>VLOOKUP(G748,Exchange_Rates!A:B,2,FALSE)</f>
        <v>0.66</v>
      </c>
      <c r="L748" s="4">
        <f t="shared" si="11"/>
        <v>37.811399999999999</v>
      </c>
    </row>
    <row r="749" spans="1:12" x14ac:dyDescent="0.25">
      <c r="A749" s="4" t="s">
        <v>4930</v>
      </c>
      <c r="B749" s="4" t="s">
        <v>4052</v>
      </c>
      <c r="C749" s="6">
        <v>44930</v>
      </c>
      <c r="D749" s="4" t="s">
        <v>4066</v>
      </c>
      <c r="E749" s="4" t="s">
        <v>4054</v>
      </c>
      <c r="F749" s="4">
        <v>165.68</v>
      </c>
      <c r="G749" s="4" t="s">
        <v>42</v>
      </c>
      <c r="H749" s="4" t="s">
        <v>4097</v>
      </c>
      <c r="I749" s="4" t="s">
        <v>4056</v>
      </c>
      <c r="J749" s="4"/>
      <c r="K749" s="4">
        <f>VLOOKUP(G749,Exchange_Rates!A:B,2,FALSE)</f>
        <v>0.66</v>
      </c>
      <c r="L749" s="4">
        <f t="shared" si="11"/>
        <v>109.34880000000001</v>
      </c>
    </row>
    <row r="750" spans="1:12" x14ac:dyDescent="0.25">
      <c r="A750" s="4" t="s">
        <v>4931</v>
      </c>
      <c r="B750" s="4" t="s">
        <v>4251</v>
      </c>
      <c r="C750" s="6">
        <v>45076</v>
      </c>
      <c r="D750" s="4" t="s">
        <v>4096</v>
      </c>
      <c r="E750" s="4" t="s">
        <v>4054</v>
      </c>
      <c r="F750" s="4">
        <v>41.37</v>
      </c>
      <c r="G750" s="4" t="s">
        <v>64</v>
      </c>
      <c r="H750" s="4" t="s">
        <v>4097</v>
      </c>
      <c r="I750" s="4" t="s">
        <v>4056</v>
      </c>
      <c r="J750" s="4"/>
      <c r="K750" s="4">
        <f>VLOOKUP(G750,Exchange_Rates!A:B,2,FALSE)</f>
        <v>0.73</v>
      </c>
      <c r="L750" s="4">
        <f t="shared" si="11"/>
        <v>30.200099999999999</v>
      </c>
    </row>
    <row r="751" spans="1:12" x14ac:dyDescent="0.25">
      <c r="A751" s="4" t="s">
        <v>4932</v>
      </c>
      <c r="B751" s="4" t="s">
        <v>4569</v>
      </c>
      <c r="C751" s="6">
        <v>45519</v>
      </c>
      <c r="D751" s="4" t="s">
        <v>4066</v>
      </c>
      <c r="E751" s="4" t="s">
        <v>4054</v>
      </c>
      <c r="F751" s="4">
        <v>82.41</v>
      </c>
      <c r="G751" s="4" t="s">
        <v>64</v>
      </c>
      <c r="H751" s="4" t="s">
        <v>4059</v>
      </c>
      <c r="I751" s="4" t="s">
        <v>4056</v>
      </c>
      <c r="J751" s="4"/>
      <c r="K751" s="4">
        <f>VLOOKUP(G751,Exchange_Rates!A:B,2,FALSE)</f>
        <v>0.73</v>
      </c>
      <c r="L751" s="4">
        <f t="shared" si="11"/>
        <v>60.159299999999995</v>
      </c>
    </row>
    <row r="752" spans="1:12" x14ac:dyDescent="0.25">
      <c r="A752" s="4" t="s">
        <v>4933</v>
      </c>
      <c r="B752" s="4" t="s">
        <v>4230</v>
      </c>
      <c r="C752" s="6">
        <v>45693</v>
      </c>
      <c r="D752" s="4" t="s">
        <v>4066</v>
      </c>
      <c r="E752" s="4" t="s">
        <v>4054</v>
      </c>
      <c r="F752" s="4">
        <v>45.06</v>
      </c>
      <c r="G752" s="4" t="s">
        <v>64</v>
      </c>
      <c r="H752" s="4" t="s">
        <v>4063</v>
      </c>
      <c r="I752" s="4" t="s">
        <v>4056</v>
      </c>
      <c r="J752" s="4"/>
      <c r="K752" s="4">
        <f>VLOOKUP(G752,Exchange_Rates!A:B,2,FALSE)</f>
        <v>0.73</v>
      </c>
      <c r="L752" s="4">
        <f t="shared" si="11"/>
        <v>32.893799999999999</v>
      </c>
    </row>
    <row r="753" spans="1:12" x14ac:dyDescent="0.25">
      <c r="A753" s="4" t="s">
        <v>4934</v>
      </c>
      <c r="B753" s="4" t="s">
        <v>4935</v>
      </c>
      <c r="C753" s="6">
        <v>45595</v>
      </c>
      <c r="D753" s="4" t="s">
        <v>4069</v>
      </c>
      <c r="E753" s="4" t="s">
        <v>4054</v>
      </c>
      <c r="F753" s="4">
        <v>603.65</v>
      </c>
      <c r="G753" s="4" t="s">
        <v>42</v>
      </c>
      <c r="H753" s="4" t="s">
        <v>4055</v>
      </c>
      <c r="I753" s="4" t="s">
        <v>4070</v>
      </c>
      <c r="J753" s="6">
        <v>45610</v>
      </c>
      <c r="K753" s="4">
        <f>VLOOKUP(G753,Exchange_Rates!A:B,2,FALSE)</f>
        <v>0.66</v>
      </c>
      <c r="L753" s="4">
        <f t="shared" si="11"/>
        <v>398.40899999999999</v>
      </c>
    </row>
    <row r="754" spans="1:12" x14ac:dyDescent="0.25">
      <c r="A754" s="4" t="s">
        <v>4936</v>
      </c>
      <c r="B754" s="4" t="s">
        <v>4072</v>
      </c>
      <c r="C754" s="6">
        <v>45697</v>
      </c>
      <c r="D754" s="4" t="s">
        <v>4053</v>
      </c>
      <c r="E754" s="4" t="s">
        <v>4054</v>
      </c>
      <c r="F754" s="4">
        <v>196.85</v>
      </c>
      <c r="G754" s="4" t="s">
        <v>36</v>
      </c>
      <c r="H754" s="4" t="s">
        <v>4055</v>
      </c>
      <c r="I754" s="4" t="s">
        <v>4087</v>
      </c>
      <c r="J754" s="6">
        <v>45712</v>
      </c>
      <c r="K754" s="4">
        <f>VLOOKUP(G754,Exchange_Rates!A:B,2,FALSE)</f>
        <v>1.08</v>
      </c>
      <c r="L754" s="4">
        <f t="shared" si="11"/>
        <v>212.59800000000001</v>
      </c>
    </row>
    <row r="755" spans="1:12" x14ac:dyDescent="0.25">
      <c r="A755" s="4" t="s">
        <v>4937</v>
      </c>
      <c r="B755" s="4" t="s">
        <v>4193</v>
      </c>
      <c r="C755" s="6">
        <v>45788</v>
      </c>
      <c r="D755" s="4" t="s">
        <v>4062</v>
      </c>
      <c r="E755" s="4" t="s">
        <v>4054</v>
      </c>
      <c r="F755" s="4">
        <v>266.3</v>
      </c>
      <c r="G755" s="4" t="s">
        <v>45</v>
      </c>
      <c r="H755" s="4" t="s">
        <v>4059</v>
      </c>
      <c r="I755" s="4" t="s">
        <v>4070</v>
      </c>
      <c r="J755" s="4"/>
      <c r="K755" s="4">
        <f>VLOOKUP(G755,Exchange_Rates!A:B,2,FALSE)</f>
        <v>1</v>
      </c>
      <c r="L755" s="4">
        <f t="shared" si="11"/>
        <v>266.3</v>
      </c>
    </row>
    <row r="756" spans="1:12" x14ac:dyDescent="0.25">
      <c r="A756" s="4" t="s">
        <v>4938</v>
      </c>
      <c r="B756" s="4" t="s">
        <v>4150</v>
      </c>
      <c r="C756" s="6">
        <v>45498</v>
      </c>
      <c r="D756" s="4" t="s">
        <v>4069</v>
      </c>
      <c r="E756" s="4" t="s">
        <v>4054</v>
      </c>
      <c r="F756" s="4">
        <v>787.9</v>
      </c>
      <c r="G756" s="4" t="s">
        <v>42</v>
      </c>
      <c r="H756" s="4" t="s">
        <v>4097</v>
      </c>
      <c r="I756" s="4" t="s">
        <v>4056</v>
      </c>
      <c r="J756" s="4"/>
      <c r="K756" s="4">
        <f>VLOOKUP(G756,Exchange_Rates!A:B,2,FALSE)</f>
        <v>0.66</v>
      </c>
      <c r="L756" s="4">
        <f t="shared" si="11"/>
        <v>520.01400000000001</v>
      </c>
    </row>
    <row r="757" spans="1:12" x14ac:dyDescent="0.25">
      <c r="A757" s="4" t="s">
        <v>4939</v>
      </c>
      <c r="B757" s="4" t="s">
        <v>4295</v>
      </c>
      <c r="C757" s="6">
        <v>45409</v>
      </c>
      <c r="D757" s="4" t="s">
        <v>4066</v>
      </c>
      <c r="E757" s="4" t="s">
        <v>4054</v>
      </c>
      <c r="F757" s="4">
        <v>103.81</v>
      </c>
      <c r="G757" s="4" t="s">
        <v>36</v>
      </c>
      <c r="H757" s="4" t="s">
        <v>4059</v>
      </c>
      <c r="I757" s="4" t="s">
        <v>4056</v>
      </c>
      <c r="J757" s="4"/>
      <c r="K757" s="4">
        <f>VLOOKUP(G757,Exchange_Rates!A:B,2,FALSE)</f>
        <v>1.08</v>
      </c>
      <c r="L757" s="4">
        <f t="shared" si="11"/>
        <v>112.11480000000002</v>
      </c>
    </row>
    <row r="758" spans="1:12" x14ac:dyDescent="0.25">
      <c r="A758" s="4" t="s">
        <v>4940</v>
      </c>
      <c r="B758" s="4" t="s">
        <v>4173</v>
      </c>
      <c r="C758" s="6">
        <v>45310</v>
      </c>
      <c r="D758" s="4" t="s">
        <v>4096</v>
      </c>
      <c r="E758" s="4" t="s">
        <v>4054</v>
      </c>
      <c r="F758" s="4">
        <v>520.80999999999995</v>
      </c>
      <c r="G758" s="4" t="s">
        <v>64</v>
      </c>
      <c r="H758" s="4" t="s">
        <v>4097</v>
      </c>
      <c r="I758" s="4" t="s">
        <v>4087</v>
      </c>
      <c r="J758" s="4"/>
      <c r="K758" s="4">
        <f>VLOOKUP(G758,Exchange_Rates!A:B,2,FALSE)</f>
        <v>0.73</v>
      </c>
      <c r="L758" s="4">
        <f t="shared" si="11"/>
        <v>380.19129999999996</v>
      </c>
    </row>
    <row r="759" spans="1:12" x14ac:dyDescent="0.25">
      <c r="A759" s="4" t="s">
        <v>4941</v>
      </c>
      <c r="B759" s="4" t="s">
        <v>4569</v>
      </c>
      <c r="C759" s="6">
        <v>45372</v>
      </c>
      <c r="D759" s="4" t="s">
        <v>4096</v>
      </c>
      <c r="E759" s="4" t="s">
        <v>4054</v>
      </c>
      <c r="F759" s="4">
        <v>374.07</v>
      </c>
      <c r="G759" s="4" t="s">
        <v>42</v>
      </c>
      <c r="H759" s="4" t="s">
        <v>4097</v>
      </c>
      <c r="I759" s="4" t="s">
        <v>4070</v>
      </c>
      <c r="J759" s="4"/>
      <c r="K759" s="4">
        <f>VLOOKUP(G759,Exchange_Rates!A:B,2,FALSE)</f>
        <v>0.66</v>
      </c>
      <c r="L759" s="4">
        <f t="shared" si="11"/>
        <v>246.8862</v>
      </c>
    </row>
    <row r="760" spans="1:12" x14ac:dyDescent="0.25">
      <c r="A760" s="4" t="s">
        <v>4942</v>
      </c>
      <c r="B760" s="4" t="s">
        <v>4330</v>
      </c>
      <c r="C760" s="6">
        <v>45026</v>
      </c>
      <c r="D760" s="4" t="s">
        <v>4096</v>
      </c>
      <c r="E760" s="4" t="s">
        <v>4054</v>
      </c>
      <c r="F760" s="4">
        <v>336.44</v>
      </c>
      <c r="G760" s="4" t="s">
        <v>45</v>
      </c>
      <c r="H760" s="4" t="s">
        <v>4055</v>
      </c>
      <c r="I760" s="4" t="s">
        <v>4056</v>
      </c>
      <c r="J760" s="6">
        <v>45041</v>
      </c>
      <c r="K760" s="4">
        <f>VLOOKUP(G760,Exchange_Rates!A:B,2,FALSE)</f>
        <v>1</v>
      </c>
      <c r="L760" s="4">
        <f t="shared" si="11"/>
        <v>336.44</v>
      </c>
    </row>
    <row r="761" spans="1:12" x14ac:dyDescent="0.25">
      <c r="A761" s="4" t="s">
        <v>4943</v>
      </c>
      <c r="B761" s="4" t="s">
        <v>4124</v>
      </c>
      <c r="C761" s="6">
        <v>45593</v>
      </c>
      <c r="D761" s="4" t="s">
        <v>4053</v>
      </c>
      <c r="E761" s="4" t="s">
        <v>4054</v>
      </c>
      <c r="F761" s="4">
        <v>553.38</v>
      </c>
      <c r="G761" s="4" t="s">
        <v>64</v>
      </c>
      <c r="H761" s="4" t="s">
        <v>4063</v>
      </c>
      <c r="I761" s="4" t="s">
        <v>4056</v>
      </c>
      <c r="J761" s="4"/>
      <c r="K761" s="4">
        <f>VLOOKUP(G761,Exchange_Rates!A:B,2,FALSE)</f>
        <v>0.73</v>
      </c>
      <c r="L761" s="4">
        <f t="shared" si="11"/>
        <v>403.9674</v>
      </c>
    </row>
    <row r="762" spans="1:12" x14ac:dyDescent="0.25">
      <c r="A762" s="4" t="s">
        <v>4944</v>
      </c>
      <c r="B762" s="4" t="s">
        <v>4061</v>
      </c>
      <c r="C762" s="6">
        <v>44974</v>
      </c>
      <c r="D762" s="4" t="s">
        <v>4096</v>
      </c>
      <c r="E762" s="4" t="s">
        <v>4054</v>
      </c>
      <c r="F762" s="4">
        <v>376.07</v>
      </c>
      <c r="G762" s="4" t="s">
        <v>42</v>
      </c>
      <c r="H762" s="4" t="s">
        <v>4059</v>
      </c>
      <c r="I762" s="4" t="s">
        <v>4056</v>
      </c>
      <c r="J762" s="4"/>
      <c r="K762" s="4">
        <f>VLOOKUP(G762,Exchange_Rates!A:B,2,FALSE)</f>
        <v>0.66</v>
      </c>
      <c r="L762" s="4">
        <f t="shared" si="11"/>
        <v>248.2062</v>
      </c>
    </row>
    <row r="763" spans="1:12" x14ac:dyDescent="0.25">
      <c r="A763" s="4" t="s">
        <v>4945</v>
      </c>
      <c r="B763" s="4" t="s">
        <v>4428</v>
      </c>
      <c r="C763" s="6">
        <v>45188</v>
      </c>
      <c r="D763" s="4" t="s">
        <v>4096</v>
      </c>
      <c r="E763" s="4" t="s">
        <v>4054</v>
      </c>
      <c r="F763" s="4">
        <v>277.14999999999998</v>
      </c>
      <c r="G763" s="4" t="s">
        <v>42</v>
      </c>
      <c r="H763" s="4" t="s">
        <v>4059</v>
      </c>
      <c r="I763" s="4" t="s">
        <v>4056</v>
      </c>
      <c r="J763" s="4"/>
      <c r="K763" s="4">
        <f>VLOOKUP(G763,Exchange_Rates!A:B,2,FALSE)</f>
        <v>0.66</v>
      </c>
      <c r="L763" s="4">
        <f t="shared" si="11"/>
        <v>182.91899999999998</v>
      </c>
    </row>
    <row r="764" spans="1:12" x14ac:dyDescent="0.25">
      <c r="A764" s="4" t="s">
        <v>4946</v>
      </c>
      <c r="B764" s="4" t="s">
        <v>4145</v>
      </c>
      <c r="C764" s="6">
        <v>45754</v>
      </c>
      <c r="D764" s="4" t="s">
        <v>4069</v>
      </c>
      <c r="E764" s="4" t="s">
        <v>4054</v>
      </c>
      <c r="F764" s="4">
        <v>193.5</v>
      </c>
      <c r="G764" s="4" t="s">
        <v>36</v>
      </c>
      <c r="H764" s="4" t="s">
        <v>4059</v>
      </c>
      <c r="I764" s="4" t="s">
        <v>4056</v>
      </c>
      <c r="J764" s="4"/>
      <c r="K764" s="4">
        <f>VLOOKUP(G764,Exchange_Rates!A:B,2,FALSE)</f>
        <v>1.08</v>
      </c>
      <c r="L764" s="4">
        <f t="shared" si="11"/>
        <v>208.98000000000002</v>
      </c>
    </row>
    <row r="765" spans="1:12" x14ac:dyDescent="0.25">
      <c r="A765" s="4" t="s">
        <v>4947</v>
      </c>
      <c r="B765" s="4" t="s">
        <v>4497</v>
      </c>
      <c r="C765" s="6">
        <v>45489</v>
      </c>
      <c r="D765" s="4" t="s">
        <v>4066</v>
      </c>
      <c r="E765" s="4" t="s">
        <v>4054</v>
      </c>
      <c r="F765" s="4">
        <v>174.9</v>
      </c>
      <c r="G765" s="4" t="s">
        <v>36</v>
      </c>
      <c r="H765" s="4" t="s">
        <v>4059</v>
      </c>
      <c r="I765" s="4" t="s">
        <v>4087</v>
      </c>
      <c r="J765" s="4"/>
      <c r="K765" s="4">
        <f>VLOOKUP(G765,Exchange_Rates!A:B,2,FALSE)</f>
        <v>1.08</v>
      </c>
      <c r="L765" s="4">
        <f t="shared" si="11"/>
        <v>188.89200000000002</v>
      </c>
    </row>
    <row r="766" spans="1:12" x14ac:dyDescent="0.25">
      <c r="A766" s="4" t="s">
        <v>4948</v>
      </c>
      <c r="B766" s="4" t="s">
        <v>4176</v>
      </c>
      <c r="C766" s="6">
        <v>45029</v>
      </c>
      <c r="D766" s="4" t="s">
        <v>4053</v>
      </c>
      <c r="E766" s="4" t="s">
        <v>4054</v>
      </c>
      <c r="F766" s="4">
        <v>509.97</v>
      </c>
      <c r="G766" s="4" t="s">
        <v>36</v>
      </c>
      <c r="H766" s="4" t="s">
        <v>4063</v>
      </c>
      <c r="I766" s="4" t="s">
        <v>4056</v>
      </c>
      <c r="J766" s="4"/>
      <c r="K766" s="4">
        <f>VLOOKUP(G766,Exchange_Rates!A:B,2,FALSE)</f>
        <v>1.08</v>
      </c>
      <c r="L766" s="4">
        <f t="shared" si="11"/>
        <v>550.76760000000002</v>
      </c>
    </row>
    <row r="767" spans="1:12" x14ac:dyDescent="0.25">
      <c r="A767" s="4" t="s">
        <v>4949</v>
      </c>
      <c r="B767" s="4" t="s">
        <v>4180</v>
      </c>
      <c r="C767" s="6">
        <v>45612</v>
      </c>
      <c r="D767" s="4" t="s">
        <v>4066</v>
      </c>
      <c r="E767" s="4" t="s">
        <v>4054</v>
      </c>
      <c r="F767" s="4">
        <v>502.27</v>
      </c>
      <c r="G767" s="4" t="s">
        <v>28</v>
      </c>
      <c r="H767" s="4" t="s">
        <v>4055</v>
      </c>
      <c r="I767" s="4" t="s">
        <v>4056</v>
      </c>
      <c r="J767" s="6">
        <v>45627</v>
      </c>
      <c r="K767" s="4">
        <f>VLOOKUP(G767,Exchange_Rates!A:B,2,FALSE)</f>
        <v>1.27</v>
      </c>
      <c r="L767" s="4">
        <f t="shared" si="11"/>
        <v>637.88289999999995</v>
      </c>
    </row>
    <row r="768" spans="1:12" x14ac:dyDescent="0.25">
      <c r="A768" s="4" t="s">
        <v>4950</v>
      </c>
      <c r="B768" s="4" t="s">
        <v>4182</v>
      </c>
      <c r="C768" s="6">
        <v>45797</v>
      </c>
      <c r="D768" s="4" t="s">
        <v>4062</v>
      </c>
      <c r="E768" s="4" t="s">
        <v>4054</v>
      </c>
      <c r="F768" s="4">
        <v>548.55999999999995</v>
      </c>
      <c r="G768" s="4" t="s">
        <v>45</v>
      </c>
      <c r="H768" s="4" t="s">
        <v>4097</v>
      </c>
      <c r="I768" s="4" t="s">
        <v>4056</v>
      </c>
      <c r="J768" s="4"/>
      <c r="K768" s="4">
        <f>VLOOKUP(G768,Exchange_Rates!A:B,2,FALSE)</f>
        <v>1</v>
      </c>
      <c r="L768" s="4">
        <f t="shared" si="11"/>
        <v>548.55999999999995</v>
      </c>
    </row>
    <row r="769" spans="1:12" x14ac:dyDescent="0.25">
      <c r="A769" s="4" t="s">
        <v>4951</v>
      </c>
      <c r="B769" s="4" t="s">
        <v>4117</v>
      </c>
      <c r="C769" s="6">
        <v>45824</v>
      </c>
      <c r="D769" s="4" t="s">
        <v>4053</v>
      </c>
      <c r="E769" s="4" t="s">
        <v>4054</v>
      </c>
      <c r="F769" s="4">
        <v>709.38</v>
      </c>
      <c r="G769" s="4" t="s">
        <v>42</v>
      </c>
      <c r="H769" s="4" t="s">
        <v>4055</v>
      </c>
      <c r="I769" s="4" t="s">
        <v>4087</v>
      </c>
      <c r="J769" s="6">
        <v>45839</v>
      </c>
      <c r="K769" s="4">
        <f>VLOOKUP(G769,Exchange_Rates!A:B,2,FALSE)</f>
        <v>0.66</v>
      </c>
      <c r="L769" s="4">
        <f t="shared" si="11"/>
        <v>468.19080000000002</v>
      </c>
    </row>
    <row r="770" spans="1:12" x14ac:dyDescent="0.25">
      <c r="A770" s="4" t="s">
        <v>4952</v>
      </c>
      <c r="B770" s="4" t="s">
        <v>4225</v>
      </c>
      <c r="C770" s="6">
        <v>45823</v>
      </c>
      <c r="D770" s="4" t="s">
        <v>4062</v>
      </c>
      <c r="E770" s="4" t="s">
        <v>4054</v>
      </c>
      <c r="F770" s="4">
        <v>660.9</v>
      </c>
      <c r="G770" s="4" t="s">
        <v>64</v>
      </c>
      <c r="H770" s="4" t="s">
        <v>4097</v>
      </c>
      <c r="I770" s="4" t="s">
        <v>4070</v>
      </c>
      <c r="J770" s="4"/>
      <c r="K770" s="4">
        <f>VLOOKUP(G770,Exchange_Rates!A:B,2,FALSE)</f>
        <v>0.73</v>
      </c>
      <c r="L770" s="4">
        <f t="shared" si="11"/>
        <v>482.45699999999999</v>
      </c>
    </row>
    <row r="771" spans="1:12" x14ac:dyDescent="0.25">
      <c r="A771" s="4" t="s">
        <v>4953</v>
      </c>
      <c r="B771" s="4" t="s">
        <v>4428</v>
      </c>
      <c r="C771" s="6">
        <v>45176</v>
      </c>
      <c r="D771" s="4" t="s">
        <v>4053</v>
      </c>
      <c r="E771" s="4" t="s">
        <v>4054</v>
      </c>
      <c r="F771" s="4">
        <v>484.02</v>
      </c>
      <c r="G771" s="4" t="s">
        <v>28</v>
      </c>
      <c r="H771" s="4" t="s">
        <v>4063</v>
      </c>
      <c r="I771" s="4" t="s">
        <v>4070</v>
      </c>
      <c r="J771" s="4"/>
      <c r="K771" s="4">
        <f>VLOOKUP(G771,Exchange_Rates!A:B,2,FALSE)</f>
        <v>1.27</v>
      </c>
      <c r="L771" s="4">
        <f t="shared" ref="L771:L834" si="12">F771*K771</f>
        <v>614.70539999999994</v>
      </c>
    </row>
    <row r="772" spans="1:12" x14ac:dyDescent="0.25">
      <c r="A772" s="4" t="s">
        <v>4954</v>
      </c>
      <c r="B772" s="4" t="s">
        <v>4273</v>
      </c>
      <c r="C772" s="6">
        <v>45674</v>
      </c>
      <c r="D772" s="4" t="s">
        <v>4062</v>
      </c>
      <c r="E772" s="4" t="s">
        <v>4054</v>
      </c>
      <c r="F772" s="4">
        <v>144.55000000000001</v>
      </c>
      <c r="G772" s="4" t="s">
        <v>42</v>
      </c>
      <c r="H772" s="4" t="s">
        <v>4055</v>
      </c>
      <c r="I772" s="4" t="s">
        <v>4070</v>
      </c>
      <c r="J772" s="6">
        <v>45689</v>
      </c>
      <c r="K772" s="4">
        <f>VLOOKUP(G772,Exchange_Rates!A:B,2,FALSE)</f>
        <v>0.66</v>
      </c>
      <c r="L772" s="4">
        <f t="shared" si="12"/>
        <v>95.403000000000006</v>
      </c>
    </row>
    <row r="773" spans="1:12" x14ac:dyDescent="0.25">
      <c r="A773" s="4" t="s">
        <v>4955</v>
      </c>
      <c r="B773" s="4" t="s">
        <v>4497</v>
      </c>
      <c r="C773" s="6">
        <v>45710</v>
      </c>
      <c r="D773" s="4" t="s">
        <v>4062</v>
      </c>
      <c r="E773" s="4" t="s">
        <v>4054</v>
      </c>
      <c r="F773" s="4">
        <v>77.28</v>
      </c>
      <c r="G773" s="4" t="s">
        <v>64</v>
      </c>
      <c r="H773" s="4" t="s">
        <v>4097</v>
      </c>
      <c r="I773" s="4" t="s">
        <v>4070</v>
      </c>
      <c r="J773" s="4"/>
      <c r="K773" s="4">
        <f>VLOOKUP(G773,Exchange_Rates!A:B,2,FALSE)</f>
        <v>0.73</v>
      </c>
      <c r="L773" s="4">
        <f t="shared" si="12"/>
        <v>56.414400000000001</v>
      </c>
    </row>
    <row r="774" spans="1:12" x14ac:dyDescent="0.25">
      <c r="A774" s="4" t="s">
        <v>4956</v>
      </c>
      <c r="B774" s="4" t="s">
        <v>4935</v>
      </c>
      <c r="C774" s="6">
        <v>45533</v>
      </c>
      <c r="D774" s="4" t="s">
        <v>4069</v>
      </c>
      <c r="E774" s="4" t="s">
        <v>4054</v>
      </c>
      <c r="F774" s="4">
        <v>457.79</v>
      </c>
      <c r="G774" s="4" t="s">
        <v>64</v>
      </c>
      <c r="H774" s="4" t="s">
        <v>4063</v>
      </c>
      <c r="I774" s="4" t="s">
        <v>4070</v>
      </c>
      <c r="J774" s="4"/>
      <c r="K774" s="4">
        <f>VLOOKUP(G774,Exchange_Rates!A:B,2,FALSE)</f>
        <v>0.73</v>
      </c>
      <c r="L774" s="4">
        <f t="shared" si="12"/>
        <v>334.18670000000003</v>
      </c>
    </row>
    <row r="775" spans="1:12" x14ac:dyDescent="0.25">
      <c r="A775" s="4" t="s">
        <v>4957</v>
      </c>
      <c r="B775" s="4" t="s">
        <v>4152</v>
      </c>
      <c r="C775" s="6">
        <v>45043</v>
      </c>
      <c r="D775" s="4" t="s">
        <v>4053</v>
      </c>
      <c r="E775" s="4" t="s">
        <v>4054</v>
      </c>
      <c r="F775" s="4">
        <v>108.62</v>
      </c>
      <c r="G775" s="4" t="s">
        <v>42</v>
      </c>
      <c r="H775" s="4" t="s">
        <v>4097</v>
      </c>
      <c r="I775" s="4" t="s">
        <v>4087</v>
      </c>
      <c r="J775" s="4"/>
      <c r="K775" s="4">
        <f>VLOOKUP(G775,Exchange_Rates!A:B,2,FALSE)</f>
        <v>0.66</v>
      </c>
      <c r="L775" s="4">
        <f t="shared" si="12"/>
        <v>71.6892</v>
      </c>
    </row>
    <row r="776" spans="1:12" x14ac:dyDescent="0.25">
      <c r="A776" s="4" t="s">
        <v>4958</v>
      </c>
      <c r="B776" s="4" t="s">
        <v>4258</v>
      </c>
      <c r="C776" s="6">
        <v>45390</v>
      </c>
      <c r="D776" s="4" t="s">
        <v>4062</v>
      </c>
      <c r="E776" s="4" t="s">
        <v>4054</v>
      </c>
      <c r="F776" s="4">
        <v>536.45000000000005</v>
      </c>
      <c r="G776" s="4" t="s">
        <v>28</v>
      </c>
      <c r="H776" s="4" t="s">
        <v>4097</v>
      </c>
      <c r="I776" s="4" t="s">
        <v>4087</v>
      </c>
      <c r="J776" s="4"/>
      <c r="K776" s="4">
        <f>VLOOKUP(G776,Exchange_Rates!A:B,2,FALSE)</f>
        <v>1.27</v>
      </c>
      <c r="L776" s="4">
        <f t="shared" si="12"/>
        <v>681.29150000000004</v>
      </c>
    </row>
    <row r="777" spans="1:12" x14ac:dyDescent="0.25">
      <c r="A777" s="4" t="s">
        <v>4959</v>
      </c>
      <c r="B777" s="4" t="s">
        <v>4230</v>
      </c>
      <c r="C777" s="6">
        <v>45593</v>
      </c>
      <c r="D777" s="4" t="s">
        <v>4069</v>
      </c>
      <c r="E777" s="4" t="s">
        <v>4054</v>
      </c>
      <c r="F777" s="4">
        <v>720.47</v>
      </c>
      <c r="G777" s="4" t="s">
        <v>36</v>
      </c>
      <c r="H777" s="4" t="s">
        <v>4055</v>
      </c>
      <c r="I777" s="4" t="s">
        <v>4070</v>
      </c>
      <c r="J777" s="6">
        <v>45608</v>
      </c>
      <c r="K777" s="4">
        <f>VLOOKUP(G777,Exchange_Rates!A:B,2,FALSE)</f>
        <v>1.08</v>
      </c>
      <c r="L777" s="4">
        <f t="shared" si="12"/>
        <v>778.10760000000005</v>
      </c>
    </row>
    <row r="778" spans="1:12" x14ac:dyDescent="0.25">
      <c r="A778" s="4" t="s">
        <v>4960</v>
      </c>
      <c r="B778" s="4" t="s">
        <v>4156</v>
      </c>
      <c r="C778" s="6">
        <v>45338</v>
      </c>
      <c r="D778" s="4" t="s">
        <v>4053</v>
      </c>
      <c r="E778" s="4" t="s">
        <v>4054</v>
      </c>
      <c r="F778" s="4">
        <v>695.58</v>
      </c>
      <c r="G778" s="4" t="s">
        <v>28</v>
      </c>
      <c r="H778" s="4" t="s">
        <v>4063</v>
      </c>
      <c r="I778" s="4" t="s">
        <v>4070</v>
      </c>
      <c r="J778" s="4"/>
      <c r="K778" s="4">
        <f>VLOOKUP(G778,Exchange_Rates!A:B,2,FALSE)</f>
        <v>1.27</v>
      </c>
      <c r="L778" s="4">
        <f t="shared" si="12"/>
        <v>883.38660000000004</v>
      </c>
    </row>
    <row r="779" spans="1:12" x14ac:dyDescent="0.25">
      <c r="A779" s="4" t="s">
        <v>4961</v>
      </c>
      <c r="B779" s="4" t="s">
        <v>4052</v>
      </c>
      <c r="C779" s="6">
        <v>45468</v>
      </c>
      <c r="D779" s="4" t="s">
        <v>4069</v>
      </c>
      <c r="E779" s="4" t="s">
        <v>4054</v>
      </c>
      <c r="F779" s="4">
        <v>503.63</v>
      </c>
      <c r="G779" s="4" t="s">
        <v>36</v>
      </c>
      <c r="H779" s="4" t="s">
        <v>4063</v>
      </c>
      <c r="I779" s="4" t="s">
        <v>4070</v>
      </c>
      <c r="J779" s="4"/>
      <c r="K779" s="4">
        <f>VLOOKUP(G779,Exchange_Rates!A:B,2,FALSE)</f>
        <v>1.08</v>
      </c>
      <c r="L779" s="4">
        <f t="shared" si="12"/>
        <v>543.92040000000009</v>
      </c>
    </row>
    <row r="780" spans="1:12" x14ac:dyDescent="0.25">
      <c r="A780" s="4" t="s">
        <v>4962</v>
      </c>
      <c r="B780" s="4" t="s">
        <v>4122</v>
      </c>
      <c r="C780" s="6">
        <v>45731</v>
      </c>
      <c r="D780" s="4" t="s">
        <v>4062</v>
      </c>
      <c r="E780" s="4" t="s">
        <v>4054</v>
      </c>
      <c r="F780" s="4">
        <v>467.4</v>
      </c>
      <c r="G780" s="4" t="s">
        <v>64</v>
      </c>
      <c r="H780" s="4" t="s">
        <v>4097</v>
      </c>
      <c r="I780" s="4" t="s">
        <v>4087</v>
      </c>
      <c r="J780" s="4"/>
      <c r="K780" s="4">
        <f>VLOOKUP(G780,Exchange_Rates!A:B,2,FALSE)</f>
        <v>0.73</v>
      </c>
      <c r="L780" s="4">
        <f t="shared" si="12"/>
        <v>341.202</v>
      </c>
    </row>
    <row r="781" spans="1:12" x14ac:dyDescent="0.25">
      <c r="A781" s="4" t="s">
        <v>4963</v>
      </c>
      <c r="B781" s="4" t="s">
        <v>4106</v>
      </c>
      <c r="C781" s="6">
        <v>45702</v>
      </c>
      <c r="D781" s="4" t="s">
        <v>4066</v>
      </c>
      <c r="E781" s="4" t="s">
        <v>4054</v>
      </c>
      <c r="F781" s="4">
        <v>273.66000000000003</v>
      </c>
      <c r="G781" s="4" t="s">
        <v>42</v>
      </c>
      <c r="H781" s="4" t="s">
        <v>4063</v>
      </c>
      <c r="I781" s="4" t="s">
        <v>4087</v>
      </c>
      <c r="J781" s="4"/>
      <c r="K781" s="4">
        <f>VLOOKUP(G781,Exchange_Rates!A:B,2,FALSE)</f>
        <v>0.66</v>
      </c>
      <c r="L781" s="4">
        <f t="shared" si="12"/>
        <v>180.61560000000003</v>
      </c>
    </row>
    <row r="782" spans="1:12" x14ac:dyDescent="0.25">
      <c r="A782" s="4" t="s">
        <v>4964</v>
      </c>
      <c r="B782" s="4" t="s">
        <v>4225</v>
      </c>
      <c r="C782" s="6">
        <v>45580</v>
      </c>
      <c r="D782" s="4" t="s">
        <v>4053</v>
      </c>
      <c r="E782" s="4" t="s">
        <v>4054</v>
      </c>
      <c r="F782" s="4">
        <v>516.66999999999996</v>
      </c>
      <c r="G782" s="4" t="s">
        <v>42</v>
      </c>
      <c r="H782" s="4" t="s">
        <v>4097</v>
      </c>
      <c r="I782" s="4" t="s">
        <v>4087</v>
      </c>
      <c r="J782" s="4"/>
      <c r="K782" s="4">
        <f>VLOOKUP(G782,Exchange_Rates!A:B,2,FALSE)</f>
        <v>0.66</v>
      </c>
      <c r="L782" s="4">
        <f t="shared" si="12"/>
        <v>341.00220000000002</v>
      </c>
    </row>
    <row r="783" spans="1:12" x14ac:dyDescent="0.25">
      <c r="A783" s="4" t="s">
        <v>4965</v>
      </c>
      <c r="B783" s="4" t="s">
        <v>4267</v>
      </c>
      <c r="C783" s="6">
        <v>45601</v>
      </c>
      <c r="D783" s="4" t="s">
        <v>4069</v>
      </c>
      <c r="E783" s="4" t="s">
        <v>4054</v>
      </c>
      <c r="F783" s="4">
        <v>221.26</v>
      </c>
      <c r="G783" s="4" t="s">
        <v>28</v>
      </c>
      <c r="H783" s="4" t="s">
        <v>4055</v>
      </c>
      <c r="I783" s="4" t="s">
        <v>4070</v>
      </c>
      <c r="J783" s="6">
        <v>45616</v>
      </c>
      <c r="K783" s="4">
        <f>VLOOKUP(G783,Exchange_Rates!A:B,2,FALSE)</f>
        <v>1.27</v>
      </c>
      <c r="L783" s="4">
        <f t="shared" si="12"/>
        <v>281.00020000000001</v>
      </c>
    </row>
    <row r="784" spans="1:12" x14ac:dyDescent="0.25">
      <c r="A784" s="4" t="s">
        <v>4966</v>
      </c>
      <c r="B784" s="4" t="s">
        <v>4244</v>
      </c>
      <c r="C784" s="6">
        <v>45695</v>
      </c>
      <c r="D784" s="4" t="s">
        <v>4096</v>
      </c>
      <c r="E784" s="4" t="s">
        <v>4054</v>
      </c>
      <c r="F784" s="4">
        <v>167.96</v>
      </c>
      <c r="G784" s="4" t="s">
        <v>36</v>
      </c>
      <c r="H784" s="4" t="s">
        <v>4059</v>
      </c>
      <c r="I784" s="4" t="s">
        <v>4087</v>
      </c>
      <c r="J784" s="4"/>
      <c r="K784" s="4">
        <f>VLOOKUP(G784,Exchange_Rates!A:B,2,FALSE)</f>
        <v>1.08</v>
      </c>
      <c r="L784" s="4">
        <f t="shared" si="12"/>
        <v>181.39680000000001</v>
      </c>
    </row>
    <row r="785" spans="1:12" x14ac:dyDescent="0.25">
      <c r="A785" s="4" t="s">
        <v>4967</v>
      </c>
      <c r="B785" s="4" t="s">
        <v>4115</v>
      </c>
      <c r="C785" s="6">
        <v>44985</v>
      </c>
      <c r="D785" s="4" t="s">
        <v>4096</v>
      </c>
      <c r="E785" s="4" t="s">
        <v>4054</v>
      </c>
      <c r="F785" s="4">
        <v>327.62</v>
      </c>
      <c r="G785" s="4" t="s">
        <v>45</v>
      </c>
      <c r="H785" s="4" t="s">
        <v>4055</v>
      </c>
      <c r="I785" s="4" t="s">
        <v>4087</v>
      </c>
      <c r="J785" s="6">
        <v>45000</v>
      </c>
      <c r="K785" s="4">
        <f>VLOOKUP(G785,Exchange_Rates!A:B,2,FALSE)</f>
        <v>1</v>
      </c>
      <c r="L785" s="4">
        <f t="shared" si="12"/>
        <v>327.62</v>
      </c>
    </row>
    <row r="786" spans="1:12" x14ac:dyDescent="0.25">
      <c r="A786" s="4" t="s">
        <v>4968</v>
      </c>
      <c r="B786" s="4" t="s">
        <v>4103</v>
      </c>
      <c r="C786" s="6">
        <v>44941</v>
      </c>
      <c r="D786" s="4" t="s">
        <v>4096</v>
      </c>
      <c r="E786" s="4" t="s">
        <v>4054</v>
      </c>
      <c r="F786" s="4">
        <v>560</v>
      </c>
      <c r="G786" s="4" t="s">
        <v>45</v>
      </c>
      <c r="H786" s="4" t="s">
        <v>4059</v>
      </c>
      <c r="I786" s="4" t="s">
        <v>4070</v>
      </c>
      <c r="J786" s="4"/>
      <c r="K786" s="4">
        <f>VLOOKUP(G786,Exchange_Rates!A:B,2,FALSE)</f>
        <v>1</v>
      </c>
      <c r="L786" s="4">
        <f t="shared" si="12"/>
        <v>560</v>
      </c>
    </row>
    <row r="787" spans="1:12" x14ac:dyDescent="0.25">
      <c r="A787" s="4" t="s">
        <v>4969</v>
      </c>
      <c r="B787" s="4" t="s">
        <v>4450</v>
      </c>
      <c r="C787" s="6">
        <v>45014</v>
      </c>
      <c r="D787" s="4" t="s">
        <v>4053</v>
      </c>
      <c r="E787" s="4" t="s">
        <v>4054</v>
      </c>
      <c r="F787" s="4">
        <v>395.77</v>
      </c>
      <c r="G787" s="4" t="s">
        <v>45</v>
      </c>
      <c r="H787" s="4" t="s">
        <v>4097</v>
      </c>
      <c r="I787" s="4" t="s">
        <v>4056</v>
      </c>
      <c r="J787" s="4"/>
      <c r="K787" s="4">
        <f>VLOOKUP(G787,Exchange_Rates!A:B,2,FALSE)</f>
        <v>1</v>
      </c>
      <c r="L787" s="4">
        <f t="shared" si="12"/>
        <v>395.77</v>
      </c>
    </row>
    <row r="788" spans="1:12" x14ac:dyDescent="0.25">
      <c r="A788" s="4" t="s">
        <v>4970</v>
      </c>
      <c r="B788" s="4" t="s">
        <v>4206</v>
      </c>
      <c r="C788" s="6">
        <v>45396</v>
      </c>
      <c r="D788" s="4" t="s">
        <v>4053</v>
      </c>
      <c r="E788" s="4" t="s">
        <v>4054</v>
      </c>
      <c r="F788" s="4">
        <v>23.26</v>
      </c>
      <c r="G788" s="4" t="s">
        <v>36</v>
      </c>
      <c r="H788" s="4" t="s">
        <v>4063</v>
      </c>
      <c r="I788" s="4" t="s">
        <v>4056</v>
      </c>
      <c r="J788" s="4"/>
      <c r="K788" s="4">
        <f>VLOOKUP(G788,Exchange_Rates!A:B,2,FALSE)</f>
        <v>1.08</v>
      </c>
      <c r="L788" s="4">
        <f t="shared" si="12"/>
        <v>25.120800000000003</v>
      </c>
    </row>
    <row r="789" spans="1:12" x14ac:dyDescent="0.25">
      <c r="A789" s="4" t="s">
        <v>4971</v>
      </c>
      <c r="B789" s="4" t="s">
        <v>4280</v>
      </c>
      <c r="C789" s="6">
        <v>45172</v>
      </c>
      <c r="D789" s="4" t="s">
        <v>4062</v>
      </c>
      <c r="E789" s="4" t="s">
        <v>4054</v>
      </c>
      <c r="F789" s="4">
        <v>660.36</v>
      </c>
      <c r="G789" s="4" t="s">
        <v>42</v>
      </c>
      <c r="H789" s="4" t="s">
        <v>4097</v>
      </c>
      <c r="I789" s="4" t="s">
        <v>4070</v>
      </c>
      <c r="J789" s="4"/>
      <c r="K789" s="4">
        <f>VLOOKUP(G789,Exchange_Rates!A:B,2,FALSE)</f>
        <v>0.66</v>
      </c>
      <c r="L789" s="4">
        <f t="shared" si="12"/>
        <v>435.83760000000001</v>
      </c>
    </row>
    <row r="790" spans="1:12" x14ac:dyDescent="0.25">
      <c r="A790" s="4" t="s">
        <v>4972</v>
      </c>
      <c r="B790" s="4" t="s">
        <v>4345</v>
      </c>
      <c r="C790" s="6">
        <v>45288</v>
      </c>
      <c r="D790" s="4" t="s">
        <v>4062</v>
      </c>
      <c r="E790" s="4" t="s">
        <v>4054</v>
      </c>
      <c r="F790" s="4">
        <v>623.48</v>
      </c>
      <c r="G790" s="4" t="s">
        <v>36</v>
      </c>
      <c r="H790" s="4" t="s">
        <v>4055</v>
      </c>
      <c r="I790" s="4" t="s">
        <v>4056</v>
      </c>
      <c r="J790" s="6">
        <v>45303</v>
      </c>
      <c r="K790" s="4">
        <f>VLOOKUP(G790,Exchange_Rates!A:B,2,FALSE)</f>
        <v>1.08</v>
      </c>
      <c r="L790" s="4">
        <f t="shared" si="12"/>
        <v>673.35840000000007</v>
      </c>
    </row>
    <row r="791" spans="1:12" x14ac:dyDescent="0.25">
      <c r="A791" s="4" t="s">
        <v>4973</v>
      </c>
      <c r="B791" s="4" t="s">
        <v>4321</v>
      </c>
      <c r="C791" s="6">
        <v>45404</v>
      </c>
      <c r="D791" s="4" t="s">
        <v>4096</v>
      </c>
      <c r="E791" s="4" t="s">
        <v>4054</v>
      </c>
      <c r="F791" s="4">
        <v>633.61</v>
      </c>
      <c r="G791" s="4" t="s">
        <v>64</v>
      </c>
      <c r="H791" s="4" t="s">
        <v>4055</v>
      </c>
      <c r="I791" s="4" t="s">
        <v>4087</v>
      </c>
      <c r="J791" s="6">
        <v>45419</v>
      </c>
      <c r="K791" s="4">
        <f>VLOOKUP(G791,Exchange_Rates!A:B,2,FALSE)</f>
        <v>0.73</v>
      </c>
      <c r="L791" s="4">
        <f t="shared" si="12"/>
        <v>462.53530000000001</v>
      </c>
    </row>
    <row r="792" spans="1:12" x14ac:dyDescent="0.25">
      <c r="A792" s="4" t="s">
        <v>4974</v>
      </c>
      <c r="B792" s="4" t="s">
        <v>4148</v>
      </c>
      <c r="C792" s="6">
        <v>45276</v>
      </c>
      <c r="D792" s="4" t="s">
        <v>4096</v>
      </c>
      <c r="E792" s="4" t="s">
        <v>4054</v>
      </c>
      <c r="F792" s="4">
        <v>424.21</v>
      </c>
      <c r="G792" s="4" t="s">
        <v>36</v>
      </c>
      <c r="H792" s="4" t="s">
        <v>4063</v>
      </c>
      <c r="I792" s="4" t="s">
        <v>4056</v>
      </c>
      <c r="J792" s="4"/>
      <c r="K792" s="4">
        <f>VLOOKUP(G792,Exchange_Rates!A:B,2,FALSE)</f>
        <v>1.08</v>
      </c>
      <c r="L792" s="4">
        <f t="shared" si="12"/>
        <v>458.14679999999998</v>
      </c>
    </row>
    <row r="793" spans="1:12" x14ac:dyDescent="0.25">
      <c r="A793" s="4" t="s">
        <v>4975</v>
      </c>
      <c r="B793" s="4" t="s">
        <v>4450</v>
      </c>
      <c r="C793" s="6">
        <v>45077</v>
      </c>
      <c r="D793" s="4" t="s">
        <v>4069</v>
      </c>
      <c r="E793" s="4" t="s">
        <v>4054</v>
      </c>
      <c r="F793" s="4">
        <v>682.39</v>
      </c>
      <c r="G793" s="4" t="s">
        <v>28</v>
      </c>
      <c r="H793" s="4" t="s">
        <v>4059</v>
      </c>
      <c r="I793" s="4" t="s">
        <v>4070</v>
      </c>
      <c r="J793" s="4"/>
      <c r="K793" s="4">
        <f>VLOOKUP(G793,Exchange_Rates!A:B,2,FALSE)</f>
        <v>1.27</v>
      </c>
      <c r="L793" s="4">
        <f t="shared" si="12"/>
        <v>866.63530000000003</v>
      </c>
    </row>
    <row r="794" spans="1:12" x14ac:dyDescent="0.25">
      <c r="A794" s="4" t="s">
        <v>4976</v>
      </c>
      <c r="B794" s="4" t="s">
        <v>4178</v>
      </c>
      <c r="C794" s="6">
        <v>45005</v>
      </c>
      <c r="D794" s="4" t="s">
        <v>4069</v>
      </c>
      <c r="E794" s="4" t="s">
        <v>4054</v>
      </c>
      <c r="F794" s="4">
        <v>708.35</v>
      </c>
      <c r="G794" s="4" t="s">
        <v>64</v>
      </c>
      <c r="H794" s="4" t="s">
        <v>4063</v>
      </c>
      <c r="I794" s="4" t="s">
        <v>4070</v>
      </c>
      <c r="J794" s="4"/>
      <c r="K794" s="4">
        <f>VLOOKUP(G794,Exchange_Rates!A:B,2,FALSE)</f>
        <v>0.73</v>
      </c>
      <c r="L794" s="4">
        <f t="shared" si="12"/>
        <v>517.09550000000002</v>
      </c>
    </row>
    <row r="795" spans="1:12" x14ac:dyDescent="0.25">
      <c r="A795" s="4" t="s">
        <v>4977</v>
      </c>
      <c r="B795" s="4" t="s">
        <v>4267</v>
      </c>
      <c r="C795" s="6">
        <v>45096</v>
      </c>
      <c r="D795" s="4" t="s">
        <v>4066</v>
      </c>
      <c r="E795" s="4" t="s">
        <v>4054</v>
      </c>
      <c r="F795" s="4">
        <v>98.5</v>
      </c>
      <c r="G795" s="4" t="s">
        <v>64</v>
      </c>
      <c r="H795" s="4" t="s">
        <v>4097</v>
      </c>
      <c r="I795" s="4" t="s">
        <v>4056</v>
      </c>
      <c r="J795" s="4"/>
      <c r="K795" s="4">
        <f>VLOOKUP(G795,Exchange_Rates!A:B,2,FALSE)</f>
        <v>0.73</v>
      </c>
      <c r="L795" s="4">
        <f t="shared" si="12"/>
        <v>71.905000000000001</v>
      </c>
    </row>
    <row r="796" spans="1:12" x14ac:dyDescent="0.25">
      <c r="A796" s="4" t="s">
        <v>4978</v>
      </c>
      <c r="B796" s="4" t="s">
        <v>4080</v>
      </c>
      <c r="C796" s="6">
        <v>45183</v>
      </c>
      <c r="D796" s="4" t="s">
        <v>4053</v>
      </c>
      <c r="E796" s="4" t="s">
        <v>4054</v>
      </c>
      <c r="F796" s="4">
        <v>615.29999999999995</v>
      </c>
      <c r="G796" s="4" t="s">
        <v>36</v>
      </c>
      <c r="H796" s="4" t="s">
        <v>4097</v>
      </c>
      <c r="I796" s="4" t="s">
        <v>4056</v>
      </c>
      <c r="J796" s="4"/>
      <c r="K796" s="4">
        <f>VLOOKUP(G796,Exchange_Rates!A:B,2,FALSE)</f>
        <v>1.08</v>
      </c>
      <c r="L796" s="4">
        <f t="shared" si="12"/>
        <v>664.524</v>
      </c>
    </row>
    <row r="797" spans="1:12" x14ac:dyDescent="0.25">
      <c r="A797" s="4" t="s">
        <v>4979</v>
      </c>
      <c r="B797" s="4" t="s">
        <v>4520</v>
      </c>
      <c r="C797" s="6">
        <v>45274</v>
      </c>
      <c r="D797" s="4" t="s">
        <v>4053</v>
      </c>
      <c r="E797" s="4" t="s">
        <v>4054</v>
      </c>
      <c r="F797" s="4">
        <v>237.68</v>
      </c>
      <c r="G797" s="4" t="s">
        <v>64</v>
      </c>
      <c r="H797" s="4" t="s">
        <v>4059</v>
      </c>
      <c r="I797" s="4" t="s">
        <v>4056</v>
      </c>
      <c r="J797" s="4"/>
      <c r="K797" s="4">
        <f>VLOOKUP(G797,Exchange_Rates!A:B,2,FALSE)</f>
        <v>0.73</v>
      </c>
      <c r="L797" s="4">
        <f t="shared" si="12"/>
        <v>173.50640000000001</v>
      </c>
    </row>
    <row r="798" spans="1:12" x14ac:dyDescent="0.25">
      <c r="A798" s="4" t="s">
        <v>4980</v>
      </c>
      <c r="B798" s="4" t="s">
        <v>4569</v>
      </c>
      <c r="C798" s="6">
        <v>45824</v>
      </c>
      <c r="D798" s="4" t="s">
        <v>4069</v>
      </c>
      <c r="E798" s="4" t="s">
        <v>4054</v>
      </c>
      <c r="F798" s="4">
        <v>794.42</v>
      </c>
      <c r="G798" s="4" t="s">
        <v>64</v>
      </c>
      <c r="H798" s="4" t="s">
        <v>4059</v>
      </c>
      <c r="I798" s="4" t="s">
        <v>4056</v>
      </c>
      <c r="J798" s="4"/>
      <c r="K798" s="4">
        <f>VLOOKUP(G798,Exchange_Rates!A:B,2,FALSE)</f>
        <v>0.73</v>
      </c>
      <c r="L798" s="4">
        <f t="shared" si="12"/>
        <v>579.92660000000001</v>
      </c>
    </row>
    <row r="799" spans="1:12" x14ac:dyDescent="0.25">
      <c r="A799" s="4" t="s">
        <v>4981</v>
      </c>
      <c r="B799" s="4" t="s">
        <v>4138</v>
      </c>
      <c r="C799" s="6">
        <v>45348</v>
      </c>
      <c r="D799" s="4" t="s">
        <v>4069</v>
      </c>
      <c r="E799" s="4" t="s">
        <v>4054</v>
      </c>
      <c r="F799" s="4">
        <v>104.63</v>
      </c>
      <c r="G799" s="4" t="s">
        <v>36</v>
      </c>
      <c r="H799" s="4" t="s">
        <v>4055</v>
      </c>
      <c r="I799" s="4" t="s">
        <v>4070</v>
      </c>
      <c r="J799" s="6">
        <v>45363</v>
      </c>
      <c r="K799" s="4">
        <f>VLOOKUP(G799,Exchange_Rates!A:B,2,FALSE)</f>
        <v>1.08</v>
      </c>
      <c r="L799" s="4">
        <f t="shared" si="12"/>
        <v>113.0004</v>
      </c>
    </row>
    <row r="800" spans="1:12" x14ac:dyDescent="0.25">
      <c r="A800" s="4" t="s">
        <v>4982</v>
      </c>
      <c r="B800" s="4" t="s">
        <v>4378</v>
      </c>
      <c r="C800" s="6">
        <v>45435</v>
      </c>
      <c r="D800" s="4" t="s">
        <v>4053</v>
      </c>
      <c r="E800" s="4" t="s">
        <v>4054</v>
      </c>
      <c r="F800" s="4">
        <v>25.34</v>
      </c>
      <c r="G800" s="4" t="s">
        <v>64</v>
      </c>
      <c r="H800" s="4" t="s">
        <v>4097</v>
      </c>
      <c r="I800" s="4" t="s">
        <v>4070</v>
      </c>
      <c r="J800" s="4"/>
      <c r="K800" s="4">
        <f>VLOOKUP(G800,Exchange_Rates!A:B,2,FALSE)</f>
        <v>0.73</v>
      </c>
      <c r="L800" s="4">
        <f t="shared" si="12"/>
        <v>18.498200000000001</v>
      </c>
    </row>
    <row r="801" spans="1:12" x14ac:dyDescent="0.25">
      <c r="A801" s="4" t="s">
        <v>4983</v>
      </c>
      <c r="B801" s="4" t="s">
        <v>4187</v>
      </c>
      <c r="C801" s="6">
        <v>45429</v>
      </c>
      <c r="D801" s="4" t="s">
        <v>4066</v>
      </c>
      <c r="E801" s="4" t="s">
        <v>4054</v>
      </c>
      <c r="F801" s="4">
        <v>394.5</v>
      </c>
      <c r="G801" s="4" t="s">
        <v>42</v>
      </c>
      <c r="H801" s="4" t="s">
        <v>4063</v>
      </c>
      <c r="I801" s="4" t="s">
        <v>4087</v>
      </c>
      <c r="J801" s="4"/>
      <c r="K801" s="4">
        <f>VLOOKUP(G801,Exchange_Rates!A:B,2,FALSE)</f>
        <v>0.66</v>
      </c>
      <c r="L801" s="4">
        <f t="shared" si="12"/>
        <v>260.37</v>
      </c>
    </row>
    <row r="802" spans="1:12" x14ac:dyDescent="0.25">
      <c r="A802" s="4" t="s">
        <v>4984</v>
      </c>
      <c r="B802" s="4" t="s">
        <v>4528</v>
      </c>
      <c r="C802" s="6">
        <v>45596</v>
      </c>
      <c r="D802" s="4" t="s">
        <v>4062</v>
      </c>
      <c r="E802" s="4" t="s">
        <v>4054</v>
      </c>
      <c r="F802" s="4">
        <v>190.28</v>
      </c>
      <c r="G802" s="4" t="s">
        <v>45</v>
      </c>
      <c r="H802" s="4" t="s">
        <v>4097</v>
      </c>
      <c r="I802" s="4" t="s">
        <v>4056</v>
      </c>
      <c r="J802" s="4"/>
      <c r="K802" s="4">
        <f>VLOOKUP(G802,Exchange_Rates!A:B,2,FALSE)</f>
        <v>1</v>
      </c>
      <c r="L802" s="4">
        <f t="shared" si="12"/>
        <v>190.28</v>
      </c>
    </row>
    <row r="803" spans="1:12" x14ac:dyDescent="0.25">
      <c r="A803" s="4" t="s">
        <v>4985</v>
      </c>
      <c r="B803" s="4" t="s">
        <v>4797</v>
      </c>
      <c r="C803" s="6">
        <v>45529</v>
      </c>
      <c r="D803" s="4" t="s">
        <v>4066</v>
      </c>
      <c r="E803" s="4" t="s">
        <v>4054</v>
      </c>
      <c r="F803" s="4">
        <v>550.83000000000004</v>
      </c>
      <c r="G803" s="4" t="s">
        <v>28</v>
      </c>
      <c r="H803" s="4" t="s">
        <v>4059</v>
      </c>
      <c r="I803" s="4" t="s">
        <v>4056</v>
      </c>
      <c r="J803" s="4"/>
      <c r="K803" s="4">
        <f>VLOOKUP(G803,Exchange_Rates!A:B,2,FALSE)</f>
        <v>1.27</v>
      </c>
      <c r="L803" s="4">
        <f t="shared" si="12"/>
        <v>699.55410000000006</v>
      </c>
    </row>
    <row r="804" spans="1:12" x14ac:dyDescent="0.25">
      <c r="A804" s="4" t="s">
        <v>4986</v>
      </c>
      <c r="B804" s="4" t="s">
        <v>4136</v>
      </c>
      <c r="C804" s="6">
        <v>45623</v>
      </c>
      <c r="D804" s="4" t="s">
        <v>4053</v>
      </c>
      <c r="E804" s="4" t="s">
        <v>4054</v>
      </c>
      <c r="F804" s="4">
        <v>65.260000000000005</v>
      </c>
      <c r="G804" s="4" t="s">
        <v>64</v>
      </c>
      <c r="H804" s="4" t="s">
        <v>4055</v>
      </c>
      <c r="I804" s="4" t="s">
        <v>4087</v>
      </c>
      <c r="J804" s="6">
        <v>45638</v>
      </c>
      <c r="K804" s="4">
        <f>VLOOKUP(G804,Exchange_Rates!A:B,2,FALSE)</f>
        <v>0.73</v>
      </c>
      <c r="L804" s="4">
        <f t="shared" si="12"/>
        <v>47.639800000000001</v>
      </c>
    </row>
    <row r="805" spans="1:12" x14ac:dyDescent="0.25">
      <c r="A805" s="4" t="s">
        <v>4987</v>
      </c>
      <c r="B805" s="4" t="s">
        <v>4368</v>
      </c>
      <c r="C805" s="6">
        <v>45238</v>
      </c>
      <c r="D805" s="4" t="s">
        <v>4069</v>
      </c>
      <c r="E805" s="4" t="s">
        <v>4054</v>
      </c>
      <c r="F805" s="4">
        <v>62.15</v>
      </c>
      <c r="G805" s="4" t="s">
        <v>42</v>
      </c>
      <c r="H805" s="4" t="s">
        <v>4097</v>
      </c>
      <c r="I805" s="4" t="s">
        <v>4070</v>
      </c>
      <c r="J805" s="4"/>
      <c r="K805" s="4">
        <f>VLOOKUP(G805,Exchange_Rates!A:B,2,FALSE)</f>
        <v>0.66</v>
      </c>
      <c r="L805" s="4">
        <f t="shared" si="12"/>
        <v>41.018999999999998</v>
      </c>
    </row>
    <row r="806" spans="1:12" x14ac:dyDescent="0.25">
      <c r="A806" s="4" t="s">
        <v>4988</v>
      </c>
      <c r="B806" s="4" t="s">
        <v>4162</v>
      </c>
      <c r="C806" s="6">
        <v>45124</v>
      </c>
      <c r="D806" s="4" t="s">
        <v>4066</v>
      </c>
      <c r="E806" s="4" t="s">
        <v>4054</v>
      </c>
      <c r="F806" s="4">
        <v>740.44</v>
      </c>
      <c r="G806" s="4" t="s">
        <v>36</v>
      </c>
      <c r="H806" s="4" t="s">
        <v>4055</v>
      </c>
      <c r="I806" s="4" t="s">
        <v>4070</v>
      </c>
      <c r="J806" s="6">
        <v>45139</v>
      </c>
      <c r="K806" s="4">
        <f>VLOOKUP(G806,Exchange_Rates!A:B,2,FALSE)</f>
        <v>1.08</v>
      </c>
      <c r="L806" s="4">
        <f t="shared" si="12"/>
        <v>799.67520000000013</v>
      </c>
    </row>
    <row r="807" spans="1:12" x14ac:dyDescent="0.25">
      <c r="A807" s="4" t="s">
        <v>4989</v>
      </c>
      <c r="B807" s="4" t="s">
        <v>4242</v>
      </c>
      <c r="C807" s="6">
        <v>45502</v>
      </c>
      <c r="D807" s="4" t="s">
        <v>4062</v>
      </c>
      <c r="E807" s="4" t="s">
        <v>4054</v>
      </c>
      <c r="F807" s="4">
        <v>436.44</v>
      </c>
      <c r="G807" s="4" t="s">
        <v>45</v>
      </c>
      <c r="H807" s="4" t="s">
        <v>4063</v>
      </c>
      <c r="I807" s="4" t="s">
        <v>4056</v>
      </c>
      <c r="J807" s="4"/>
      <c r="K807" s="4">
        <f>VLOOKUP(G807,Exchange_Rates!A:B,2,FALSE)</f>
        <v>1</v>
      </c>
      <c r="L807" s="4">
        <f t="shared" si="12"/>
        <v>436.44</v>
      </c>
    </row>
    <row r="808" spans="1:12" x14ac:dyDescent="0.25">
      <c r="A808" s="4" t="s">
        <v>4990</v>
      </c>
      <c r="B808" s="4" t="s">
        <v>4103</v>
      </c>
      <c r="C808" s="6">
        <v>45774</v>
      </c>
      <c r="D808" s="4" t="s">
        <v>4069</v>
      </c>
      <c r="E808" s="4" t="s">
        <v>4054</v>
      </c>
      <c r="F808" s="4">
        <v>390.44</v>
      </c>
      <c r="G808" s="4" t="s">
        <v>36</v>
      </c>
      <c r="H808" s="4" t="s">
        <v>4059</v>
      </c>
      <c r="I808" s="4" t="s">
        <v>4087</v>
      </c>
      <c r="J808" s="4"/>
      <c r="K808" s="4">
        <f>VLOOKUP(G808,Exchange_Rates!A:B,2,FALSE)</f>
        <v>1.08</v>
      </c>
      <c r="L808" s="4">
        <f t="shared" si="12"/>
        <v>421.67520000000002</v>
      </c>
    </row>
    <row r="809" spans="1:12" x14ac:dyDescent="0.25">
      <c r="A809" s="4" t="s">
        <v>4991</v>
      </c>
      <c r="B809" s="4" t="s">
        <v>4058</v>
      </c>
      <c r="C809" s="6">
        <v>45693</v>
      </c>
      <c r="D809" s="4" t="s">
        <v>4062</v>
      </c>
      <c r="E809" s="4" t="s">
        <v>4054</v>
      </c>
      <c r="F809" s="4">
        <v>538.08000000000004</v>
      </c>
      <c r="G809" s="4" t="s">
        <v>42</v>
      </c>
      <c r="H809" s="4" t="s">
        <v>4063</v>
      </c>
      <c r="I809" s="4" t="s">
        <v>4087</v>
      </c>
      <c r="J809" s="4"/>
      <c r="K809" s="4">
        <f>VLOOKUP(G809,Exchange_Rates!A:B,2,FALSE)</f>
        <v>0.66</v>
      </c>
      <c r="L809" s="4">
        <f t="shared" si="12"/>
        <v>355.13280000000003</v>
      </c>
    </row>
    <row r="810" spans="1:12" x14ac:dyDescent="0.25">
      <c r="A810" s="4" t="s">
        <v>4992</v>
      </c>
      <c r="B810" s="4" t="s">
        <v>4251</v>
      </c>
      <c r="C810" s="6">
        <v>45549</v>
      </c>
      <c r="D810" s="4" t="s">
        <v>4069</v>
      </c>
      <c r="E810" s="4" t="s">
        <v>4054</v>
      </c>
      <c r="F810" s="4">
        <v>677.13</v>
      </c>
      <c r="G810" s="4" t="s">
        <v>42</v>
      </c>
      <c r="H810" s="4" t="s">
        <v>4063</v>
      </c>
      <c r="I810" s="4" t="s">
        <v>4056</v>
      </c>
      <c r="J810" s="4"/>
      <c r="K810" s="4">
        <f>VLOOKUP(G810,Exchange_Rates!A:B,2,FALSE)</f>
        <v>0.66</v>
      </c>
      <c r="L810" s="4">
        <f t="shared" si="12"/>
        <v>446.9058</v>
      </c>
    </row>
    <row r="811" spans="1:12" x14ac:dyDescent="0.25">
      <c r="A811" s="4" t="s">
        <v>4993</v>
      </c>
      <c r="B811" s="4" t="s">
        <v>4076</v>
      </c>
      <c r="C811" s="6">
        <v>45246</v>
      </c>
      <c r="D811" s="4" t="s">
        <v>4066</v>
      </c>
      <c r="E811" s="4" t="s">
        <v>4054</v>
      </c>
      <c r="F811" s="4">
        <v>433.41</v>
      </c>
      <c r="G811" s="4" t="s">
        <v>64</v>
      </c>
      <c r="H811" s="4" t="s">
        <v>4055</v>
      </c>
      <c r="I811" s="4" t="s">
        <v>4070</v>
      </c>
      <c r="J811" s="6">
        <v>45261</v>
      </c>
      <c r="K811" s="4">
        <f>VLOOKUP(G811,Exchange_Rates!A:B,2,FALSE)</f>
        <v>0.73</v>
      </c>
      <c r="L811" s="4">
        <f t="shared" si="12"/>
        <v>316.38929999999999</v>
      </c>
    </row>
    <row r="812" spans="1:12" x14ac:dyDescent="0.25">
      <c r="A812" s="4" t="s">
        <v>4994</v>
      </c>
      <c r="B812" s="4" t="s">
        <v>4197</v>
      </c>
      <c r="C812" s="6">
        <v>45827</v>
      </c>
      <c r="D812" s="4" t="s">
        <v>4066</v>
      </c>
      <c r="E812" s="4" t="s">
        <v>4054</v>
      </c>
      <c r="F812" s="4">
        <v>740.98</v>
      </c>
      <c r="G812" s="4" t="s">
        <v>42</v>
      </c>
      <c r="H812" s="4" t="s">
        <v>4055</v>
      </c>
      <c r="I812" s="4" t="s">
        <v>4070</v>
      </c>
      <c r="J812" s="6">
        <v>45842</v>
      </c>
      <c r="K812" s="4">
        <f>VLOOKUP(G812,Exchange_Rates!A:B,2,FALSE)</f>
        <v>0.66</v>
      </c>
      <c r="L812" s="4">
        <f t="shared" si="12"/>
        <v>489.04680000000002</v>
      </c>
    </row>
    <row r="813" spans="1:12" x14ac:dyDescent="0.25">
      <c r="A813" s="4" t="s">
        <v>4995</v>
      </c>
      <c r="B813" s="4" t="s">
        <v>4421</v>
      </c>
      <c r="C813" s="6">
        <v>45219</v>
      </c>
      <c r="D813" s="4" t="s">
        <v>4069</v>
      </c>
      <c r="E813" s="4" t="s">
        <v>4054</v>
      </c>
      <c r="F813" s="4">
        <v>269.24</v>
      </c>
      <c r="G813" s="4" t="s">
        <v>42</v>
      </c>
      <c r="H813" s="4" t="s">
        <v>4063</v>
      </c>
      <c r="I813" s="4" t="s">
        <v>4070</v>
      </c>
      <c r="J813" s="4"/>
      <c r="K813" s="4">
        <f>VLOOKUP(G813,Exchange_Rates!A:B,2,FALSE)</f>
        <v>0.66</v>
      </c>
      <c r="L813" s="4">
        <f t="shared" si="12"/>
        <v>177.69840000000002</v>
      </c>
    </row>
    <row r="814" spans="1:12" x14ac:dyDescent="0.25">
      <c r="A814" s="4" t="s">
        <v>4996</v>
      </c>
      <c r="B814" s="4" t="s">
        <v>4202</v>
      </c>
      <c r="C814" s="6">
        <v>45415</v>
      </c>
      <c r="D814" s="4" t="s">
        <v>4069</v>
      </c>
      <c r="E814" s="4" t="s">
        <v>4054</v>
      </c>
      <c r="F814" s="4">
        <v>490.15</v>
      </c>
      <c r="G814" s="4" t="s">
        <v>36</v>
      </c>
      <c r="H814" s="4" t="s">
        <v>4097</v>
      </c>
      <c r="I814" s="4" t="s">
        <v>4056</v>
      </c>
      <c r="J814" s="4"/>
      <c r="K814" s="4">
        <f>VLOOKUP(G814,Exchange_Rates!A:B,2,FALSE)</f>
        <v>1.08</v>
      </c>
      <c r="L814" s="4">
        <f t="shared" si="12"/>
        <v>529.36199999999997</v>
      </c>
    </row>
    <row r="815" spans="1:12" x14ac:dyDescent="0.25">
      <c r="A815" s="4" t="s">
        <v>4997</v>
      </c>
      <c r="B815" s="4" t="s">
        <v>4626</v>
      </c>
      <c r="C815" s="6">
        <v>44943</v>
      </c>
      <c r="D815" s="4" t="s">
        <v>4069</v>
      </c>
      <c r="E815" s="4" t="s">
        <v>4054</v>
      </c>
      <c r="F815" s="4">
        <v>236.1</v>
      </c>
      <c r="G815" s="4" t="s">
        <v>28</v>
      </c>
      <c r="H815" s="4" t="s">
        <v>4055</v>
      </c>
      <c r="I815" s="4" t="s">
        <v>4056</v>
      </c>
      <c r="J815" s="6">
        <v>44958</v>
      </c>
      <c r="K815" s="4">
        <f>VLOOKUP(G815,Exchange_Rates!A:B,2,FALSE)</f>
        <v>1.27</v>
      </c>
      <c r="L815" s="4">
        <f t="shared" si="12"/>
        <v>299.84699999999998</v>
      </c>
    </row>
    <row r="816" spans="1:12" x14ac:dyDescent="0.25">
      <c r="A816" s="4" t="s">
        <v>4998</v>
      </c>
      <c r="B816" s="4" t="s">
        <v>4515</v>
      </c>
      <c r="C816" s="6">
        <v>45459</v>
      </c>
      <c r="D816" s="4" t="s">
        <v>4096</v>
      </c>
      <c r="E816" s="4" t="s">
        <v>4054</v>
      </c>
      <c r="F816" s="4">
        <v>177.17</v>
      </c>
      <c r="G816" s="4" t="s">
        <v>45</v>
      </c>
      <c r="H816" s="4" t="s">
        <v>4063</v>
      </c>
      <c r="I816" s="4" t="s">
        <v>4087</v>
      </c>
      <c r="J816" s="4"/>
      <c r="K816" s="4">
        <f>VLOOKUP(G816,Exchange_Rates!A:B,2,FALSE)</f>
        <v>1</v>
      </c>
      <c r="L816" s="4">
        <f t="shared" si="12"/>
        <v>177.17</v>
      </c>
    </row>
    <row r="817" spans="1:12" x14ac:dyDescent="0.25">
      <c r="A817" s="4" t="s">
        <v>4999</v>
      </c>
      <c r="B817" s="4" t="s">
        <v>4251</v>
      </c>
      <c r="C817" s="6">
        <v>45083</v>
      </c>
      <c r="D817" s="4" t="s">
        <v>4062</v>
      </c>
      <c r="E817" s="4" t="s">
        <v>4054</v>
      </c>
      <c r="F817" s="4">
        <v>30.64</v>
      </c>
      <c r="G817" s="4" t="s">
        <v>28</v>
      </c>
      <c r="H817" s="4" t="s">
        <v>4097</v>
      </c>
      <c r="I817" s="4" t="s">
        <v>4056</v>
      </c>
      <c r="J817" s="4"/>
      <c r="K817" s="4">
        <f>VLOOKUP(G817,Exchange_Rates!A:B,2,FALSE)</f>
        <v>1.27</v>
      </c>
      <c r="L817" s="4">
        <f t="shared" si="12"/>
        <v>38.912800000000004</v>
      </c>
    </row>
    <row r="818" spans="1:12" x14ac:dyDescent="0.25">
      <c r="A818" s="4" t="s">
        <v>5000</v>
      </c>
      <c r="B818" s="4" t="s">
        <v>4558</v>
      </c>
      <c r="C818" s="6">
        <v>45736</v>
      </c>
      <c r="D818" s="4" t="s">
        <v>4066</v>
      </c>
      <c r="E818" s="4" t="s">
        <v>4054</v>
      </c>
      <c r="F818" s="4">
        <v>40.58</v>
      </c>
      <c r="G818" s="4" t="s">
        <v>64</v>
      </c>
      <c r="H818" s="4" t="s">
        <v>4097</v>
      </c>
      <c r="I818" s="4" t="s">
        <v>4070</v>
      </c>
      <c r="J818" s="4"/>
      <c r="K818" s="4">
        <f>VLOOKUP(G818,Exchange_Rates!A:B,2,FALSE)</f>
        <v>0.73</v>
      </c>
      <c r="L818" s="4">
        <f t="shared" si="12"/>
        <v>29.623399999999997</v>
      </c>
    </row>
    <row r="819" spans="1:12" x14ac:dyDescent="0.25">
      <c r="A819" s="4" t="s">
        <v>5001</v>
      </c>
      <c r="B819" s="4" t="s">
        <v>4304</v>
      </c>
      <c r="C819" s="6">
        <v>45612</v>
      </c>
      <c r="D819" s="4" t="s">
        <v>4066</v>
      </c>
      <c r="E819" s="4" t="s">
        <v>4054</v>
      </c>
      <c r="F819" s="4">
        <v>531.97</v>
      </c>
      <c r="G819" s="4" t="s">
        <v>36</v>
      </c>
      <c r="H819" s="4" t="s">
        <v>4063</v>
      </c>
      <c r="I819" s="4" t="s">
        <v>4056</v>
      </c>
      <c r="J819" s="4"/>
      <c r="K819" s="4">
        <f>VLOOKUP(G819,Exchange_Rates!A:B,2,FALSE)</f>
        <v>1.08</v>
      </c>
      <c r="L819" s="4">
        <f t="shared" si="12"/>
        <v>574.52760000000012</v>
      </c>
    </row>
    <row r="820" spans="1:12" x14ac:dyDescent="0.25">
      <c r="A820" s="4" t="s">
        <v>5002</v>
      </c>
      <c r="B820" s="4" t="s">
        <v>4428</v>
      </c>
      <c r="C820" s="6">
        <v>45356</v>
      </c>
      <c r="D820" s="4" t="s">
        <v>4069</v>
      </c>
      <c r="E820" s="4" t="s">
        <v>4054</v>
      </c>
      <c r="F820" s="4">
        <v>278.98</v>
      </c>
      <c r="G820" s="4" t="s">
        <v>45</v>
      </c>
      <c r="H820" s="4" t="s">
        <v>4063</v>
      </c>
      <c r="I820" s="4" t="s">
        <v>4087</v>
      </c>
      <c r="J820" s="4"/>
      <c r="K820" s="4">
        <f>VLOOKUP(G820,Exchange_Rates!A:B,2,FALSE)</f>
        <v>1</v>
      </c>
      <c r="L820" s="4">
        <f t="shared" si="12"/>
        <v>278.98</v>
      </c>
    </row>
    <row r="821" spans="1:12" x14ac:dyDescent="0.25">
      <c r="A821" s="4" t="s">
        <v>5003</v>
      </c>
      <c r="B821" s="4" t="s">
        <v>4080</v>
      </c>
      <c r="C821" s="6">
        <v>44993</v>
      </c>
      <c r="D821" s="4" t="s">
        <v>4066</v>
      </c>
      <c r="E821" s="4" t="s">
        <v>4054</v>
      </c>
      <c r="F821" s="4">
        <v>558.29</v>
      </c>
      <c r="G821" s="4" t="s">
        <v>36</v>
      </c>
      <c r="H821" s="4" t="s">
        <v>4063</v>
      </c>
      <c r="I821" s="4" t="s">
        <v>4087</v>
      </c>
      <c r="J821" s="4"/>
      <c r="K821" s="4">
        <f>VLOOKUP(G821,Exchange_Rates!A:B,2,FALSE)</f>
        <v>1.08</v>
      </c>
      <c r="L821" s="4">
        <f t="shared" si="12"/>
        <v>602.95320000000004</v>
      </c>
    </row>
    <row r="822" spans="1:12" x14ac:dyDescent="0.25">
      <c r="A822" s="4" t="s">
        <v>5004</v>
      </c>
      <c r="B822" s="4" t="s">
        <v>4450</v>
      </c>
      <c r="C822" s="6">
        <v>45018</v>
      </c>
      <c r="D822" s="4" t="s">
        <v>4096</v>
      </c>
      <c r="E822" s="4" t="s">
        <v>4054</v>
      </c>
      <c r="F822" s="4">
        <v>261.19</v>
      </c>
      <c r="G822" s="4" t="s">
        <v>64</v>
      </c>
      <c r="H822" s="4" t="s">
        <v>4097</v>
      </c>
      <c r="I822" s="4" t="s">
        <v>4056</v>
      </c>
      <c r="J822" s="4"/>
      <c r="K822" s="4">
        <f>VLOOKUP(G822,Exchange_Rates!A:B,2,FALSE)</f>
        <v>0.73</v>
      </c>
      <c r="L822" s="4">
        <f t="shared" si="12"/>
        <v>190.6687</v>
      </c>
    </row>
    <row r="823" spans="1:12" x14ac:dyDescent="0.25">
      <c r="A823" s="4" t="s">
        <v>5005</v>
      </c>
      <c r="B823" s="4" t="s">
        <v>4378</v>
      </c>
      <c r="C823" s="6">
        <v>45632</v>
      </c>
      <c r="D823" s="4" t="s">
        <v>4069</v>
      </c>
      <c r="E823" s="4" t="s">
        <v>4054</v>
      </c>
      <c r="F823" s="4">
        <v>512.29</v>
      </c>
      <c r="G823" s="4" t="s">
        <v>42</v>
      </c>
      <c r="H823" s="4" t="s">
        <v>4059</v>
      </c>
      <c r="I823" s="4" t="s">
        <v>4056</v>
      </c>
      <c r="J823" s="4"/>
      <c r="K823" s="4">
        <f>VLOOKUP(G823,Exchange_Rates!A:B,2,FALSE)</f>
        <v>0.66</v>
      </c>
      <c r="L823" s="4">
        <f t="shared" si="12"/>
        <v>338.1114</v>
      </c>
    </row>
    <row r="824" spans="1:12" x14ac:dyDescent="0.25">
      <c r="A824" s="4" t="s">
        <v>5006</v>
      </c>
      <c r="B824" s="4" t="s">
        <v>4797</v>
      </c>
      <c r="C824" s="6">
        <v>45385</v>
      </c>
      <c r="D824" s="4" t="s">
        <v>4069</v>
      </c>
      <c r="E824" s="4" t="s">
        <v>4054</v>
      </c>
      <c r="F824" s="4">
        <v>255.04</v>
      </c>
      <c r="G824" s="4" t="s">
        <v>45</v>
      </c>
      <c r="H824" s="4" t="s">
        <v>4055</v>
      </c>
      <c r="I824" s="4" t="s">
        <v>4087</v>
      </c>
      <c r="J824" s="6">
        <v>45400</v>
      </c>
      <c r="K824" s="4">
        <f>VLOOKUP(G824,Exchange_Rates!A:B,2,FALSE)</f>
        <v>1</v>
      </c>
      <c r="L824" s="4">
        <f t="shared" si="12"/>
        <v>255.04</v>
      </c>
    </row>
    <row r="825" spans="1:12" x14ac:dyDescent="0.25">
      <c r="A825" s="4" t="s">
        <v>5007</v>
      </c>
      <c r="B825" s="4" t="s">
        <v>4330</v>
      </c>
      <c r="C825" s="6">
        <v>44934</v>
      </c>
      <c r="D825" s="4" t="s">
        <v>4066</v>
      </c>
      <c r="E825" s="4" t="s">
        <v>4054</v>
      </c>
      <c r="F825" s="4">
        <v>51.41</v>
      </c>
      <c r="G825" s="4" t="s">
        <v>64</v>
      </c>
      <c r="H825" s="4" t="s">
        <v>4097</v>
      </c>
      <c r="I825" s="4" t="s">
        <v>4056</v>
      </c>
      <c r="J825" s="4"/>
      <c r="K825" s="4">
        <f>VLOOKUP(G825,Exchange_Rates!A:B,2,FALSE)</f>
        <v>0.73</v>
      </c>
      <c r="L825" s="4">
        <f t="shared" si="12"/>
        <v>37.529299999999999</v>
      </c>
    </row>
    <row r="826" spans="1:12" x14ac:dyDescent="0.25">
      <c r="A826" s="4" t="s">
        <v>5008</v>
      </c>
      <c r="B826" s="4" t="s">
        <v>4129</v>
      </c>
      <c r="C826" s="6">
        <v>45053</v>
      </c>
      <c r="D826" s="4" t="s">
        <v>4069</v>
      </c>
      <c r="E826" s="4" t="s">
        <v>4054</v>
      </c>
      <c r="F826" s="4">
        <v>376.79</v>
      </c>
      <c r="G826" s="4" t="s">
        <v>36</v>
      </c>
      <c r="H826" s="4" t="s">
        <v>4059</v>
      </c>
      <c r="I826" s="4" t="s">
        <v>4056</v>
      </c>
      <c r="J826" s="4"/>
      <c r="K826" s="4">
        <f>VLOOKUP(G826,Exchange_Rates!A:B,2,FALSE)</f>
        <v>1.08</v>
      </c>
      <c r="L826" s="4">
        <f t="shared" si="12"/>
        <v>406.93320000000006</v>
      </c>
    </row>
    <row r="827" spans="1:12" x14ac:dyDescent="0.25">
      <c r="A827" s="4" t="s">
        <v>5009</v>
      </c>
      <c r="B827" s="4" t="s">
        <v>4095</v>
      </c>
      <c r="C827" s="6">
        <v>45241</v>
      </c>
      <c r="D827" s="4" t="s">
        <v>4053</v>
      </c>
      <c r="E827" s="4" t="s">
        <v>4054</v>
      </c>
      <c r="F827" s="4">
        <v>59.56</v>
      </c>
      <c r="G827" s="4" t="s">
        <v>36</v>
      </c>
      <c r="H827" s="4" t="s">
        <v>4097</v>
      </c>
      <c r="I827" s="4" t="s">
        <v>4070</v>
      </c>
      <c r="J827" s="4"/>
      <c r="K827" s="4">
        <f>VLOOKUP(G827,Exchange_Rates!A:B,2,FALSE)</f>
        <v>1.08</v>
      </c>
      <c r="L827" s="4">
        <f t="shared" si="12"/>
        <v>64.32480000000001</v>
      </c>
    </row>
    <row r="828" spans="1:12" x14ac:dyDescent="0.25">
      <c r="A828" s="4" t="s">
        <v>5010</v>
      </c>
      <c r="B828" s="4" t="s">
        <v>4132</v>
      </c>
      <c r="C828" s="6">
        <v>45677</v>
      </c>
      <c r="D828" s="4" t="s">
        <v>4062</v>
      </c>
      <c r="E828" s="4" t="s">
        <v>4054</v>
      </c>
      <c r="F828" s="4">
        <v>615.04999999999995</v>
      </c>
      <c r="G828" s="4" t="s">
        <v>28</v>
      </c>
      <c r="H828" s="4" t="s">
        <v>4055</v>
      </c>
      <c r="I828" s="4" t="s">
        <v>4087</v>
      </c>
      <c r="J828" s="6">
        <v>45692</v>
      </c>
      <c r="K828" s="4">
        <f>VLOOKUP(G828,Exchange_Rates!A:B,2,FALSE)</f>
        <v>1.27</v>
      </c>
      <c r="L828" s="4">
        <f t="shared" si="12"/>
        <v>781.11349999999993</v>
      </c>
    </row>
    <row r="829" spans="1:12" x14ac:dyDescent="0.25">
      <c r="A829" s="4" t="s">
        <v>5011</v>
      </c>
      <c r="B829" s="4" t="s">
        <v>4295</v>
      </c>
      <c r="C829" s="6">
        <v>45498</v>
      </c>
      <c r="D829" s="4" t="s">
        <v>4053</v>
      </c>
      <c r="E829" s="4" t="s">
        <v>4054</v>
      </c>
      <c r="F829" s="4">
        <v>673.43</v>
      </c>
      <c r="G829" s="4" t="s">
        <v>36</v>
      </c>
      <c r="H829" s="4" t="s">
        <v>4097</v>
      </c>
      <c r="I829" s="4" t="s">
        <v>4056</v>
      </c>
      <c r="J829" s="4"/>
      <c r="K829" s="4">
        <f>VLOOKUP(G829,Exchange_Rates!A:B,2,FALSE)</f>
        <v>1.08</v>
      </c>
      <c r="L829" s="4">
        <f t="shared" si="12"/>
        <v>727.30439999999999</v>
      </c>
    </row>
    <row r="830" spans="1:12" x14ac:dyDescent="0.25">
      <c r="A830" s="4" t="s">
        <v>5012</v>
      </c>
      <c r="B830" s="4" t="s">
        <v>4150</v>
      </c>
      <c r="C830" s="6">
        <v>45679</v>
      </c>
      <c r="D830" s="4" t="s">
        <v>4062</v>
      </c>
      <c r="E830" s="4" t="s">
        <v>4054</v>
      </c>
      <c r="F830" s="4">
        <v>628.6</v>
      </c>
      <c r="G830" s="4" t="s">
        <v>28</v>
      </c>
      <c r="H830" s="4" t="s">
        <v>4097</v>
      </c>
      <c r="I830" s="4" t="s">
        <v>4087</v>
      </c>
      <c r="J830" s="4"/>
      <c r="K830" s="4">
        <f>VLOOKUP(G830,Exchange_Rates!A:B,2,FALSE)</f>
        <v>1.27</v>
      </c>
      <c r="L830" s="4">
        <f t="shared" si="12"/>
        <v>798.322</v>
      </c>
    </row>
    <row r="831" spans="1:12" x14ac:dyDescent="0.25">
      <c r="A831" s="4" t="s">
        <v>5013</v>
      </c>
      <c r="B831" s="4" t="s">
        <v>4178</v>
      </c>
      <c r="C831" s="6">
        <v>45291</v>
      </c>
      <c r="D831" s="4" t="s">
        <v>4096</v>
      </c>
      <c r="E831" s="4" t="s">
        <v>4054</v>
      </c>
      <c r="F831" s="4">
        <v>333.87</v>
      </c>
      <c r="G831" s="4" t="s">
        <v>42</v>
      </c>
      <c r="H831" s="4" t="s">
        <v>4097</v>
      </c>
      <c r="I831" s="4" t="s">
        <v>4070</v>
      </c>
      <c r="J831" s="4"/>
      <c r="K831" s="4">
        <f>VLOOKUP(G831,Exchange_Rates!A:B,2,FALSE)</f>
        <v>0.66</v>
      </c>
      <c r="L831" s="4">
        <f t="shared" si="12"/>
        <v>220.35420000000002</v>
      </c>
    </row>
    <row r="832" spans="1:12" x14ac:dyDescent="0.25">
      <c r="A832" s="4" t="s">
        <v>5014</v>
      </c>
      <c r="B832" s="4" t="s">
        <v>4935</v>
      </c>
      <c r="C832" s="6">
        <v>45786</v>
      </c>
      <c r="D832" s="4" t="s">
        <v>4069</v>
      </c>
      <c r="E832" s="4" t="s">
        <v>4054</v>
      </c>
      <c r="F832" s="4">
        <v>688.36</v>
      </c>
      <c r="G832" s="4" t="s">
        <v>64</v>
      </c>
      <c r="H832" s="4" t="s">
        <v>4059</v>
      </c>
      <c r="I832" s="4" t="s">
        <v>4087</v>
      </c>
      <c r="J832" s="4"/>
      <c r="K832" s="4">
        <f>VLOOKUP(G832,Exchange_Rates!A:B,2,FALSE)</f>
        <v>0.73</v>
      </c>
      <c r="L832" s="4">
        <f t="shared" si="12"/>
        <v>502.50279999999998</v>
      </c>
    </row>
    <row r="833" spans="1:12" x14ac:dyDescent="0.25">
      <c r="A833" s="4" t="s">
        <v>5015</v>
      </c>
      <c r="B833" s="4" t="s">
        <v>4475</v>
      </c>
      <c r="C833" s="6">
        <v>45020</v>
      </c>
      <c r="D833" s="4" t="s">
        <v>4053</v>
      </c>
      <c r="E833" s="4" t="s">
        <v>4054</v>
      </c>
      <c r="F833" s="4">
        <v>508.04</v>
      </c>
      <c r="G833" s="4" t="s">
        <v>64</v>
      </c>
      <c r="H833" s="4" t="s">
        <v>4063</v>
      </c>
      <c r="I833" s="4" t="s">
        <v>4070</v>
      </c>
      <c r="J833" s="4"/>
      <c r="K833" s="4">
        <f>VLOOKUP(G833,Exchange_Rates!A:B,2,FALSE)</f>
        <v>0.73</v>
      </c>
      <c r="L833" s="4">
        <f t="shared" si="12"/>
        <v>370.86919999999998</v>
      </c>
    </row>
    <row r="834" spans="1:12" x14ac:dyDescent="0.25">
      <c r="A834" s="4" t="s">
        <v>5016</v>
      </c>
      <c r="B834" s="4" t="s">
        <v>4089</v>
      </c>
      <c r="C834" s="6">
        <v>44997</v>
      </c>
      <c r="D834" s="4" t="s">
        <v>4053</v>
      </c>
      <c r="E834" s="4" t="s">
        <v>4054</v>
      </c>
      <c r="F834" s="4">
        <v>177.4</v>
      </c>
      <c r="G834" s="4" t="s">
        <v>45</v>
      </c>
      <c r="H834" s="4" t="s">
        <v>4097</v>
      </c>
      <c r="I834" s="4" t="s">
        <v>4087</v>
      </c>
      <c r="J834" s="4"/>
      <c r="K834" s="4">
        <f>VLOOKUP(G834,Exchange_Rates!A:B,2,FALSE)</f>
        <v>1</v>
      </c>
      <c r="L834" s="4">
        <f t="shared" si="12"/>
        <v>177.4</v>
      </c>
    </row>
    <row r="835" spans="1:12" x14ac:dyDescent="0.25">
      <c r="A835" s="4" t="s">
        <v>5017</v>
      </c>
      <c r="B835" s="4" t="s">
        <v>4108</v>
      </c>
      <c r="C835" s="6">
        <v>44949</v>
      </c>
      <c r="D835" s="4" t="s">
        <v>4096</v>
      </c>
      <c r="E835" s="4" t="s">
        <v>4054</v>
      </c>
      <c r="F835" s="4">
        <v>88.06</v>
      </c>
      <c r="G835" s="4" t="s">
        <v>45</v>
      </c>
      <c r="H835" s="4" t="s">
        <v>4097</v>
      </c>
      <c r="I835" s="4" t="s">
        <v>4056</v>
      </c>
      <c r="J835" s="4"/>
      <c r="K835" s="4">
        <f>VLOOKUP(G835,Exchange_Rates!A:B,2,FALSE)</f>
        <v>1</v>
      </c>
      <c r="L835" s="4">
        <f t="shared" ref="L835:L898" si="13">F835*K835</f>
        <v>88.06</v>
      </c>
    </row>
    <row r="836" spans="1:12" x14ac:dyDescent="0.25">
      <c r="A836" s="4" t="s">
        <v>5018</v>
      </c>
      <c r="B836" s="4" t="s">
        <v>4242</v>
      </c>
      <c r="C836" s="6">
        <v>45561</v>
      </c>
      <c r="D836" s="4" t="s">
        <v>4053</v>
      </c>
      <c r="E836" s="4" t="s">
        <v>4054</v>
      </c>
      <c r="F836" s="4">
        <v>461.36</v>
      </c>
      <c r="G836" s="4" t="s">
        <v>36</v>
      </c>
      <c r="H836" s="4" t="s">
        <v>4059</v>
      </c>
      <c r="I836" s="4" t="s">
        <v>4087</v>
      </c>
      <c r="J836" s="4"/>
      <c r="K836" s="4">
        <f>VLOOKUP(G836,Exchange_Rates!A:B,2,FALSE)</f>
        <v>1.08</v>
      </c>
      <c r="L836" s="4">
        <f t="shared" si="13"/>
        <v>498.26880000000006</v>
      </c>
    </row>
    <row r="837" spans="1:12" x14ac:dyDescent="0.25">
      <c r="A837" s="4" t="s">
        <v>5019</v>
      </c>
      <c r="B837" s="4" t="s">
        <v>4138</v>
      </c>
      <c r="C837" s="6">
        <v>45567</v>
      </c>
      <c r="D837" s="4" t="s">
        <v>4069</v>
      </c>
      <c r="E837" s="4" t="s">
        <v>4054</v>
      </c>
      <c r="F837" s="4">
        <v>525.75</v>
      </c>
      <c r="G837" s="4" t="s">
        <v>36</v>
      </c>
      <c r="H837" s="4" t="s">
        <v>4097</v>
      </c>
      <c r="I837" s="4" t="s">
        <v>4087</v>
      </c>
      <c r="J837" s="4"/>
      <c r="K837" s="4">
        <f>VLOOKUP(G837,Exchange_Rates!A:B,2,FALSE)</f>
        <v>1.08</v>
      </c>
      <c r="L837" s="4">
        <f t="shared" si="13"/>
        <v>567.81000000000006</v>
      </c>
    </row>
    <row r="838" spans="1:12" x14ac:dyDescent="0.25">
      <c r="A838" s="4" t="s">
        <v>5020</v>
      </c>
      <c r="B838" s="4" t="s">
        <v>4052</v>
      </c>
      <c r="C838" s="6">
        <v>45676</v>
      </c>
      <c r="D838" s="4" t="s">
        <v>4053</v>
      </c>
      <c r="E838" s="4" t="s">
        <v>4054</v>
      </c>
      <c r="F838" s="4">
        <v>757.02</v>
      </c>
      <c r="G838" s="4" t="s">
        <v>28</v>
      </c>
      <c r="H838" s="4" t="s">
        <v>4063</v>
      </c>
      <c r="I838" s="4" t="s">
        <v>4087</v>
      </c>
      <c r="J838" s="4"/>
      <c r="K838" s="4">
        <f>VLOOKUP(G838,Exchange_Rates!A:B,2,FALSE)</f>
        <v>1.27</v>
      </c>
      <c r="L838" s="4">
        <f t="shared" si="13"/>
        <v>961.41539999999998</v>
      </c>
    </row>
    <row r="839" spans="1:12" x14ac:dyDescent="0.25">
      <c r="A839" s="4" t="s">
        <v>5021</v>
      </c>
      <c r="B839" s="4" t="s">
        <v>4080</v>
      </c>
      <c r="C839" s="6">
        <v>45048</v>
      </c>
      <c r="D839" s="4" t="s">
        <v>4069</v>
      </c>
      <c r="E839" s="4" t="s">
        <v>4054</v>
      </c>
      <c r="F839" s="4">
        <v>260.39999999999998</v>
      </c>
      <c r="G839" s="4" t="s">
        <v>42</v>
      </c>
      <c r="H839" s="4" t="s">
        <v>4059</v>
      </c>
      <c r="I839" s="4" t="s">
        <v>4087</v>
      </c>
      <c r="J839" s="4"/>
      <c r="K839" s="4">
        <f>VLOOKUP(G839,Exchange_Rates!A:B,2,FALSE)</f>
        <v>0.66</v>
      </c>
      <c r="L839" s="4">
        <f t="shared" si="13"/>
        <v>171.864</v>
      </c>
    </row>
    <row r="840" spans="1:12" x14ac:dyDescent="0.25">
      <c r="A840" s="4" t="s">
        <v>5022</v>
      </c>
      <c r="B840" s="4" t="s">
        <v>4134</v>
      </c>
      <c r="C840" s="6">
        <v>45680</v>
      </c>
      <c r="D840" s="4" t="s">
        <v>4053</v>
      </c>
      <c r="E840" s="4" t="s">
        <v>4054</v>
      </c>
      <c r="F840" s="4">
        <v>235.02</v>
      </c>
      <c r="G840" s="4" t="s">
        <v>28</v>
      </c>
      <c r="H840" s="4" t="s">
        <v>4059</v>
      </c>
      <c r="I840" s="4" t="s">
        <v>4070</v>
      </c>
      <c r="J840" s="4"/>
      <c r="K840" s="4">
        <f>VLOOKUP(G840,Exchange_Rates!A:B,2,FALSE)</f>
        <v>1.27</v>
      </c>
      <c r="L840" s="4">
        <f t="shared" si="13"/>
        <v>298.47540000000004</v>
      </c>
    </row>
    <row r="841" spans="1:12" x14ac:dyDescent="0.25">
      <c r="A841" s="4" t="s">
        <v>5023</v>
      </c>
      <c r="B841" s="4" t="s">
        <v>4134</v>
      </c>
      <c r="C841" s="6">
        <v>45591</v>
      </c>
      <c r="D841" s="4" t="s">
        <v>4066</v>
      </c>
      <c r="E841" s="4" t="s">
        <v>4054</v>
      </c>
      <c r="F841" s="4">
        <v>284.58</v>
      </c>
      <c r="G841" s="4" t="s">
        <v>28</v>
      </c>
      <c r="H841" s="4" t="s">
        <v>4059</v>
      </c>
      <c r="I841" s="4" t="s">
        <v>4070</v>
      </c>
      <c r="J841" s="4"/>
      <c r="K841" s="4">
        <f>VLOOKUP(G841,Exchange_Rates!A:B,2,FALSE)</f>
        <v>1.27</v>
      </c>
      <c r="L841" s="4">
        <f t="shared" si="13"/>
        <v>361.41659999999996</v>
      </c>
    </row>
    <row r="842" spans="1:12" x14ac:dyDescent="0.25">
      <c r="A842" s="4" t="s">
        <v>5024</v>
      </c>
      <c r="B842" s="4" t="s">
        <v>4058</v>
      </c>
      <c r="C842" s="6">
        <v>44971</v>
      </c>
      <c r="D842" s="4" t="s">
        <v>4066</v>
      </c>
      <c r="E842" s="4" t="s">
        <v>4054</v>
      </c>
      <c r="F842" s="4">
        <v>681.36</v>
      </c>
      <c r="G842" s="4" t="s">
        <v>28</v>
      </c>
      <c r="H842" s="4" t="s">
        <v>4097</v>
      </c>
      <c r="I842" s="4" t="s">
        <v>4056</v>
      </c>
      <c r="J842" s="4"/>
      <c r="K842" s="4">
        <f>VLOOKUP(G842,Exchange_Rates!A:B,2,FALSE)</f>
        <v>1.27</v>
      </c>
      <c r="L842" s="4">
        <f t="shared" si="13"/>
        <v>865.32720000000006</v>
      </c>
    </row>
    <row r="843" spans="1:12" x14ac:dyDescent="0.25">
      <c r="A843" s="4" t="s">
        <v>5025</v>
      </c>
      <c r="B843" s="4" t="s">
        <v>4074</v>
      </c>
      <c r="C843" s="6">
        <v>45339</v>
      </c>
      <c r="D843" s="4" t="s">
        <v>4062</v>
      </c>
      <c r="E843" s="4" t="s">
        <v>4054</v>
      </c>
      <c r="F843" s="4">
        <v>44.93</v>
      </c>
      <c r="G843" s="4" t="s">
        <v>64</v>
      </c>
      <c r="H843" s="4" t="s">
        <v>4059</v>
      </c>
      <c r="I843" s="4" t="s">
        <v>4087</v>
      </c>
      <c r="J843" s="4"/>
      <c r="K843" s="4">
        <f>VLOOKUP(G843,Exchange_Rates!A:B,2,FALSE)</f>
        <v>0.73</v>
      </c>
      <c r="L843" s="4">
        <f t="shared" si="13"/>
        <v>32.798899999999996</v>
      </c>
    </row>
    <row r="844" spans="1:12" x14ac:dyDescent="0.25">
      <c r="A844" s="4" t="s">
        <v>5026</v>
      </c>
      <c r="B844" s="4" t="s">
        <v>4126</v>
      </c>
      <c r="C844" s="6">
        <v>45602</v>
      </c>
      <c r="D844" s="4" t="s">
        <v>4053</v>
      </c>
      <c r="E844" s="4" t="s">
        <v>4054</v>
      </c>
      <c r="F844" s="4">
        <v>300.66000000000003</v>
      </c>
      <c r="G844" s="4" t="s">
        <v>42</v>
      </c>
      <c r="H844" s="4" t="s">
        <v>4059</v>
      </c>
      <c r="I844" s="4" t="s">
        <v>4087</v>
      </c>
      <c r="J844" s="4"/>
      <c r="K844" s="4">
        <f>VLOOKUP(G844,Exchange_Rates!A:B,2,FALSE)</f>
        <v>0.66</v>
      </c>
      <c r="L844" s="4">
        <f t="shared" si="13"/>
        <v>198.43560000000002</v>
      </c>
    </row>
    <row r="845" spans="1:12" x14ac:dyDescent="0.25">
      <c r="A845" s="4" t="s">
        <v>5027</v>
      </c>
      <c r="B845" s="4" t="s">
        <v>4169</v>
      </c>
      <c r="C845" s="6">
        <v>45795</v>
      </c>
      <c r="D845" s="4" t="s">
        <v>4069</v>
      </c>
      <c r="E845" s="4" t="s">
        <v>4054</v>
      </c>
      <c r="F845" s="4">
        <v>213.48</v>
      </c>
      <c r="G845" s="4" t="s">
        <v>28</v>
      </c>
      <c r="H845" s="4" t="s">
        <v>4055</v>
      </c>
      <c r="I845" s="4" t="s">
        <v>4056</v>
      </c>
      <c r="J845" s="6">
        <v>45810</v>
      </c>
      <c r="K845" s="4">
        <f>VLOOKUP(G845,Exchange_Rates!A:B,2,FALSE)</f>
        <v>1.27</v>
      </c>
      <c r="L845" s="4">
        <f t="shared" si="13"/>
        <v>271.11959999999999</v>
      </c>
    </row>
    <row r="846" spans="1:12" x14ac:dyDescent="0.25">
      <c r="A846" s="4" t="s">
        <v>5028</v>
      </c>
      <c r="B846" s="4" t="s">
        <v>4569</v>
      </c>
      <c r="C846" s="6">
        <v>45414</v>
      </c>
      <c r="D846" s="4" t="s">
        <v>4069</v>
      </c>
      <c r="E846" s="4" t="s">
        <v>4054</v>
      </c>
      <c r="F846" s="4">
        <v>697.13</v>
      </c>
      <c r="G846" s="4" t="s">
        <v>36</v>
      </c>
      <c r="H846" s="4" t="s">
        <v>4063</v>
      </c>
      <c r="I846" s="4" t="s">
        <v>4070</v>
      </c>
      <c r="J846" s="4"/>
      <c r="K846" s="4">
        <f>VLOOKUP(G846,Exchange_Rates!A:B,2,FALSE)</f>
        <v>1.08</v>
      </c>
      <c r="L846" s="4">
        <f t="shared" si="13"/>
        <v>752.90039999999999</v>
      </c>
    </row>
    <row r="847" spans="1:12" x14ac:dyDescent="0.25">
      <c r="A847" s="4" t="s">
        <v>5029</v>
      </c>
      <c r="B847" s="4" t="s">
        <v>4302</v>
      </c>
      <c r="C847" s="6">
        <v>45500</v>
      </c>
      <c r="D847" s="4" t="s">
        <v>4062</v>
      </c>
      <c r="E847" s="4" t="s">
        <v>4054</v>
      </c>
      <c r="F847" s="4">
        <v>784.35</v>
      </c>
      <c r="G847" s="4" t="s">
        <v>28</v>
      </c>
      <c r="H847" s="4" t="s">
        <v>4059</v>
      </c>
      <c r="I847" s="4" t="s">
        <v>4087</v>
      </c>
      <c r="J847" s="4"/>
      <c r="K847" s="4">
        <f>VLOOKUP(G847,Exchange_Rates!A:B,2,FALSE)</f>
        <v>1.27</v>
      </c>
      <c r="L847" s="4">
        <f t="shared" si="13"/>
        <v>996.12450000000001</v>
      </c>
    </row>
    <row r="848" spans="1:12" x14ac:dyDescent="0.25">
      <c r="A848" s="4" t="s">
        <v>5030</v>
      </c>
      <c r="B848" s="4" t="s">
        <v>4405</v>
      </c>
      <c r="C848" s="6">
        <v>45443</v>
      </c>
      <c r="D848" s="4" t="s">
        <v>4066</v>
      </c>
      <c r="E848" s="4" t="s">
        <v>4054</v>
      </c>
      <c r="F848" s="4">
        <v>285.42</v>
      </c>
      <c r="G848" s="4" t="s">
        <v>64</v>
      </c>
      <c r="H848" s="4" t="s">
        <v>4055</v>
      </c>
      <c r="I848" s="4" t="s">
        <v>4087</v>
      </c>
      <c r="J848" s="6">
        <v>45458</v>
      </c>
      <c r="K848" s="4">
        <f>VLOOKUP(G848,Exchange_Rates!A:B,2,FALSE)</f>
        <v>0.73</v>
      </c>
      <c r="L848" s="4">
        <f t="shared" si="13"/>
        <v>208.35660000000001</v>
      </c>
    </row>
    <row r="849" spans="1:12" x14ac:dyDescent="0.25">
      <c r="A849" s="4" t="s">
        <v>5031</v>
      </c>
      <c r="B849" s="4" t="s">
        <v>4497</v>
      </c>
      <c r="C849" s="6">
        <v>45290</v>
      </c>
      <c r="D849" s="4" t="s">
        <v>4096</v>
      </c>
      <c r="E849" s="4" t="s">
        <v>4054</v>
      </c>
      <c r="F849" s="4">
        <v>712.96</v>
      </c>
      <c r="G849" s="4" t="s">
        <v>45</v>
      </c>
      <c r="H849" s="4" t="s">
        <v>4059</v>
      </c>
      <c r="I849" s="4" t="s">
        <v>4056</v>
      </c>
      <c r="J849" s="4"/>
      <c r="K849" s="4">
        <f>VLOOKUP(G849,Exchange_Rates!A:B,2,FALSE)</f>
        <v>1</v>
      </c>
      <c r="L849" s="4">
        <f t="shared" si="13"/>
        <v>712.96</v>
      </c>
    </row>
    <row r="850" spans="1:12" x14ac:dyDescent="0.25">
      <c r="A850" s="4" t="s">
        <v>5032</v>
      </c>
      <c r="B850" s="4" t="s">
        <v>4387</v>
      </c>
      <c r="C850" s="6">
        <v>45818</v>
      </c>
      <c r="D850" s="4" t="s">
        <v>4062</v>
      </c>
      <c r="E850" s="4" t="s">
        <v>4054</v>
      </c>
      <c r="F850" s="4">
        <v>137.21</v>
      </c>
      <c r="G850" s="4" t="s">
        <v>45</v>
      </c>
      <c r="H850" s="4" t="s">
        <v>4063</v>
      </c>
      <c r="I850" s="4" t="s">
        <v>4070</v>
      </c>
      <c r="J850" s="4"/>
      <c r="K850" s="4">
        <f>VLOOKUP(G850,Exchange_Rates!A:B,2,FALSE)</f>
        <v>1</v>
      </c>
      <c r="L850" s="4">
        <f t="shared" si="13"/>
        <v>137.21</v>
      </c>
    </row>
    <row r="851" spans="1:12" x14ac:dyDescent="0.25">
      <c r="A851" s="4" t="s">
        <v>5033</v>
      </c>
      <c r="B851" s="4" t="s">
        <v>4173</v>
      </c>
      <c r="C851" s="6">
        <v>45456</v>
      </c>
      <c r="D851" s="4" t="s">
        <v>4066</v>
      </c>
      <c r="E851" s="4" t="s">
        <v>4054</v>
      </c>
      <c r="F851" s="4">
        <v>475.92</v>
      </c>
      <c r="G851" s="4" t="s">
        <v>42</v>
      </c>
      <c r="H851" s="4" t="s">
        <v>4097</v>
      </c>
      <c r="I851" s="4" t="s">
        <v>4056</v>
      </c>
      <c r="J851" s="4"/>
      <c r="K851" s="4">
        <f>VLOOKUP(G851,Exchange_Rates!A:B,2,FALSE)</f>
        <v>0.66</v>
      </c>
      <c r="L851" s="4">
        <f t="shared" si="13"/>
        <v>314.10720000000003</v>
      </c>
    </row>
    <row r="852" spans="1:12" x14ac:dyDescent="0.25">
      <c r="A852" s="4" t="s">
        <v>5034</v>
      </c>
      <c r="B852" s="4" t="s">
        <v>4345</v>
      </c>
      <c r="C852" s="6">
        <v>45140</v>
      </c>
      <c r="D852" s="4" t="s">
        <v>4053</v>
      </c>
      <c r="E852" s="4" t="s">
        <v>4054</v>
      </c>
      <c r="F852" s="4">
        <v>220</v>
      </c>
      <c r="G852" s="4" t="s">
        <v>45</v>
      </c>
      <c r="H852" s="4" t="s">
        <v>4063</v>
      </c>
      <c r="I852" s="4" t="s">
        <v>4056</v>
      </c>
      <c r="J852" s="4"/>
      <c r="K852" s="4">
        <f>VLOOKUP(G852,Exchange_Rates!A:B,2,FALSE)</f>
        <v>1</v>
      </c>
      <c r="L852" s="4">
        <f t="shared" si="13"/>
        <v>220</v>
      </c>
    </row>
    <row r="853" spans="1:12" x14ac:dyDescent="0.25">
      <c r="A853" s="4" t="s">
        <v>5035</v>
      </c>
      <c r="B853" s="4" t="s">
        <v>4244</v>
      </c>
      <c r="C853" s="6">
        <v>45831</v>
      </c>
      <c r="D853" s="4" t="s">
        <v>4096</v>
      </c>
      <c r="E853" s="4" t="s">
        <v>4054</v>
      </c>
      <c r="F853" s="4">
        <v>360.51</v>
      </c>
      <c r="G853" s="4" t="s">
        <v>45</v>
      </c>
      <c r="H853" s="4" t="s">
        <v>4063</v>
      </c>
      <c r="I853" s="4" t="s">
        <v>4087</v>
      </c>
      <c r="J853" s="4"/>
      <c r="K853" s="4">
        <f>VLOOKUP(G853,Exchange_Rates!A:B,2,FALSE)</f>
        <v>1</v>
      </c>
      <c r="L853" s="4">
        <f t="shared" si="13"/>
        <v>360.51</v>
      </c>
    </row>
    <row r="854" spans="1:12" x14ac:dyDescent="0.25">
      <c r="A854" s="4" t="s">
        <v>5036</v>
      </c>
      <c r="B854" s="4" t="s">
        <v>4239</v>
      </c>
      <c r="C854" s="6">
        <v>45806</v>
      </c>
      <c r="D854" s="4" t="s">
        <v>4069</v>
      </c>
      <c r="E854" s="4" t="s">
        <v>4054</v>
      </c>
      <c r="F854" s="4">
        <v>394.89</v>
      </c>
      <c r="G854" s="4" t="s">
        <v>45</v>
      </c>
      <c r="H854" s="4" t="s">
        <v>4097</v>
      </c>
      <c r="I854" s="4" t="s">
        <v>4087</v>
      </c>
      <c r="J854" s="4"/>
      <c r="K854" s="4">
        <f>VLOOKUP(G854,Exchange_Rates!A:B,2,FALSE)</f>
        <v>1</v>
      </c>
      <c r="L854" s="4">
        <f t="shared" si="13"/>
        <v>394.89</v>
      </c>
    </row>
    <row r="855" spans="1:12" x14ac:dyDescent="0.25">
      <c r="A855" s="4" t="s">
        <v>5037</v>
      </c>
      <c r="B855" s="4" t="s">
        <v>4140</v>
      </c>
      <c r="C855" s="6">
        <v>45224</v>
      </c>
      <c r="D855" s="4" t="s">
        <v>4053</v>
      </c>
      <c r="E855" s="4" t="s">
        <v>4054</v>
      </c>
      <c r="F855" s="4">
        <v>43.08</v>
      </c>
      <c r="G855" s="4" t="s">
        <v>36</v>
      </c>
      <c r="H855" s="4" t="s">
        <v>4063</v>
      </c>
      <c r="I855" s="4" t="s">
        <v>4087</v>
      </c>
      <c r="J855" s="4"/>
      <c r="K855" s="4">
        <f>VLOOKUP(G855,Exchange_Rates!A:B,2,FALSE)</f>
        <v>1.08</v>
      </c>
      <c r="L855" s="4">
        <f t="shared" si="13"/>
        <v>46.526400000000002</v>
      </c>
    </row>
    <row r="856" spans="1:12" x14ac:dyDescent="0.25">
      <c r="A856" s="4" t="s">
        <v>5038</v>
      </c>
      <c r="B856" s="4" t="s">
        <v>4136</v>
      </c>
      <c r="C856" s="6">
        <v>45517</v>
      </c>
      <c r="D856" s="4" t="s">
        <v>4062</v>
      </c>
      <c r="E856" s="4" t="s">
        <v>4054</v>
      </c>
      <c r="F856" s="4">
        <v>487.52</v>
      </c>
      <c r="G856" s="4" t="s">
        <v>45</v>
      </c>
      <c r="H856" s="4" t="s">
        <v>4055</v>
      </c>
      <c r="I856" s="4" t="s">
        <v>4056</v>
      </c>
      <c r="J856" s="6">
        <v>45532</v>
      </c>
      <c r="K856" s="4">
        <f>VLOOKUP(G856,Exchange_Rates!A:B,2,FALSE)</f>
        <v>1</v>
      </c>
      <c r="L856" s="4">
        <f t="shared" si="13"/>
        <v>487.52</v>
      </c>
    </row>
    <row r="857" spans="1:12" x14ac:dyDescent="0.25">
      <c r="A857" s="4" t="s">
        <v>5039</v>
      </c>
      <c r="B857" s="4" t="s">
        <v>4362</v>
      </c>
      <c r="C857" s="6">
        <v>45566</v>
      </c>
      <c r="D857" s="4" t="s">
        <v>4096</v>
      </c>
      <c r="E857" s="4" t="s">
        <v>4054</v>
      </c>
      <c r="F857" s="4">
        <v>161.46</v>
      </c>
      <c r="G857" s="4" t="s">
        <v>28</v>
      </c>
      <c r="H857" s="4" t="s">
        <v>4097</v>
      </c>
      <c r="I857" s="4" t="s">
        <v>4087</v>
      </c>
      <c r="J857" s="4"/>
      <c r="K857" s="4">
        <f>VLOOKUP(G857,Exchange_Rates!A:B,2,FALSE)</f>
        <v>1.27</v>
      </c>
      <c r="L857" s="4">
        <f t="shared" si="13"/>
        <v>205.05420000000001</v>
      </c>
    </row>
    <row r="858" spans="1:12" x14ac:dyDescent="0.25">
      <c r="A858" s="4" t="s">
        <v>5040</v>
      </c>
      <c r="B858" s="4" t="s">
        <v>4239</v>
      </c>
      <c r="C858" s="6">
        <v>45445</v>
      </c>
      <c r="D858" s="4" t="s">
        <v>4096</v>
      </c>
      <c r="E858" s="4" t="s">
        <v>4054</v>
      </c>
      <c r="F858" s="4">
        <v>169.83</v>
      </c>
      <c r="G858" s="4" t="s">
        <v>64</v>
      </c>
      <c r="H858" s="4" t="s">
        <v>4055</v>
      </c>
      <c r="I858" s="4" t="s">
        <v>4087</v>
      </c>
      <c r="J858" s="6">
        <v>45460</v>
      </c>
      <c r="K858" s="4">
        <f>VLOOKUP(G858,Exchange_Rates!A:B,2,FALSE)</f>
        <v>0.73</v>
      </c>
      <c r="L858" s="4">
        <f t="shared" si="13"/>
        <v>123.97590000000001</v>
      </c>
    </row>
    <row r="859" spans="1:12" x14ac:dyDescent="0.25">
      <c r="A859" s="4" t="s">
        <v>5041</v>
      </c>
      <c r="B859" s="4" t="s">
        <v>4148</v>
      </c>
      <c r="C859" s="6">
        <v>45711</v>
      </c>
      <c r="D859" s="4" t="s">
        <v>4062</v>
      </c>
      <c r="E859" s="4" t="s">
        <v>4054</v>
      </c>
      <c r="F859" s="4">
        <v>735.13</v>
      </c>
      <c r="G859" s="4" t="s">
        <v>28</v>
      </c>
      <c r="H859" s="4" t="s">
        <v>4097</v>
      </c>
      <c r="I859" s="4" t="s">
        <v>4056</v>
      </c>
      <c r="J859" s="4"/>
      <c r="K859" s="4">
        <f>VLOOKUP(G859,Exchange_Rates!A:B,2,FALSE)</f>
        <v>1.27</v>
      </c>
      <c r="L859" s="4">
        <f t="shared" si="13"/>
        <v>933.61509999999998</v>
      </c>
    </row>
    <row r="860" spans="1:12" x14ac:dyDescent="0.25">
      <c r="A860" s="4" t="s">
        <v>5042</v>
      </c>
      <c r="B860" s="4" t="s">
        <v>4428</v>
      </c>
      <c r="C860" s="6">
        <v>45154</v>
      </c>
      <c r="D860" s="4" t="s">
        <v>4066</v>
      </c>
      <c r="E860" s="4" t="s">
        <v>4054</v>
      </c>
      <c r="F860" s="4">
        <v>672.03</v>
      </c>
      <c r="G860" s="4" t="s">
        <v>42</v>
      </c>
      <c r="H860" s="4" t="s">
        <v>4055</v>
      </c>
      <c r="I860" s="4" t="s">
        <v>4070</v>
      </c>
      <c r="J860" s="6">
        <v>45169</v>
      </c>
      <c r="K860" s="4">
        <f>VLOOKUP(G860,Exchange_Rates!A:B,2,FALSE)</f>
        <v>0.66</v>
      </c>
      <c r="L860" s="4">
        <f t="shared" si="13"/>
        <v>443.53980000000001</v>
      </c>
    </row>
    <row r="861" spans="1:12" x14ac:dyDescent="0.25">
      <c r="A861" s="4" t="s">
        <v>5043</v>
      </c>
      <c r="B861" s="4" t="s">
        <v>4525</v>
      </c>
      <c r="C861" s="6">
        <v>45568</v>
      </c>
      <c r="D861" s="4" t="s">
        <v>4053</v>
      </c>
      <c r="E861" s="4" t="s">
        <v>4054</v>
      </c>
      <c r="F861" s="4">
        <v>750.12</v>
      </c>
      <c r="G861" s="4" t="s">
        <v>64</v>
      </c>
      <c r="H861" s="4" t="s">
        <v>4059</v>
      </c>
      <c r="I861" s="4" t="s">
        <v>4070</v>
      </c>
      <c r="J861" s="4"/>
      <c r="K861" s="4">
        <f>VLOOKUP(G861,Exchange_Rates!A:B,2,FALSE)</f>
        <v>0.73</v>
      </c>
      <c r="L861" s="4">
        <f t="shared" si="13"/>
        <v>547.58759999999995</v>
      </c>
    </row>
    <row r="862" spans="1:12" x14ac:dyDescent="0.25">
      <c r="A862" s="4" t="s">
        <v>5044</v>
      </c>
      <c r="B862" s="4" t="s">
        <v>4068</v>
      </c>
      <c r="C862" s="6">
        <v>45394</v>
      </c>
      <c r="D862" s="4" t="s">
        <v>4096</v>
      </c>
      <c r="E862" s="4" t="s">
        <v>4054</v>
      </c>
      <c r="F862" s="4">
        <v>86.83</v>
      </c>
      <c r="G862" s="4" t="s">
        <v>36</v>
      </c>
      <c r="H862" s="4" t="s">
        <v>4097</v>
      </c>
      <c r="I862" s="4" t="s">
        <v>4087</v>
      </c>
      <c r="J862" s="4"/>
      <c r="K862" s="4">
        <f>VLOOKUP(G862,Exchange_Rates!A:B,2,FALSE)</f>
        <v>1.08</v>
      </c>
      <c r="L862" s="4">
        <f t="shared" si="13"/>
        <v>93.77640000000001</v>
      </c>
    </row>
    <row r="863" spans="1:12" x14ac:dyDescent="0.25">
      <c r="A863" s="4" t="s">
        <v>5045</v>
      </c>
      <c r="B863" s="4" t="s">
        <v>4295</v>
      </c>
      <c r="C863" s="6">
        <v>45702</v>
      </c>
      <c r="D863" s="4" t="s">
        <v>4069</v>
      </c>
      <c r="E863" s="4" t="s">
        <v>4054</v>
      </c>
      <c r="F863" s="4">
        <v>674.32</v>
      </c>
      <c r="G863" s="4" t="s">
        <v>28</v>
      </c>
      <c r="H863" s="4" t="s">
        <v>4059</v>
      </c>
      <c r="I863" s="4" t="s">
        <v>4070</v>
      </c>
      <c r="J863" s="4"/>
      <c r="K863" s="4">
        <f>VLOOKUP(G863,Exchange_Rates!A:B,2,FALSE)</f>
        <v>1.27</v>
      </c>
      <c r="L863" s="4">
        <f t="shared" si="13"/>
        <v>856.38640000000009</v>
      </c>
    </row>
    <row r="864" spans="1:12" x14ac:dyDescent="0.25">
      <c r="A864" s="4" t="s">
        <v>5046</v>
      </c>
      <c r="B864" s="4" t="s">
        <v>4093</v>
      </c>
      <c r="C864" s="6">
        <v>45436</v>
      </c>
      <c r="D864" s="4" t="s">
        <v>4096</v>
      </c>
      <c r="E864" s="4" t="s">
        <v>4054</v>
      </c>
      <c r="F864" s="4">
        <v>115</v>
      </c>
      <c r="G864" s="4" t="s">
        <v>45</v>
      </c>
      <c r="H864" s="4" t="s">
        <v>4097</v>
      </c>
      <c r="I864" s="4" t="s">
        <v>4070</v>
      </c>
      <c r="J864" s="4"/>
      <c r="K864" s="4">
        <f>VLOOKUP(G864,Exchange_Rates!A:B,2,FALSE)</f>
        <v>1</v>
      </c>
      <c r="L864" s="4">
        <f t="shared" si="13"/>
        <v>115</v>
      </c>
    </row>
    <row r="865" spans="1:12" x14ac:dyDescent="0.25">
      <c r="A865" s="4" t="s">
        <v>5047</v>
      </c>
      <c r="B865" s="4" t="s">
        <v>4095</v>
      </c>
      <c r="C865" s="6">
        <v>45486</v>
      </c>
      <c r="D865" s="4" t="s">
        <v>4062</v>
      </c>
      <c r="E865" s="4" t="s">
        <v>4054</v>
      </c>
      <c r="F865" s="4">
        <v>620.44000000000005</v>
      </c>
      <c r="G865" s="4" t="s">
        <v>42</v>
      </c>
      <c r="H865" s="4" t="s">
        <v>4059</v>
      </c>
      <c r="I865" s="4" t="s">
        <v>4056</v>
      </c>
      <c r="J865" s="4"/>
      <c r="K865" s="4">
        <f>VLOOKUP(G865,Exchange_Rates!A:B,2,FALSE)</f>
        <v>0.66</v>
      </c>
      <c r="L865" s="4">
        <f t="shared" si="13"/>
        <v>409.49040000000008</v>
      </c>
    </row>
    <row r="866" spans="1:12" x14ac:dyDescent="0.25">
      <c r="A866" s="4" t="s">
        <v>5048</v>
      </c>
      <c r="B866" s="4" t="s">
        <v>4106</v>
      </c>
      <c r="C866" s="6">
        <v>44963</v>
      </c>
      <c r="D866" s="4" t="s">
        <v>4062</v>
      </c>
      <c r="E866" s="4" t="s">
        <v>4054</v>
      </c>
      <c r="F866" s="4">
        <v>411.76</v>
      </c>
      <c r="G866" s="4" t="s">
        <v>28</v>
      </c>
      <c r="H866" s="4" t="s">
        <v>4063</v>
      </c>
      <c r="I866" s="4" t="s">
        <v>4056</v>
      </c>
      <c r="J866" s="4"/>
      <c r="K866" s="4">
        <f>VLOOKUP(G866,Exchange_Rates!A:B,2,FALSE)</f>
        <v>1.27</v>
      </c>
      <c r="L866" s="4">
        <f t="shared" si="13"/>
        <v>522.93520000000001</v>
      </c>
    </row>
    <row r="867" spans="1:12" x14ac:dyDescent="0.25">
      <c r="A867" s="4" t="s">
        <v>5049</v>
      </c>
      <c r="B867" s="4" t="s">
        <v>4365</v>
      </c>
      <c r="C867" s="6">
        <v>45829</v>
      </c>
      <c r="D867" s="4" t="s">
        <v>4053</v>
      </c>
      <c r="E867" s="4" t="s">
        <v>4054</v>
      </c>
      <c r="F867" s="4">
        <v>330.59</v>
      </c>
      <c r="G867" s="4" t="s">
        <v>42</v>
      </c>
      <c r="H867" s="4" t="s">
        <v>4055</v>
      </c>
      <c r="I867" s="4" t="s">
        <v>4056</v>
      </c>
      <c r="J867" s="6">
        <v>45844</v>
      </c>
      <c r="K867" s="4">
        <f>VLOOKUP(G867,Exchange_Rates!A:B,2,FALSE)</f>
        <v>0.66</v>
      </c>
      <c r="L867" s="4">
        <f t="shared" si="13"/>
        <v>218.18940000000001</v>
      </c>
    </row>
    <row r="868" spans="1:12" x14ac:dyDescent="0.25">
      <c r="A868" s="4" t="s">
        <v>5050</v>
      </c>
      <c r="B868" s="4" t="s">
        <v>4371</v>
      </c>
      <c r="C868" s="6">
        <v>45720</v>
      </c>
      <c r="D868" s="4" t="s">
        <v>4062</v>
      </c>
      <c r="E868" s="4" t="s">
        <v>4054</v>
      </c>
      <c r="F868" s="4">
        <v>644.04</v>
      </c>
      <c r="G868" s="4" t="s">
        <v>28</v>
      </c>
      <c r="H868" s="4" t="s">
        <v>4063</v>
      </c>
      <c r="I868" s="4" t="s">
        <v>4070</v>
      </c>
      <c r="J868" s="4"/>
      <c r="K868" s="4">
        <f>VLOOKUP(G868,Exchange_Rates!A:B,2,FALSE)</f>
        <v>1.27</v>
      </c>
      <c r="L868" s="4">
        <f t="shared" si="13"/>
        <v>817.93079999999998</v>
      </c>
    </row>
    <row r="869" spans="1:12" x14ac:dyDescent="0.25">
      <c r="A869" s="4" t="s">
        <v>5051</v>
      </c>
      <c r="B869" s="4" t="s">
        <v>4453</v>
      </c>
      <c r="C869" s="6">
        <v>45509</v>
      </c>
      <c r="D869" s="4" t="s">
        <v>4062</v>
      </c>
      <c r="E869" s="4" t="s">
        <v>4054</v>
      </c>
      <c r="F869" s="4">
        <v>727.38</v>
      </c>
      <c r="G869" s="4" t="s">
        <v>36</v>
      </c>
      <c r="H869" s="4" t="s">
        <v>4055</v>
      </c>
      <c r="I869" s="4" t="s">
        <v>4087</v>
      </c>
      <c r="J869" s="6">
        <v>45524</v>
      </c>
      <c r="K869" s="4">
        <f>VLOOKUP(G869,Exchange_Rates!A:B,2,FALSE)</f>
        <v>1.08</v>
      </c>
      <c r="L869" s="4">
        <f t="shared" si="13"/>
        <v>785.57040000000006</v>
      </c>
    </row>
    <row r="870" spans="1:12" x14ac:dyDescent="0.25">
      <c r="A870" s="4" t="s">
        <v>5052</v>
      </c>
      <c r="B870" s="4" t="s">
        <v>4095</v>
      </c>
      <c r="C870" s="6">
        <v>45083</v>
      </c>
      <c r="D870" s="4" t="s">
        <v>4096</v>
      </c>
      <c r="E870" s="4" t="s">
        <v>4054</v>
      </c>
      <c r="F870" s="4">
        <v>395.6</v>
      </c>
      <c r="G870" s="4" t="s">
        <v>42</v>
      </c>
      <c r="H870" s="4" t="s">
        <v>4055</v>
      </c>
      <c r="I870" s="4" t="s">
        <v>4056</v>
      </c>
      <c r="J870" s="6">
        <v>45098</v>
      </c>
      <c r="K870" s="4">
        <f>VLOOKUP(G870,Exchange_Rates!A:B,2,FALSE)</f>
        <v>0.66</v>
      </c>
      <c r="L870" s="4">
        <f t="shared" si="13"/>
        <v>261.096</v>
      </c>
    </row>
    <row r="871" spans="1:12" x14ac:dyDescent="0.25">
      <c r="A871" s="4" t="s">
        <v>5053</v>
      </c>
      <c r="B871" s="4" t="s">
        <v>4258</v>
      </c>
      <c r="C871" s="6">
        <v>45718</v>
      </c>
      <c r="D871" s="4" t="s">
        <v>4066</v>
      </c>
      <c r="E871" s="4" t="s">
        <v>4054</v>
      </c>
      <c r="F871" s="4">
        <v>634.47</v>
      </c>
      <c r="G871" s="4" t="s">
        <v>45</v>
      </c>
      <c r="H871" s="4" t="s">
        <v>4097</v>
      </c>
      <c r="I871" s="4" t="s">
        <v>4087</v>
      </c>
      <c r="J871" s="4"/>
      <c r="K871" s="4">
        <f>VLOOKUP(G871,Exchange_Rates!A:B,2,FALSE)</f>
        <v>1</v>
      </c>
      <c r="L871" s="4">
        <f t="shared" si="13"/>
        <v>634.47</v>
      </c>
    </row>
    <row r="872" spans="1:12" x14ac:dyDescent="0.25">
      <c r="A872" s="4" t="s">
        <v>5054</v>
      </c>
      <c r="B872" s="4" t="s">
        <v>4430</v>
      </c>
      <c r="C872" s="6">
        <v>45626</v>
      </c>
      <c r="D872" s="4" t="s">
        <v>4096</v>
      </c>
      <c r="E872" s="4" t="s">
        <v>4054</v>
      </c>
      <c r="F872" s="4">
        <v>99.78</v>
      </c>
      <c r="G872" s="4" t="s">
        <v>42</v>
      </c>
      <c r="H872" s="4" t="s">
        <v>4097</v>
      </c>
      <c r="I872" s="4" t="s">
        <v>4070</v>
      </c>
      <c r="J872" s="4"/>
      <c r="K872" s="4">
        <f>VLOOKUP(G872,Exchange_Rates!A:B,2,FALSE)</f>
        <v>0.66</v>
      </c>
      <c r="L872" s="4">
        <f t="shared" si="13"/>
        <v>65.854799999999997</v>
      </c>
    </row>
    <row r="873" spans="1:12" x14ac:dyDescent="0.25">
      <c r="A873" s="4" t="s">
        <v>5055</v>
      </c>
      <c r="B873" s="4" t="s">
        <v>4302</v>
      </c>
      <c r="C873" s="6">
        <v>45239</v>
      </c>
      <c r="D873" s="4" t="s">
        <v>4066</v>
      </c>
      <c r="E873" s="4" t="s">
        <v>4054</v>
      </c>
      <c r="F873" s="4">
        <v>600.16999999999996</v>
      </c>
      <c r="G873" s="4" t="s">
        <v>36</v>
      </c>
      <c r="H873" s="4" t="s">
        <v>4059</v>
      </c>
      <c r="I873" s="4" t="s">
        <v>4087</v>
      </c>
      <c r="J873" s="4"/>
      <c r="K873" s="4">
        <f>VLOOKUP(G873,Exchange_Rates!A:B,2,FALSE)</f>
        <v>1.08</v>
      </c>
      <c r="L873" s="4">
        <f t="shared" si="13"/>
        <v>648.18359999999996</v>
      </c>
    </row>
    <row r="874" spans="1:12" x14ac:dyDescent="0.25">
      <c r="A874" s="4" t="s">
        <v>5056</v>
      </c>
      <c r="B874" s="4" t="s">
        <v>4086</v>
      </c>
      <c r="C874" s="6">
        <v>45586</v>
      </c>
      <c r="D874" s="4" t="s">
        <v>4053</v>
      </c>
      <c r="E874" s="4" t="s">
        <v>4054</v>
      </c>
      <c r="F874" s="4">
        <v>704.24</v>
      </c>
      <c r="G874" s="4" t="s">
        <v>36</v>
      </c>
      <c r="H874" s="4" t="s">
        <v>4059</v>
      </c>
      <c r="I874" s="4" t="s">
        <v>4056</v>
      </c>
      <c r="J874" s="4"/>
      <c r="K874" s="4">
        <f>VLOOKUP(G874,Exchange_Rates!A:B,2,FALSE)</f>
        <v>1.08</v>
      </c>
      <c r="L874" s="4">
        <f t="shared" si="13"/>
        <v>760.57920000000001</v>
      </c>
    </row>
    <row r="875" spans="1:12" x14ac:dyDescent="0.25">
      <c r="A875" s="4" t="s">
        <v>5057</v>
      </c>
      <c r="B875" s="4" t="s">
        <v>4230</v>
      </c>
      <c r="C875" s="6">
        <v>45315</v>
      </c>
      <c r="D875" s="4" t="s">
        <v>4053</v>
      </c>
      <c r="E875" s="4" t="s">
        <v>4054</v>
      </c>
      <c r="F875" s="4">
        <v>415.05</v>
      </c>
      <c r="G875" s="4" t="s">
        <v>45</v>
      </c>
      <c r="H875" s="4" t="s">
        <v>4055</v>
      </c>
      <c r="I875" s="4" t="s">
        <v>4056</v>
      </c>
      <c r="J875" s="6">
        <v>45330</v>
      </c>
      <c r="K875" s="4">
        <f>VLOOKUP(G875,Exchange_Rates!A:B,2,FALSE)</f>
        <v>1</v>
      </c>
      <c r="L875" s="4">
        <f t="shared" si="13"/>
        <v>415.05</v>
      </c>
    </row>
    <row r="876" spans="1:12" x14ac:dyDescent="0.25">
      <c r="A876" s="4" t="s">
        <v>5058</v>
      </c>
      <c r="B876" s="4" t="s">
        <v>4547</v>
      </c>
      <c r="C876" s="6">
        <v>44984</v>
      </c>
      <c r="D876" s="4" t="s">
        <v>4066</v>
      </c>
      <c r="E876" s="4" t="s">
        <v>4054</v>
      </c>
      <c r="F876" s="4">
        <v>179.03</v>
      </c>
      <c r="G876" s="4" t="s">
        <v>64</v>
      </c>
      <c r="H876" s="4" t="s">
        <v>4059</v>
      </c>
      <c r="I876" s="4" t="s">
        <v>4056</v>
      </c>
      <c r="J876" s="4"/>
      <c r="K876" s="4">
        <f>VLOOKUP(G876,Exchange_Rates!A:B,2,FALSE)</f>
        <v>0.73</v>
      </c>
      <c r="L876" s="4">
        <f t="shared" si="13"/>
        <v>130.6919</v>
      </c>
    </row>
    <row r="877" spans="1:12" x14ac:dyDescent="0.25">
      <c r="A877" s="4" t="s">
        <v>5059</v>
      </c>
      <c r="B877" s="4" t="s">
        <v>4108</v>
      </c>
      <c r="C877" s="6">
        <v>45384</v>
      </c>
      <c r="D877" s="4" t="s">
        <v>4053</v>
      </c>
      <c r="E877" s="4" t="s">
        <v>4054</v>
      </c>
      <c r="F877" s="4">
        <v>98.7</v>
      </c>
      <c r="G877" s="4" t="s">
        <v>64</v>
      </c>
      <c r="H877" s="4" t="s">
        <v>4097</v>
      </c>
      <c r="I877" s="4" t="s">
        <v>4087</v>
      </c>
      <c r="J877" s="4"/>
      <c r="K877" s="4">
        <f>VLOOKUP(G877,Exchange_Rates!A:B,2,FALSE)</f>
        <v>0.73</v>
      </c>
      <c r="L877" s="4">
        <f t="shared" si="13"/>
        <v>72.051000000000002</v>
      </c>
    </row>
    <row r="878" spans="1:12" x14ac:dyDescent="0.25">
      <c r="A878" s="4" t="s">
        <v>5060</v>
      </c>
      <c r="B878" s="4" t="s">
        <v>4082</v>
      </c>
      <c r="C878" s="6">
        <v>45561</v>
      </c>
      <c r="D878" s="4" t="s">
        <v>4062</v>
      </c>
      <c r="E878" s="4" t="s">
        <v>4054</v>
      </c>
      <c r="F878" s="4">
        <v>450.4</v>
      </c>
      <c r="G878" s="4" t="s">
        <v>64</v>
      </c>
      <c r="H878" s="4" t="s">
        <v>4097</v>
      </c>
      <c r="I878" s="4" t="s">
        <v>4070</v>
      </c>
      <c r="J878" s="4"/>
      <c r="K878" s="4">
        <f>VLOOKUP(G878,Exchange_Rates!A:B,2,FALSE)</f>
        <v>0.73</v>
      </c>
      <c r="L878" s="4">
        <f t="shared" si="13"/>
        <v>328.79199999999997</v>
      </c>
    </row>
    <row r="879" spans="1:12" x14ac:dyDescent="0.25">
      <c r="A879" s="4" t="s">
        <v>5061</v>
      </c>
      <c r="B879" s="4" t="s">
        <v>4362</v>
      </c>
      <c r="C879" s="6">
        <v>45305</v>
      </c>
      <c r="D879" s="4" t="s">
        <v>4096</v>
      </c>
      <c r="E879" s="4" t="s">
        <v>4054</v>
      </c>
      <c r="F879" s="4">
        <v>527.64</v>
      </c>
      <c r="G879" s="4" t="s">
        <v>45</v>
      </c>
      <c r="H879" s="4" t="s">
        <v>4097</v>
      </c>
      <c r="I879" s="4" t="s">
        <v>4056</v>
      </c>
      <c r="J879" s="4"/>
      <c r="K879" s="4">
        <f>VLOOKUP(G879,Exchange_Rates!A:B,2,FALSE)</f>
        <v>1</v>
      </c>
      <c r="L879" s="4">
        <f t="shared" si="13"/>
        <v>527.64</v>
      </c>
    </row>
    <row r="880" spans="1:12" x14ac:dyDescent="0.25">
      <c r="A880" s="4" t="s">
        <v>5062</v>
      </c>
      <c r="B880" s="4" t="s">
        <v>4178</v>
      </c>
      <c r="C880" s="6">
        <v>45242</v>
      </c>
      <c r="D880" s="4" t="s">
        <v>4066</v>
      </c>
      <c r="E880" s="4" t="s">
        <v>4054</v>
      </c>
      <c r="F880" s="4">
        <v>502.19</v>
      </c>
      <c r="G880" s="4" t="s">
        <v>42</v>
      </c>
      <c r="H880" s="4" t="s">
        <v>4059</v>
      </c>
      <c r="I880" s="4" t="s">
        <v>4087</v>
      </c>
      <c r="J880" s="4"/>
      <c r="K880" s="4">
        <f>VLOOKUP(G880,Exchange_Rates!A:B,2,FALSE)</f>
        <v>0.66</v>
      </c>
      <c r="L880" s="4">
        <f t="shared" si="13"/>
        <v>331.44540000000001</v>
      </c>
    </row>
    <row r="881" spans="1:12" x14ac:dyDescent="0.25">
      <c r="A881" s="4" t="s">
        <v>5063</v>
      </c>
      <c r="B881" s="4" t="s">
        <v>4393</v>
      </c>
      <c r="C881" s="6">
        <v>44944</v>
      </c>
      <c r="D881" s="4" t="s">
        <v>4096</v>
      </c>
      <c r="E881" s="4" t="s">
        <v>4054</v>
      </c>
      <c r="F881" s="4">
        <v>783.7</v>
      </c>
      <c r="G881" s="4" t="s">
        <v>36</v>
      </c>
      <c r="H881" s="4" t="s">
        <v>4063</v>
      </c>
      <c r="I881" s="4" t="s">
        <v>4087</v>
      </c>
      <c r="J881" s="4"/>
      <c r="K881" s="4">
        <f>VLOOKUP(G881,Exchange_Rates!A:B,2,FALSE)</f>
        <v>1.08</v>
      </c>
      <c r="L881" s="4">
        <f t="shared" si="13"/>
        <v>846.39600000000007</v>
      </c>
    </row>
    <row r="882" spans="1:12" x14ac:dyDescent="0.25">
      <c r="A882" s="4" t="s">
        <v>5064</v>
      </c>
      <c r="B882" s="4" t="s">
        <v>4450</v>
      </c>
      <c r="C882" s="6">
        <v>45571</v>
      </c>
      <c r="D882" s="4" t="s">
        <v>4062</v>
      </c>
      <c r="E882" s="4" t="s">
        <v>4054</v>
      </c>
      <c r="F882" s="4">
        <v>367.02</v>
      </c>
      <c r="G882" s="4" t="s">
        <v>28</v>
      </c>
      <c r="H882" s="4" t="s">
        <v>4097</v>
      </c>
      <c r="I882" s="4" t="s">
        <v>4070</v>
      </c>
      <c r="J882" s="4"/>
      <c r="K882" s="4">
        <f>VLOOKUP(G882,Exchange_Rates!A:B,2,FALSE)</f>
        <v>1.27</v>
      </c>
      <c r="L882" s="4">
        <f t="shared" si="13"/>
        <v>466.11539999999997</v>
      </c>
    </row>
    <row r="883" spans="1:12" x14ac:dyDescent="0.25">
      <c r="A883" s="4" t="s">
        <v>5065</v>
      </c>
      <c r="B883" s="4" t="s">
        <v>4520</v>
      </c>
      <c r="C883" s="6">
        <v>45176</v>
      </c>
      <c r="D883" s="4" t="s">
        <v>4053</v>
      </c>
      <c r="E883" s="4" t="s">
        <v>4054</v>
      </c>
      <c r="F883" s="4">
        <v>744.88</v>
      </c>
      <c r="G883" s="4" t="s">
        <v>28</v>
      </c>
      <c r="H883" s="4" t="s">
        <v>4063</v>
      </c>
      <c r="I883" s="4" t="s">
        <v>4087</v>
      </c>
      <c r="J883" s="4"/>
      <c r="K883" s="4">
        <f>VLOOKUP(G883,Exchange_Rates!A:B,2,FALSE)</f>
        <v>1.27</v>
      </c>
      <c r="L883" s="4">
        <f t="shared" si="13"/>
        <v>945.99760000000003</v>
      </c>
    </row>
    <row r="884" spans="1:12" x14ac:dyDescent="0.25">
      <c r="A884" s="4" t="s">
        <v>5066</v>
      </c>
      <c r="B884" s="4" t="s">
        <v>4076</v>
      </c>
      <c r="C884" s="6">
        <v>45508</v>
      </c>
      <c r="D884" s="4" t="s">
        <v>4069</v>
      </c>
      <c r="E884" s="4" t="s">
        <v>4054</v>
      </c>
      <c r="F884" s="4">
        <v>314.69</v>
      </c>
      <c r="G884" s="4" t="s">
        <v>45</v>
      </c>
      <c r="H884" s="4" t="s">
        <v>4097</v>
      </c>
      <c r="I884" s="4" t="s">
        <v>4070</v>
      </c>
      <c r="J884" s="4"/>
      <c r="K884" s="4">
        <f>VLOOKUP(G884,Exchange_Rates!A:B,2,FALSE)</f>
        <v>1</v>
      </c>
      <c r="L884" s="4">
        <f t="shared" si="13"/>
        <v>314.69</v>
      </c>
    </row>
    <row r="885" spans="1:12" x14ac:dyDescent="0.25">
      <c r="A885" s="4" t="s">
        <v>5067</v>
      </c>
      <c r="B885" s="4" t="s">
        <v>4324</v>
      </c>
      <c r="C885" s="6">
        <v>45506</v>
      </c>
      <c r="D885" s="4" t="s">
        <v>4066</v>
      </c>
      <c r="E885" s="4" t="s">
        <v>4054</v>
      </c>
      <c r="F885" s="4">
        <v>704.73</v>
      </c>
      <c r="G885" s="4" t="s">
        <v>28</v>
      </c>
      <c r="H885" s="4" t="s">
        <v>4055</v>
      </c>
      <c r="I885" s="4" t="s">
        <v>4056</v>
      </c>
      <c r="J885" s="6">
        <v>45521</v>
      </c>
      <c r="K885" s="4">
        <f>VLOOKUP(G885,Exchange_Rates!A:B,2,FALSE)</f>
        <v>1.27</v>
      </c>
      <c r="L885" s="4">
        <f t="shared" si="13"/>
        <v>895.00710000000004</v>
      </c>
    </row>
    <row r="886" spans="1:12" x14ac:dyDescent="0.25">
      <c r="A886" s="4" t="s">
        <v>5068</v>
      </c>
      <c r="B886" s="4" t="s">
        <v>4180</v>
      </c>
      <c r="C886" s="6">
        <v>44930</v>
      </c>
      <c r="D886" s="4" t="s">
        <v>4069</v>
      </c>
      <c r="E886" s="4" t="s">
        <v>4054</v>
      </c>
      <c r="F886" s="4">
        <v>159.29</v>
      </c>
      <c r="G886" s="4" t="s">
        <v>64</v>
      </c>
      <c r="H886" s="4" t="s">
        <v>4097</v>
      </c>
      <c r="I886" s="4" t="s">
        <v>4056</v>
      </c>
      <c r="J886" s="4"/>
      <c r="K886" s="4">
        <f>VLOOKUP(G886,Exchange_Rates!A:B,2,FALSE)</f>
        <v>0.73</v>
      </c>
      <c r="L886" s="4">
        <f t="shared" si="13"/>
        <v>116.28169999999999</v>
      </c>
    </row>
    <row r="887" spans="1:12" x14ac:dyDescent="0.25">
      <c r="A887" s="4" t="s">
        <v>5069</v>
      </c>
      <c r="B887" s="4" t="s">
        <v>4150</v>
      </c>
      <c r="C887" s="6">
        <v>45317</v>
      </c>
      <c r="D887" s="4" t="s">
        <v>4069</v>
      </c>
      <c r="E887" s="4" t="s">
        <v>4054</v>
      </c>
      <c r="F887" s="4">
        <v>649.36</v>
      </c>
      <c r="G887" s="4" t="s">
        <v>36</v>
      </c>
      <c r="H887" s="4" t="s">
        <v>4055</v>
      </c>
      <c r="I887" s="4" t="s">
        <v>4070</v>
      </c>
      <c r="J887" s="6">
        <v>45332</v>
      </c>
      <c r="K887" s="4">
        <f>VLOOKUP(G887,Exchange_Rates!A:B,2,FALSE)</f>
        <v>1.08</v>
      </c>
      <c r="L887" s="4">
        <f t="shared" si="13"/>
        <v>701.30880000000002</v>
      </c>
    </row>
    <row r="888" spans="1:12" x14ac:dyDescent="0.25">
      <c r="A888" s="4" t="s">
        <v>5070</v>
      </c>
      <c r="B888" s="4" t="s">
        <v>4169</v>
      </c>
      <c r="C888" s="6">
        <v>45087</v>
      </c>
      <c r="D888" s="4" t="s">
        <v>4062</v>
      </c>
      <c r="E888" s="4" t="s">
        <v>4054</v>
      </c>
      <c r="F888" s="4">
        <v>203.61</v>
      </c>
      <c r="G888" s="4" t="s">
        <v>64</v>
      </c>
      <c r="H888" s="4" t="s">
        <v>4063</v>
      </c>
      <c r="I888" s="4" t="s">
        <v>4056</v>
      </c>
      <c r="J888" s="4"/>
      <c r="K888" s="4">
        <f>VLOOKUP(G888,Exchange_Rates!A:B,2,FALSE)</f>
        <v>0.73</v>
      </c>
      <c r="L888" s="4">
        <f t="shared" si="13"/>
        <v>148.6353</v>
      </c>
    </row>
    <row r="889" spans="1:12" x14ac:dyDescent="0.25">
      <c r="A889" s="4" t="s">
        <v>5071</v>
      </c>
      <c r="B889" s="4" t="s">
        <v>4219</v>
      </c>
      <c r="C889" s="6">
        <v>45753</v>
      </c>
      <c r="D889" s="4" t="s">
        <v>4069</v>
      </c>
      <c r="E889" s="4" t="s">
        <v>4054</v>
      </c>
      <c r="F889" s="4">
        <v>655.22</v>
      </c>
      <c r="G889" s="4" t="s">
        <v>28</v>
      </c>
      <c r="H889" s="4" t="s">
        <v>4059</v>
      </c>
      <c r="I889" s="4" t="s">
        <v>4070</v>
      </c>
      <c r="J889" s="4"/>
      <c r="K889" s="4">
        <f>VLOOKUP(G889,Exchange_Rates!A:B,2,FALSE)</f>
        <v>1.27</v>
      </c>
      <c r="L889" s="4">
        <f t="shared" si="13"/>
        <v>832.12940000000003</v>
      </c>
    </row>
    <row r="890" spans="1:12" x14ac:dyDescent="0.25">
      <c r="A890" s="4" t="s">
        <v>5072</v>
      </c>
      <c r="B890" s="4" t="s">
        <v>4242</v>
      </c>
      <c r="C890" s="6">
        <v>45173</v>
      </c>
      <c r="D890" s="4" t="s">
        <v>4066</v>
      </c>
      <c r="E890" s="4" t="s">
        <v>4054</v>
      </c>
      <c r="F890" s="4">
        <v>260.06</v>
      </c>
      <c r="G890" s="4" t="s">
        <v>64</v>
      </c>
      <c r="H890" s="4" t="s">
        <v>4063</v>
      </c>
      <c r="I890" s="4" t="s">
        <v>4087</v>
      </c>
      <c r="J890" s="4"/>
      <c r="K890" s="4">
        <f>VLOOKUP(G890,Exchange_Rates!A:B,2,FALSE)</f>
        <v>0.73</v>
      </c>
      <c r="L890" s="4">
        <f t="shared" si="13"/>
        <v>189.84379999999999</v>
      </c>
    </row>
    <row r="891" spans="1:12" x14ac:dyDescent="0.25">
      <c r="A891" s="4" t="s">
        <v>5073</v>
      </c>
      <c r="B891" s="4" t="s">
        <v>4138</v>
      </c>
      <c r="C891" s="6">
        <v>45100</v>
      </c>
      <c r="D891" s="4" t="s">
        <v>4096</v>
      </c>
      <c r="E891" s="4" t="s">
        <v>4054</v>
      </c>
      <c r="F891" s="4">
        <v>344.66</v>
      </c>
      <c r="G891" s="4" t="s">
        <v>42</v>
      </c>
      <c r="H891" s="4" t="s">
        <v>4059</v>
      </c>
      <c r="I891" s="4" t="s">
        <v>4087</v>
      </c>
      <c r="J891" s="4"/>
      <c r="K891" s="4">
        <f>VLOOKUP(G891,Exchange_Rates!A:B,2,FALSE)</f>
        <v>0.66</v>
      </c>
      <c r="L891" s="4">
        <f t="shared" si="13"/>
        <v>227.47560000000001</v>
      </c>
    </row>
    <row r="892" spans="1:12" x14ac:dyDescent="0.25">
      <c r="A892" s="4" t="s">
        <v>5074</v>
      </c>
      <c r="B892" s="4" t="s">
        <v>4103</v>
      </c>
      <c r="C892" s="6">
        <v>45034</v>
      </c>
      <c r="D892" s="4" t="s">
        <v>4062</v>
      </c>
      <c r="E892" s="4" t="s">
        <v>4054</v>
      </c>
      <c r="F892" s="4">
        <v>65.69</v>
      </c>
      <c r="G892" s="4" t="s">
        <v>36</v>
      </c>
      <c r="H892" s="4" t="s">
        <v>4097</v>
      </c>
      <c r="I892" s="4" t="s">
        <v>4070</v>
      </c>
      <c r="J892" s="4"/>
      <c r="K892" s="4">
        <f>VLOOKUP(G892,Exchange_Rates!A:B,2,FALSE)</f>
        <v>1.08</v>
      </c>
      <c r="L892" s="4">
        <f t="shared" si="13"/>
        <v>70.9452</v>
      </c>
    </row>
    <row r="893" spans="1:12" x14ac:dyDescent="0.25">
      <c r="A893" s="4" t="s">
        <v>5075</v>
      </c>
      <c r="B893" s="4" t="s">
        <v>4166</v>
      </c>
      <c r="C893" s="6">
        <v>45111</v>
      </c>
      <c r="D893" s="4" t="s">
        <v>4069</v>
      </c>
      <c r="E893" s="4" t="s">
        <v>4054</v>
      </c>
      <c r="F893" s="4">
        <v>49.18</v>
      </c>
      <c r="G893" s="4" t="s">
        <v>36</v>
      </c>
      <c r="H893" s="4" t="s">
        <v>4055</v>
      </c>
      <c r="I893" s="4" t="s">
        <v>4087</v>
      </c>
      <c r="J893" s="6">
        <v>45126</v>
      </c>
      <c r="K893" s="4">
        <f>VLOOKUP(G893,Exchange_Rates!A:B,2,FALSE)</f>
        <v>1.08</v>
      </c>
      <c r="L893" s="4">
        <f t="shared" si="13"/>
        <v>53.114400000000003</v>
      </c>
    </row>
    <row r="894" spans="1:12" x14ac:dyDescent="0.25">
      <c r="A894" s="4" t="s">
        <v>5076</v>
      </c>
      <c r="B894" s="4" t="s">
        <v>4184</v>
      </c>
      <c r="C894" s="6">
        <v>45671</v>
      </c>
      <c r="D894" s="4" t="s">
        <v>4053</v>
      </c>
      <c r="E894" s="4" t="s">
        <v>4054</v>
      </c>
      <c r="F894" s="4">
        <v>464.62</v>
      </c>
      <c r="G894" s="4" t="s">
        <v>45</v>
      </c>
      <c r="H894" s="4" t="s">
        <v>4097</v>
      </c>
      <c r="I894" s="4" t="s">
        <v>4087</v>
      </c>
      <c r="J894" s="4"/>
      <c r="K894" s="4">
        <f>VLOOKUP(G894,Exchange_Rates!A:B,2,FALSE)</f>
        <v>1</v>
      </c>
      <c r="L894" s="4">
        <f t="shared" si="13"/>
        <v>464.62</v>
      </c>
    </row>
    <row r="895" spans="1:12" x14ac:dyDescent="0.25">
      <c r="A895" s="4" t="s">
        <v>5077</v>
      </c>
      <c r="B895" s="4" t="s">
        <v>4273</v>
      </c>
      <c r="C895" s="6">
        <v>45029</v>
      </c>
      <c r="D895" s="4" t="s">
        <v>4062</v>
      </c>
      <c r="E895" s="4" t="s">
        <v>4054</v>
      </c>
      <c r="F895" s="4">
        <v>563.54999999999995</v>
      </c>
      <c r="G895" s="4" t="s">
        <v>64</v>
      </c>
      <c r="H895" s="4" t="s">
        <v>4059</v>
      </c>
      <c r="I895" s="4" t="s">
        <v>4056</v>
      </c>
      <c r="J895" s="4"/>
      <c r="K895" s="4">
        <f>VLOOKUP(G895,Exchange_Rates!A:B,2,FALSE)</f>
        <v>0.73</v>
      </c>
      <c r="L895" s="4">
        <f t="shared" si="13"/>
        <v>411.39149999999995</v>
      </c>
    </row>
    <row r="896" spans="1:12" x14ac:dyDescent="0.25">
      <c r="A896" s="4" t="s">
        <v>5078</v>
      </c>
      <c r="B896" s="4" t="s">
        <v>4082</v>
      </c>
      <c r="C896" s="6">
        <v>45051</v>
      </c>
      <c r="D896" s="4" t="s">
        <v>4096</v>
      </c>
      <c r="E896" s="4" t="s">
        <v>4054</v>
      </c>
      <c r="F896" s="4">
        <v>240.76</v>
      </c>
      <c r="G896" s="4" t="s">
        <v>45</v>
      </c>
      <c r="H896" s="4" t="s">
        <v>4059</v>
      </c>
      <c r="I896" s="4" t="s">
        <v>4056</v>
      </c>
      <c r="J896" s="4"/>
      <c r="K896" s="4">
        <f>VLOOKUP(G896,Exchange_Rates!A:B,2,FALSE)</f>
        <v>1</v>
      </c>
      <c r="L896" s="4">
        <f t="shared" si="13"/>
        <v>240.76</v>
      </c>
    </row>
    <row r="897" spans="1:12" x14ac:dyDescent="0.25">
      <c r="A897" s="4" t="s">
        <v>5079</v>
      </c>
      <c r="B897" s="4" t="s">
        <v>4558</v>
      </c>
      <c r="C897" s="6">
        <v>45564</v>
      </c>
      <c r="D897" s="4" t="s">
        <v>4066</v>
      </c>
      <c r="E897" s="4" t="s">
        <v>4054</v>
      </c>
      <c r="F897" s="4">
        <v>301.93</v>
      </c>
      <c r="G897" s="4" t="s">
        <v>45</v>
      </c>
      <c r="H897" s="4" t="s">
        <v>4097</v>
      </c>
      <c r="I897" s="4" t="s">
        <v>4087</v>
      </c>
      <c r="J897" s="4"/>
      <c r="K897" s="4">
        <f>VLOOKUP(G897,Exchange_Rates!A:B,2,FALSE)</f>
        <v>1</v>
      </c>
      <c r="L897" s="4">
        <f t="shared" si="13"/>
        <v>301.93</v>
      </c>
    </row>
    <row r="898" spans="1:12" x14ac:dyDescent="0.25">
      <c r="A898" s="4" t="s">
        <v>5080</v>
      </c>
      <c r="B898" s="4" t="s">
        <v>4626</v>
      </c>
      <c r="C898" s="6">
        <v>45255</v>
      </c>
      <c r="D898" s="4" t="s">
        <v>4096</v>
      </c>
      <c r="E898" s="4" t="s">
        <v>4054</v>
      </c>
      <c r="F898" s="4">
        <v>211.86</v>
      </c>
      <c r="G898" s="4" t="s">
        <v>28</v>
      </c>
      <c r="H898" s="4" t="s">
        <v>4055</v>
      </c>
      <c r="I898" s="4" t="s">
        <v>4056</v>
      </c>
      <c r="J898" s="6">
        <v>45270</v>
      </c>
      <c r="K898" s="4">
        <f>VLOOKUP(G898,Exchange_Rates!A:B,2,FALSE)</f>
        <v>1.27</v>
      </c>
      <c r="L898" s="4">
        <f t="shared" si="13"/>
        <v>269.06220000000002</v>
      </c>
    </row>
    <row r="899" spans="1:12" x14ac:dyDescent="0.25">
      <c r="A899" s="4" t="s">
        <v>5081</v>
      </c>
      <c r="B899" s="4" t="s">
        <v>4068</v>
      </c>
      <c r="C899" s="6">
        <v>45272</v>
      </c>
      <c r="D899" s="4" t="s">
        <v>4096</v>
      </c>
      <c r="E899" s="4" t="s">
        <v>4054</v>
      </c>
      <c r="F899" s="4">
        <v>158.85</v>
      </c>
      <c r="G899" s="4" t="s">
        <v>42</v>
      </c>
      <c r="H899" s="4" t="s">
        <v>4063</v>
      </c>
      <c r="I899" s="4" t="s">
        <v>4070</v>
      </c>
      <c r="J899" s="4"/>
      <c r="K899" s="4">
        <f>VLOOKUP(G899,Exchange_Rates!A:B,2,FALSE)</f>
        <v>0.66</v>
      </c>
      <c r="L899" s="4">
        <f t="shared" ref="L899:L962" si="14">F899*K899</f>
        <v>104.84100000000001</v>
      </c>
    </row>
    <row r="900" spans="1:12" x14ac:dyDescent="0.25">
      <c r="A900" s="4" t="s">
        <v>5082</v>
      </c>
      <c r="B900" s="4" t="s">
        <v>4371</v>
      </c>
      <c r="C900" s="6">
        <v>45574</v>
      </c>
      <c r="D900" s="4" t="s">
        <v>4096</v>
      </c>
      <c r="E900" s="4" t="s">
        <v>4054</v>
      </c>
      <c r="F900" s="4">
        <v>710.39</v>
      </c>
      <c r="G900" s="4" t="s">
        <v>45</v>
      </c>
      <c r="H900" s="4" t="s">
        <v>4097</v>
      </c>
      <c r="I900" s="4" t="s">
        <v>4070</v>
      </c>
      <c r="J900" s="4"/>
      <c r="K900" s="4">
        <f>VLOOKUP(G900,Exchange_Rates!A:B,2,FALSE)</f>
        <v>1</v>
      </c>
      <c r="L900" s="4">
        <f t="shared" si="14"/>
        <v>710.39</v>
      </c>
    </row>
    <row r="901" spans="1:12" x14ac:dyDescent="0.25">
      <c r="A901" s="4" t="s">
        <v>5083</v>
      </c>
      <c r="B901" s="4" t="s">
        <v>4145</v>
      </c>
      <c r="C901" s="6">
        <v>45319</v>
      </c>
      <c r="D901" s="4" t="s">
        <v>4069</v>
      </c>
      <c r="E901" s="4" t="s">
        <v>4054</v>
      </c>
      <c r="F901" s="4">
        <v>367.59</v>
      </c>
      <c r="G901" s="4" t="s">
        <v>28</v>
      </c>
      <c r="H901" s="4" t="s">
        <v>4055</v>
      </c>
      <c r="I901" s="4" t="s">
        <v>4056</v>
      </c>
      <c r="J901" s="6">
        <v>45334</v>
      </c>
      <c r="K901" s="4">
        <f>VLOOKUP(G901,Exchange_Rates!A:B,2,FALSE)</f>
        <v>1.27</v>
      </c>
      <c r="L901" s="4">
        <f t="shared" si="14"/>
        <v>466.83929999999998</v>
      </c>
    </row>
    <row r="902" spans="1:12" x14ac:dyDescent="0.25">
      <c r="A902" s="4" t="s">
        <v>5084</v>
      </c>
      <c r="B902" s="4" t="s">
        <v>4152</v>
      </c>
      <c r="C902" s="6">
        <v>45277</v>
      </c>
      <c r="D902" s="4" t="s">
        <v>4053</v>
      </c>
      <c r="E902" s="4" t="s">
        <v>4054</v>
      </c>
      <c r="F902" s="4">
        <v>89.54</v>
      </c>
      <c r="G902" s="4" t="s">
        <v>42</v>
      </c>
      <c r="H902" s="4" t="s">
        <v>4055</v>
      </c>
      <c r="I902" s="4" t="s">
        <v>4056</v>
      </c>
      <c r="J902" s="6">
        <v>45292</v>
      </c>
      <c r="K902" s="4">
        <f>VLOOKUP(G902,Exchange_Rates!A:B,2,FALSE)</f>
        <v>0.66</v>
      </c>
      <c r="L902" s="4">
        <f t="shared" si="14"/>
        <v>59.09640000000001</v>
      </c>
    </row>
    <row r="903" spans="1:12" x14ac:dyDescent="0.25">
      <c r="A903" s="4" t="s">
        <v>5085</v>
      </c>
      <c r="B903" s="4" t="s">
        <v>4145</v>
      </c>
      <c r="C903" s="6">
        <v>45140</v>
      </c>
      <c r="D903" s="4" t="s">
        <v>4096</v>
      </c>
      <c r="E903" s="4" t="s">
        <v>4054</v>
      </c>
      <c r="F903" s="4">
        <v>136.86000000000001</v>
      </c>
      <c r="G903" s="4" t="s">
        <v>28</v>
      </c>
      <c r="H903" s="4" t="s">
        <v>4097</v>
      </c>
      <c r="I903" s="4" t="s">
        <v>4070</v>
      </c>
      <c r="J903" s="4"/>
      <c r="K903" s="4">
        <f>VLOOKUP(G903,Exchange_Rates!A:B,2,FALSE)</f>
        <v>1.27</v>
      </c>
      <c r="L903" s="4">
        <f t="shared" si="14"/>
        <v>173.81220000000002</v>
      </c>
    </row>
    <row r="904" spans="1:12" x14ac:dyDescent="0.25">
      <c r="A904" s="4" t="s">
        <v>5086</v>
      </c>
      <c r="B904" s="4" t="s">
        <v>4095</v>
      </c>
      <c r="C904" s="6">
        <v>45093</v>
      </c>
      <c r="D904" s="4" t="s">
        <v>4069</v>
      </c>
      <c r="E904" s="4" t="s">
        <v>4054</v>
      </c>
      <c r="F904" s="4">
        <v>527.32000000000005</v>
      </c>
      <c r="G904" s="4" t="s">
        <v>36</v>
      </c>
      <c r="H904" s="4" t="s">
        <v>4097</v>
      </c>
      <c r="I904" s="4" t="s">
        <v>4056</v>
      </c>
      <c r="J904" s="4"/>
      <c r="K904" s="4">
        <f>VLOOKUP(G904,Exchange_Rates!A:B,2,FALSE)</f>
        <v>1.08</v>
      </c>
      <c r="L904" s="4">
        <f t="shared" si="14"/>
        <v>569.50560000000007</v>
      </c>
    </row>
    <row r="905" spans="1:12" x14ac:dyDescent="0.25">
      <c r="A905" s="4" t="s">
        <v>5087</v>
      </c>
      <c r="B905" s="4" t="s">
        <v>4134</v>
      </c>
      <c r="C905" s="6">
        <v>45079</v>
      </c>
      <c r="D905" s="4" t="s">
        <v>4053</v>
      </c>
      <c r="E905" s="4" t="s">
        <v>4054</v>
      </c>
      <c r="F905" s="4">
        <v>439.91</v>
      </c>
      <c r="G905" s="4" t="s">
        <v>36</v>
      </c>
      <c r="H905" s="4" t="s">
        <v>4063</v>
      </c>
      <c r="I905" s="4" t="s">
        <v>4087</v>
      </c>
      <c r="J905" s="4"/>
      <c r="K905" s="4">
        <f>VLOOKUP(G905,Exchange_Rates!A:B,2,FALSE)</f>
        <v>1.08</v>
      </c>
      <c r="L905" s="4">
        <f t="shared" si="14"/>
        <v>475.10280000000006</v>
      </c>
    </row>
    <row r="906" spans="1:12" x14ac:dyDescent="0.25">
      <c r="A906" s="4" t="s">
        <v>5088</v>
      </c>
      <c r="B906" s="4" t="s">
        <v>4143</v>
      </c>
      <c r="C906" s="6">
        <v>45563</v>
      </c>
      <c r="D906" s="4" t="s">
        <v>4096</v>
      </c>
      <c r="E906" s="4" t="s">
        <v>4054</v>
      </c>
      <c r="F906" s="4">
        <v>276.99</v>
      </c>
      <c r="G906" s="4" t="s">
        <v>64</v>
      </c>
      <c r="H906" s="4" t="s">
        <v>4055</v>
      </c>
      <c r="I906" s="4" t="s">
        <v>4056</v>
      </c>
      <c r="J906" s="6">
        <v>45578</v>
      </c>
      <c r="K906" s="4">
        <f>VLOOKUP(G906,Exchange_Rates!A:B,2,FALSE)</f>
        <v>0.73</v>
      </c>
      <c r="L906" s="4">
        <f t="shared" si="14"/>
        <v>202.20269999999999</v>
      </c>
    </row>
    <row r="907" spans="1:12" x14ac:dyDescent="0.25">
      <c r="A907" s="4" t="s">
        <v>5089</v>
      </c>
      <c r="B907" s="4" t="s">
        <v>4273</v>
      </c>
      <c r="C907" s="6">
        <v>45149</v>
      </c>
      <c r="D907" s="4" t="s">
        <v>4053</v>
      </c>
      <c r="E907" s="4" t="s">
        <v>4054</v>
      </c>
      <c r="F907" s="4">
        <v>113.89</v>
      </c>
      <c r="G907" s="4" t="s">
        <v>64</v>
      </c>
      <c r="H907" s="4" t="s">
        <v>4055</v>
      </c>
      <c r="I907" s="4" t="s">
        <v>4070</v>
      </c>
      <c r="J907" s="6">
        <v>45164</v>
      </c>
      <c r="K907" s="4">
        <f>VLOOKUP(G907,Exchange_Rates!A:B,2,FALSE)</f>
        <v>0.73</v>
      </c>
      <c r="L907" s="4">
        <f t="shared" si="14"/>
        <v>83.139700000000005</v>
      </c>
    </row>
    <row r="908" spans="1:12" x14ac:dyDescent="0.25">
      <c r="A908" s="4" t="s">
        <v>5090</v>
      </c>
      <c r="B908" s="4" t="s">
        <v>4199</v>
      </c>
      <c r="C908" s="6">
        <v>45593</v>
      </c>
      <c r="D908" s="4" t="s">
        <v>4096</v>
      </c>
      <c r="E908" s="4" t="s">
        <v>4054</v>
      </c>
      <c r="F908" s="4">
        <v>44.64</v>
      </c>
      <c r="G908" s="4" t="s">
        <v>36</v>
      </c>
      <c r="H908" s="4" t="s">
        <v>4097</v>
      </c>
      <c r="I908" s="4" t="s">
        <v>4087</v>
      </c>
      <c r="J908" s="4"/>
      <c r="K908" s="4">
        <f>VLOOKUP(G908,Exchange_Rates!A:B,2,FALSE)</f>
        <v>1.08</v>
      </c>
      <c r="L908" s="4">
        <f t="shared" si="14"/>
        <v>48.211200000000005</v>
      </c>
    </row>
    <row r="909" spans="1:12" x14ac:dyDescent="0.25">
      <c r="A909" s="4" t="s">
        <v>5091</v>
      </c>
      <c r="B909" s="4" t="s">
        <v>4148</v>
      </c>
      <c r="C909" s="6">
        <v>45559</v>
      </c>
      <c r="D909" s="4" t="s">
        <v>4062</v>
      </c>
      <c r="E909" s="4" t="s">
        <v>4054</v>
      </c>
      <c r="F909" s="4">
        <v>345.6</v>
      </c>
      <c r="G909" s="4" t="s">
        <v>28</v>
      </c>
      <c r="H909" s="4" t="s">
        <v>4055</v>
      </c>
      <c r="I909" s="4" t="s">
        <v>4070</v>
      </c>
      <c r="J909" s="6">
        <v>45574</v>
      </c>
      <c r="K909" s="4">
        <f>VLOOKUP(G909,Exchange_Rates!A:B,2,FALSE)</f>
        <v>1.27</v>
      </c>
      <c r="L909" s="4">
        <f t="shared" si="14"/>
        <v>438.91200000000003</v>
      </c>
    </row>
    <row r="910" spans="1:12" x14ac:dyDescent="0.25">
      <c r="A910" s="4" t="s">
        <v>5092</v>
      </c>
      <c r="B910" s="4" t="s">
        <v>4371</v>
      </c>
      <c r="C910" s="6">
        <v>44958</v>
      </c>
      <c r="D910" s="4" t="s">
        <v>4066</v>
      </c>
      <c r="E910" s="4" t="s">
        <v>4054</v>
      </c>
      <c r="F910" s="4">
        <v>275.89</v>
      </c>
      <c r="G910" s="4" t="s">
        <v>28</v>
      </c>
      <c r="H910" s="4" t="s">
        <v>4063</v>
      </c>
      <c r="I910" s="4" t="s">
        <v>4056</v>
      </c>
      <c r="J910" s="4"/>
      <c r="K910" s="4">
        <f>VLOOKUP(G910,Exchange_Rates!A:B,2,FALSE)</f>
        <v>1.27</v>
      </c>
      <c r="L910" s="4">
        <f t="shared" si="14"/>
        <v>350.38029999999998</v>
      </c>
    </row>
    <row r="911" spans="1:12" x14ac:dyDescent="0.25">
      <c r="A911" s="4" t="s">
        <v>5093</v>
      </c>
      <c r="B911" s="4" t="s">
        <v>4134</v>
      </c>
      <c r="C911" s="6">
        <v>45124</v>
      </c>
      <c r="D911" s="4" t="s">
        <v>4062</v>
      </c>
      <c r="E911" s="4" t="s">
        <v>4054</v>
      </c>
      <c r="F911" s="4">
        <v>188.13</v>
      </c>
      <c r="G911" s="4" t="s">
        <v>64</v>
      </c>
      <c r="H911" s="4" t="s">
        <v>4055</v>
      </c>
      <c r="I911" s="4" t="s">
        <v>4056</v>
      </c>
      <c r="J911" s="6">
        <v>45139</v>
      </c>
      <c r="K911" s="4">
        <f>VLOOKUP(G911,Exchange_Rates!A:B,2,FALSE)</f>
        <v>0.73</v>
      </c>
      <c r="L911" s="4">
        <f t="shared" si="14"/>
        <v>137.3349</v>
      </c>
    </row>
    <row r="912" spans="1:12" x14ac:dyDescent="0.25">
      <c r="A912" s="4" t="s">
        <v>5094</v>
      </c>
      <c r="B912" s="4" t="s">
        <v>4117</v>
      </c>
      <c r="C912" s="6">
        <v>44930</v>
      </c>
      <c r="D912" s="4" t="s">
        <v>4096</v>
      </c>
      <c r="E912" s="4" t="s">
        <v>4054</v>
      </c>
      <c r="F912" s="4">
        <v>148.37</v>
      </c>
      <c r="G912" s="4" t="s">
        <v>42</v>
      </c>
      <c r="H912" s="4" t="s">
        <v>4059</v>
      </c>
      <c r="I912" s="4" t="s">
        <v>4087</v>
      </c>
      <c r="J912" s="4"/>
      <c r="K912" s="4">
        <f>VLOOKUP(G912,Exchange_Rates!A:B,2,FALSE)</f>
        <v>0.66</v>
      </c>
      <c r="L912" s="4">
        <f t="shared" si="14"/>
        <v>97.924200000000013</v>
      </c>
    </row>
    <row r="913" spans="1:12" x14ac:dyDescent="0.25">
      <c r="A913" s="4" t="s">
        <v>5095</v>
      </c>
      <c r="B913" s="4" t="s">
        <v>4190</v>
      </c>
      <c r="C913" s="6">
        <v>45158</v>
      </c>
      <c r="D913" s="4" t="s">
        <v>4069</v>
      </c>
      <c r="E913" s="4" t="s">
        <v>4054</v>
      </c>
      <c r="F913" s="4">
        <v>135.29</v>
      </c>
      <c r="G913" s="4" t="s">
        <v>28</v>
      </c>
      <c r="H913" s="4" t="s">
        <v>4097</v>
      </c>
      <c r="I913" s="4" t="s">
        <v>4087</v>
      </c>
      <c r="J913" s="4"/>
      <c r="K913" s="4">
        <f>VLOOKUP(G913,Exchange_Rates!A:B,2,FALSE)</f>
        <v>1.27</v>
      </c>
      <c r="L913" s="4">
        <f t="shared" si="14"/>
        <v>171.81829999999999</v>
      </c>
    </row>
    <row r="914" spans="1:12" x14ac:dyDescent="0.25">
      <c r="A914" s="4" t="s">
        <v>5096</v>
      </c>
      <c r="B914" s="4" t="s">
        <v>4515</v>
      </c>
      <c r="C914" s="6">
        <v>45712</v>
      </c>
      <c r="D914" s="4" t="s">
        <v>4096</v>
      </c>
      <c r="E914" s="4" t="s">
        <v>4054</v>
      </c>
      <c r="F914" s="4">
        <v>43.85</v>
      </c>
      <c r="G914" s="4" t="s">
        <v>64</v>
      </c>
      <c r="H914" s="4" t="s">
        <v>4063</v>
      </c>
      <c r="I914" s="4" t="s">
        <v>4087</v>
      </c>
      <c r="J914" s="4"/>
      <c r="K914" s="4">
        <f>VLOOKUP(G914,Exchange_Rates!A:B,2,FALSE)</f>
        <v>0.73</v>
      </c>
      <c r="L914" s="4">
        <f t="shared" si="14"/>
        <v>32.0105</v>
      </c>
    </row>
    <row r="915" spans="1:12" x14ac:dyDescent="0.25">
      <c r="A915" s="4" t="s">
        <v>5097</v>
      </c>
      <c r="B915" s="4" t="s">
        <v>4393</v>
      </c>
      <c r="C915" s="6">
        <v>45165</v>
      </c>
      <c r="D915" s="4" t="s">
        <v>4062</v>
      </c>
      <c r="E915" s="4" t="s">
        <v>4054</v>
      </c>
      <c r="F915" s="4">
        <v>55.98</v>
      </c>
      <c r="G915" s="4" t="s">
        <v>28</v>
      </c>
      <c r="H915" s="4" t="s">
        <v>4097</v>
      </c>
      <c r="I915" s="4" t="s">
        <v>4070</v>
      </c>
      <c r="J915" s="4"/>
      <c r="K915" s="4">
        <f>VLOOKUP(G915,Exchange_Rates!A:B,2,FALSE)</f>
        <v>1.27</v>
      </c>
      <c r="L915" s="4">
        <f t="shared" si="14"/>
        <v>71.0946</v>
      </c>
    </row>
    <row r="916" spans="1:12" x14ac:dyDescent="0.25">
      <c r="A916" s="4" t="s">
        <v>5098</v>
      </c>
      <c r="B916" s="4" t="s">
        <v>4108</v>
      </c>
      <c r="C916" s="6">
        <v>45376</v>
      </c>
      <c r="D916" s="4" t="s">
        <v>4066</v>
      </c>
      <c r="E916" s="4" t="s">
        <v>4054</v>
      </c>
      <c r="F916" s="4">
        <v>343.71</v>
      </c>
      <c r="G916" s="4" t="s">
        <v>36</v>
      </c>
      <c r="H916" s="4" t="s">
        <v>4059</v>
      </c>
      <c r="I916" s="4" t="s">
        <v>4087</v>
      </c>
      <c r="J916" s="4"/>
      <c r="K916" s="4">
        <f>VLOOKUP(G916,Exchange_Rates!A:B,2,FALSE)</f>
        <v>1.08</v>
      </c>
      <c r="L916" s="4">
        <f t="shared" si="14"/>
        <v>371.20679999999999</v>
      </c>
    </row>
    <row r="917" spans="1:12" x14ac:dyDescent="0.25">
      <c r="A917" s="4" t="s">
        <v>5099</v>
      </c>
      <c r="B917" s="4" t="s">
        <v>4304</v>
      </c>
      <c r="C917" s="6">
        <v>45157</v>
      </c>
      <c r="D917" s="4" t="s">
        <v>4053</v>
      </c>
      <c r="E917" s="4" t="s">
        <v>4054</v>
      </c>
      <c r="F917" s="4">
        <v>790.08</v>
      </c>
      <c r="G917" s="4" t="s">
        <v>42</v>
      </c>
      <c r="H917" s="4" t="s">
        <v>4055</v>
      </c>
      <c r="I917" s="4" t="s">
        <v>4087</v>
      </c>
      <c r="J917" s="6">
        <v>45172</v>
      </c>
      <c r="K917" s="4">
        <f>VLOOKUP(G917,Exchange_Rates!A:B,2,FALSE)</f>
        <v>0.66</v>
      </c>
      <c r="L917" s="4">
        <f t="shared" si="14"/>
        <v>521.45280000000002</v>
      </c>
    </row>
    <row r="918" spans="1:12" x14ac:dyDescent="0.25">
      <c r="A918" s="4" t="s">
        <v>5100</v>
      </c>
      <c r="B918" s="4" t="s">
        <v>4136</v>
      </c>
      <c r="C918" s="6">
        <v>45125</v>
      </c>
      <c r="D918" s="4" t="s">
        <v>4053</v>
      </c>
      <c r="E918" s="4" t="s">
        <v>4054</v>
      </c>
      <c r="F918" s="4">
        <v>750.11</v>
      </c>
      <c r="G918" s="4" t="s">
        <v>45</v>
      </c>
      <c r="H918" s="4" t="s">
        <v>4097</v>
      </c>
      <c r="I918" s="4" t="s">
        <v>4087</v>
      </c>
      <c r="J918" s="4"/>
      <c r="K918" s="4">
        <f>VLOOKUP(G918,Exchange_Rates!A:B,2,FALSE)</f>
        <v>1</v>
      </c>
      <c r="L918" s="4">
        <f t="shared" si="14"/>
        <v>750.11</v>
      </c>
    </row>
    <row r="919" spans="1:12" x14ac:dyDescent="0.25">
      <c r="A919" s="4" t="s">
        <v>5101</v>
      </c>
      <c r="B919" s="4" t="s">
        <v>4052</v>
      </c>
      <c r="C919" s="6">
        <v>44995</v>
      </c>
      <c r="D919" s="4" t="s">
        <v>4062</v>
      </c>
      <c r="E919" s="4" t="s">
        <v>4054</v>
      </c>
      <c r="F919" s="4">
        <v>314.44</v>
      </c>
      <c r="G919" s="4" t="s">
        <v>36</v>
      </c>
      <c r="H919" s="4" t="s">
        <v>4059</v>
      </c>
      <c r="I919" s="4" t="s">
        <v>4056</v>
      </c>
      <c r="J919" s="4"/>
      <c r="K919" s="4">
        <f>VLOOKUP(G919,Exchange_Rates!A:B,2,FALSE)</f>
        <v>1.08</v>
      </c>
      <c r="L919" s="4">
        <f t="shared" si="14"/>
        <v>339.59520000000003</v>
      </c>
    </row>
    <row r="920" spans="1:12" x14ac:dyDescent="0.25">
      <c r="A920" s="4" t="s">
        <v>5102</v>
      </c>
      <c r="B920" s="4" t="s">
        <v>4258</v>
      </c>
      <c r="C920" s="6">
        <v>45717</v>
      </c>
      <c r="D920" s="4" t="s">
        <v>4053</v>
      </c>
      <c r="E920" s="4" t="s">
        <v>4054</v>
      </c>
      <c r="F920" s="4">
        <v>217.72</v>
      </c>
      <c r="G920" s="4" t="s">
        <v>64</v>
      </c>
      <c r="H920" s="4" t="s">
        <v>4063</v>
      </c>
      <c r="I920" s="4" t="s">
        <v>4070</v>
      </c>
      <c r="J920" s="4"/>
      <c r="K920" s="4">
        <f>VLOOKUP(G920,Exchange_Rates!A:B,2,FALSE)</f>
        <v>0.73</v>
      </c>
      <c r="L920" s="4">
        <f t="shared" si="14"/>
        <v>158.93559999999999</v>
      </c>
    </row>
    <row r="921" spans="1:12" x14ac:dyDescent="0.25">
      <c r="A921" s="4" t="s">
        <v>5103</v>
      </c>
      <c r="B921" s="4" t="s">
        <v>4138</v>
      </c>
      <c r="C921" s="6">
        <v>45285</v>
      </c>
      <c r="D921" s="4" t="s">
        <v>4062</v>
      </c>
      <c r="E921" s="4" t="s">
        <v>4054</v>
      </c>
      <c r="F921" s="4">
        <v>678.45</v>
      </c>
      <c r="G921" s="4" t="s">
        <v>36</v>
      </c>
      <c r="H921" s="4" t="s">
        <v>4055</v>
      </c>
      <c r="I921" s="4" t="s">
        <v>4056</v>
      </c>
      <c r="J921" s="6">
        <v>45300</v>
      </c>
      <c r="K921" s="4">
        <f>VLOOKUP(G921,Exchange_Rates!A:B,2,FALSE)</f>
        <v>1.08</v>
      </c>
      <c r="L921" s="4">
        <f t="shared" si="14"/>
        <v>732.72600000000011</v>
      </c>
    </row>
    <row r="922" spans="1:12" x14ac:dyDescent="0.25">
      <c r="A922" s="4" t="s">
        <v>5104</v>
      </c>
      <c r="B922" s="4" t="s">
        <v>4345</v>
      </c>
      <c r="C922" s="6">
        <v>45304</v>
      </c>
      <c r="D922" s="4" t="s">
        <v>4066</v>
      </c>
      <c r="E922" s="4" t="s">
        <v>4054</v>
      </c>
      <c r="F922" s="4">
        <v>699.91</v>
      </c>
      <c r="G922" s="4" t="s">
        <v>42</v>
      </c>
      <c r="H922" s="4" t="s">
        <v>4059</v>
      </c>
      <c r="I922" s="4" t="s">
        <v>4070</v>
      </c>
      <c r="J922" s="4"/>
      <c r="K922" s="4">
        <f>VLOOKUP(G922,Exchange_Rates!A:B,2,FALSE)</f>
        <v>0.66</v>
      </c>
      <c r="L922" s="4">
        <f t="shared" si="14"/>
        <v>461.94060000000002</v>
      </c>
    </row>
    <row r="923" spans="1:12" x14ac:dyDescent="0.25">
      <c r="A923" s="4" t="s">
        <v>5105</v>
      </c>
      <c r="B923" s="4" t="s">
        <v>4122</v>
      </c>
      <c r="C923" s="6">
        <v>45667</v>
      </c>
      <c r="D923" s="4" t="s">
        <v>4069</v>
      </c>
      <c r="E923" s="4" t="s">
        <v>4054</v>
      </c>
      <c r="F923" s="4">
        <v>669.35</v>
      </c>
      <c r="G923" s="4" t="s">
        <v>36</v>
      </c>
      <c r="H923" s="4" t="s">
        <v>4055</v>
      </c>
      <c r="I923" s="4" t="s">
        <v>4056</v>
      </c>
      <c r="J923" s="6">
        <v>45682</v>
      </c>
      <c r="K923" s="4">
        <f>VLOOKUP(G923,Exchange_Rates!A:B,2,FALSE)</f>
        <v>1.08</v>
      </c>
      <c r="L923" s="4">
        <f t="shared" si="14"/>
        <v>722.89800000000002</v>
      </c>
    </row>
    <row r="924" spans="1:12" x14ac:dyDescent="0.25">
      <c r="A924" s="4" t="s">
        <v>5106</v>
      </c>
      <c r="B924" s="4" t="s">
        <v>4324</v>
      </c>
      <c r="C924" s="6">
        <v>45035</v>
      </c>
      <c r="D924" s="4" t="s">
        <v>4053</v>
      </c>
      <c r="E924" s="4" t="s">
        <v>4054</v>
      </c>
      <c r="F924" s="4">
        <v>569.61</v>
      </c>
      <c r="G924" s="4" t="s">
        <v>64</v>
      </c>
      <c r="H924" s="4" t="s">
        <v>4059</v>
      </c>
      <c r="I924" s="4" t="s">
        <v>4070</v>
      </c>
      <c r="J924" s="4"/>
      <c r="K924" s="4">
        <f>VLOOKUP(G924,Exchange_Rates!A:B,2,FALSE)</f>
        <v>0.73</v>
      </c>
      <c r="L924" s="4">
        <f t="shared" si="14"/>
        <v>415.81529999999998</v>
      </c>
    </row>
    <row r="925" spans="1:12" x14ac:dyDescent="0.25">
      <c r="A925" s="4" t="s">
        <v>5107</v>
      </c>
      <c r="B925" s="4" t="s">
        <v>4515</v>
      </c>
      <c r="C925" s="6">
        <v>45548</v>
      </c>
      <c r="D925" s="4" t="s">
        <v>4096</v>
      </c>
      <c r="E925" s="4" t="s">
        <v>4054</v>
      </c>
      <c r="F925" s="4">
        <v>754.3</v>
      </c>
      <c r="G925" s="4" t="s">
        <v>64</v>
      </c>
      <c r="H925" s="4" t="s">
        <v>4097</v>
      </c>
      <c r="I925" s="4" t="s">
        <v>4056</v>
      </c>
      <c r="J925" s="4"/>
      <c r="K925" s="4">
        <f>VLOOKUP(G925,Exchange_Rates!A:B,2,FALSE)</f>
        <v>0.73</v>
      </c>
      <c r="L925" s="4">
        <f t="shared" si="14"/>
        <v>550.63900000000001</v>
      </c>
    </row>
    <row r="926" spans="1:12" x14ac:dyDescent="0.25">
      <c r="A926" s="4" t="s">
        <v>5108</v>
      </c>
      <c r="B926" s="4" t="s">
        <v>4477</v>
      </c>
      <c r="C926" s="6">
        <v>45387</v>
      </c>
      <c r="D926" s="4" t="s">
        <v>4053</v>
      </c>
      <c r="E926" s="4" t="s">
        <v>4054</v>
      </c>
      <c r="F926" s="4">
        <v>485.5</v>
      </c>
      <c r="G926" s="4" t="s">
        <v>45</v>
      </c>
      <c r="H926" s="4" t="s">
        <v>4097</v>
      </c>
      <c r="I926" s="4" t="s">
        <v>4087</v>
      </c>
      <c r="J926" s="4"/>
      <c r="K926" s="4">
        <f>VLOOKUP(G926,Exchange_Rates!A:B,2,FALSE)</f>
        <v>1</v>
      </c>
      <c r="L926" s="4">
        <f t="shared" si="14"/>
        <v>485.5</v>
      </c>
    </row>
    <row r="927" spans="1:12" x14ac:dyDescent="0.25">
      <c r="A927" s="4" t="s">
        <v>5109</v>
      </c>
      <c r="B927" s="4" t="s">
        <v>4371</v>
      </c>
      <c r="C927" s="6">
        <v>45603</v>
      </c>
      <c r="D927" s="4" t="s">
        <v>4069</v>
      </c>
      <c r="E927" s="4" t="s">
        <v>4054</v>
      </c>
      <c r="F927" s="4">
        <v>442.46</v>
      </c>
      <c r="G927" s="4" t="s">
        <v>64</v>
      </c>
      <c r="H927" s="4" t="s">
        <v>4097</v>
      </c>
      <c r="I927" s="4" t="s">
        <v>4056</v>
      </c>
      <c r="J927" s="4"/>
      <c r="K927" s="4">
        <f>VLOOKUP(G927,Exchange_Rates!A:B,2,FALSE)</f>
        <v>0.73</v>
      </c>
      <c r="L927" s="4">
        <f t="shared" si="14"/>
        <v>322.99579999999997</v>
      </c>
    </row>
    <row r="928" spans="1:12" x14ac:dyDescent="0.25">
      <c r="A928" s="4" t="s">
        <v>5110</v>
      </c>
      <c r="B928" s="4" t="s">
        <v>4324</v>
      </c>
      <c r="C928" s="6">
        <v>45414</v>
      </c>
      <c r="D928" s="4" t="s">
        <v>4053</v>
      </c>
      <c r="E928" s="4" t="s">
        <v>4054</v>
      </c>
      <c r="F928" s="4">
        <v>556.21</v>
      </c>
      <c r="G928" s="4" t="s">
        <v>36</v>
      </c>
      <c r="H928" s="4" t="s">
        <v>4097</v>
      </c>
      <c r="I928" s="4" t="s">
        <v>4056</v>
      </c>
      <c r="J928" s="4"/>
      <c r="K928" s="4">
        <f>VLOOKUP(G928,Exchange_Rates!A:B,2,FALSE)</f>
        <v>1.08</v>
      </c>
      <c r="L928" s="4">
        <f t="shared" si="14"/>
        <v>600.70680000000004</v>
      </c>
    </row>
    <row r="929" spans="1:12" x14ac:dyDescent="0.25">
      <c r="A929" s="4" t="s">
        <v>5111</v>
      </c>
      <c r="B929" s="4" t="s">
        <v>4162</v>
      </c>
      <c r="C929" s="6">
        <v>45811</v>
      </c>
      <c r="D929" s="4" t="s">
        <v>4053</v>
      </c>
      <c r="E929" s="4" t="s">
        <v>4054</v>
      </c>
      <c r="F929" s="4">
        <v>92.41</v>
      </c>
      <c r="G929" s="4" t="s">
        <v>64</v>
      </c>
      <c r="H929" s="4" t="s">
        <v>4059</v>
      </c>
      <c r="I929" s="4" t="s">
        <v>4087</v>
      </c>
      <c r="J929" s="4"/>
      <c r="K929" s="4">
        <f>VLOOKUP(G929,Exchange_Rates!A:B,2,FALSE)</f>
        <v>0.73</v>
      </c>
      <c r="L929" s="4">
        <f t="shared" si="14"/>
        <v>67.459299999999999</v>
      </c>
    </row>
    <row r="930" spans="1:12" x14ac:dyDescent="0.25">
      <c r="A930" s="4" t="s">
        <v>5112</v>
      </c>
      <c r="B930" s="4" t="s">
        <v>4156</v>
      </c>
      <c r="C930" s="6">
        <v>45733</v>
      </c>
      <c r="D930" s="4" t="s">
        <v>4062</v>
      </c>
      <c r="E930" s="4" t="s">
        <v>4054</v>
      </c>
      <c r="F930" s="4">
        <v>502.24</v>
      </c>
      <c r="G930" s="4" t="s">
        <v>28</v>
      </c>
      <c r="H930" s="4" t="s">
        <v>4097</v>
      </c>
      <c r="I930" s="4" t="s">
        <v>4070</v>
      </c>
      <c r="J930" s="4"/>
      <c r="K930" s="4">
        <f>VLOOKUP(G930,Exchange_Rates!A:B,2,FALSE)</f>
        <v>1.27</v>
      </c>
      <c r="L930" s="4">
        <f t="shared" si="14"/>
        <v>637.84479999999996</v>
      </c>
    </row>
    <row r="931" spans="1:12" x14ac:dyDescent="0.25">
      <c r="A931" s="4" t="s">
        <v>5113</v>
      </c>
      <c r="B931" s="4" t="s">
        <v>4084</v>
      </c>
      <c r="C931" s="6">
        <v>45453</v>
      </c>
      <c r="D931" s="4" t="s">
        <v>4066</v>
      </c>
      <c r="E931" s="4" t="s">
        <v>4054</v>
      </c>
      <c r="F931" s="4">
        <v>185.38</v>
      </c>
      <c r="G931" s="4" t="s">
        <v>64</v>
      </c>
      <c r="H931" s="4" t="s">
        <v>4063</v>
      </c>
      <c r="I931" s="4" t="s">
        <v>4070</v>
      </c>
      <c r="J931" s="4"/>
      <c r="K931" s="4">
        <f>VLOOKUP(G931,Exchange_Rates!A:B,2,FALSE)</f>
        <v>0.73</v>
      </c>
      <c r="L931" s="4">
        <f t="shared" si="14"/>
        <v>135.32739999999998</v>
      </c>
    </row>
    <row r="932" spans="1:12" x14ac:dyDescent="0.25">
      <c r="A932" s="4" t="s">
        <v>5114</v>
      </c>
      <c r="B932" s="4" t="s">
        <v>4156</v>
      </c>
      <c r="C932" s="6">
        <v>45120</v>
      </c>
      <c r="D932" s="4" t="s">
        <v>4096</v>
      </c>
      <c r="E932" s="4" t="s">
        <v>4054</v>
      </c>
      <c r="F932" s="4">
        <v>717.25</v>
      </c>
      <c r="G932" s="4" t="s">
        <v>42</v>
      </c>
      <c r="H932" s="4" t="s">
        <v>4063</v>
      </c>
      <c r="I932" s="4" t="s">
        <v>4056</v>
      </c>
      <c r="J932" s="4"/>
      <c r="K932" s="4">
        <f>VLOOKUP(G932,Exchange_Rates!A:B,2,FALSE)</f>
        <v>0.66</v>
      </c>
      <c r="L932" s="4">
        <f t="shared" si="14"/>
        <v>473.38500000000005</v>
      </c>
    </row>
    <row r="933" spans="1:12" x14ac:dyDescent="0.25">
      <c r="A933" s="4" t="s">
        <v>5115</v>
      </c>
      <c r="B933" s="4" t="s">
        <v>4184</v>
      </c>
      <c r="C933" s="6">
        <v>44987</v>
      </c>
      <c r="D933" s="4" t="s">
        <v>4096</v>
      </c>
      <c r="E933" s="4" t="s">
        <v>4054</v>
      </c>
      <c r="F933" s="4">
        <v>635.62</v>
      </c>
      <c r="G933" s="4" t="s">
        <v>64</v>
      </c>
      <c r="H933" s="4" t="s">
        <v>4055</v>
      </c>
      <c r="I933" s="4" t="s">
        <v>4056</v>
      </c>
      <c r="J933" s="6">
        <v>45002</v>
      </c>
      <c r="K933" s="4">
        <f>VLOOKUP(G933,Exchange_Rates!A:B,2,FALSE)</f>
        <v>0.73</v>
      </c>
      <c r="L933" s="4">
        <f t="shared" si="14"/>
        <v>464.00259999999997</v>
      </c>
    </row>
    <row r="934" spans="1:12" x14ac:dyDescent="0.25">
      <c r="A934" s="4" t="s">
        <v>5116</v>
      </c>
      <c r="B934" s="4" t="s">
        <v>4497</v>
      </c>
      <c r="C934" s="6">
        <v>45617</v>
      </c>
      <c r="D934" s="4" t="s">
        <v>4066</v>
      </c>
      <c r="E934" s="4" t="s">
        <v>4054</v>
      </c>
      <c r="F934" s="4">
        <v>57.11</v>
      </c>
      <c r="G934" s="4" t="s">
        <v>64</v>
      </c>
      <c r="H934" s="4" t="s">
        <v>4059</v>
      </c>
      <c r="I934" s="4" t="s">
        <v>4056</v>
      </c>
      <c r="J934" s="4"/>
      <c r="K934" s="4">
        <f>VLOOKUP(G934,Exchange_Rates!A:B,2,FALSE)</f>
        <v>0.73</v>
      </c>
      <c r="L934" s="4">
        <f t="shared" si="14"/>
        <v>41.690300000000001</v>
      </c>
    </row>
    <row r="935" spans="1:12" x14ac:dyDescent="0.25">
      <c r="A935" s="4" t="s">
        <v>5117</v>
      </c>
      <c r="B935" s="4" t="s">
        <v>4148</v>
      </c>
      <c r="C935" s="6">
        <v>45166</v>
      </c>
      <c r="D935" s="4" t="s">
        <v>4066</v>
      </c>
      <c r="E935" s="4" t="s">
        <v>4054</v>
      </c>
      <c r="F935" s="4">
        <v>177.28</v>
      </c>
      <c r="G935" s="4" t="s">
        <v>28</v>
      </c>
      <c r="H935" s="4" t="s">
        <v>4059</v>
      </c>
      <c r="I935" s="4" t="s">
        <v>4087</v>
      </c>
      <c r="J935" s="4"/>
      <c r="K935" s="4">
        <f>VLOOKUP(G935,Exchange_Rates!A:B,2,FALSE)</f>
        <v>1.27</v>
      </c>
      <c r="L935" s="4">
        <f t="shared" si="14"/>
        <v>225.1456</v>
      </c>
    </row>
    <row r="936" spans="1:12" x14ac:dyDescent="0.25">
      <c r="A936" s="4" t="s">
        <v>5118</v>
      </c>
      <c r="B936" s="4" t="s">
        <v>4103</v>
      </c>
      <c r="C936" s="6">
        <v>45116</v>
      </c>
      <c r="D936" s="4" t="s">
        <v>4096</v>
      </c>
      <c r="E936" s="4" t="s">
        <v>4054</v>
      </c>
      <c r="F936" s="4">
        <v>370.2</v>
      </c>
      <c r="G936" s="4" t="s">
        <v>45</v>
      </c>
      <c r="H936" s="4" t="s">
        <v>4063</v>
      </c>
      <c r="I936" s="4" t="s">
        <v>4070</v>
      </c>
      <c r="J936" s="4"/>
      <c r="K936" s="4">
        <f>VLOOKUP(G936,Exchange_Rates!A:B,2,FALSE)</f>
        <v>1</v>
      </c>
      <c r="L936" s="4">
        <f t="shared" si="14"/>
        <v>370.2</v>
      </c>
    </row>
    <row r="937" spans="1:12" x14ac:dyDescent="0.25">
      <c r="A937" s="4" t="s">
        <v>5119</v>
      </c>
      <c r="B937" s="4" t="s">
        <v>4078</v>
      </c>
      <c r="C937" s="6">
        <v>45094</v>
      </c>
      <c r="D937" s="4" t="s">
        <v>4096</v>
      </c>
      <c r="E937" s="4" t="s">
        <v>4054</v>
      </c>
      <c r="F937" s="4">
        <v>133.46</v>
      </c>
      <c r="G937" s="4" t="s">
        <v>28</v>
      </c>
      <c r="H937" s="4" t="s">
        <v>4055</v>
      </c>
      <c r="I937" s="4" t="s">
        <v>4056</v>
      </c>
      <c r="J937" s="6">
        <v>45109</v>
      </c>
      <c r="K937" s="4">
        <f>VLOOKUP(G937,Exchange_Rates!A:B,2,FALSE)</f>
        <v>1.27</v>
      </c>
      <c r="L937" s="4">
        <f t="shared" si="14"/>
        <v>169.49420000000001</v>
      </c>
    </row>
    <row r="938" spans="1:12" x14ac:dyDescent="0.25">
      <c r="A938" s="4" t="s">
        <v>5120</v>
      </c>
      <c r="B938" s="4" t="s">
        <v>4258</v>
      </c>
      <c r="C938" s="6">
        <v>45061</v>
      </c>
      <c r="D938" s="4" t="s">
        <v>4053</v>
      </c>
      <c r="E938" s="4" t="s">
        <v>4054</v>
      </c>
      <c r="F938" s="4">
        <v>203.13</v>
      </c>
      <c r="G938" s="4" t="s">
        <v>28</v>
      </c>
      <c r="H938" s="4" t="s">
        <v>4063</v>
      </c>
      <c r="I938" s="4" t="s">
        <v>4070</v>
      </c>
      <c r="J938" s="4"/>
      <c r="K938" s="4">
        <f>VLOOKUP(G938,Exchange_Rates!A:B,2,FALSE)</f>
        <v>1.27</v>
      </c>
      <c r="L938" s="4">
        <f t="shared" si="14"/>
        <v>257.9751</v>
      </c>
    </row>
    <row r="939" spans="1:12" x14ac:dyDescent="0.25">
      <c r="A939" s="4" t="s">
        <v>5121</v>
      </c>
      <c r="B939" s="4" t="s">
        <v>4244</v>
      </c>
      <c r="C939" s="6">
        <v>45515</v>
      </c>
      <c r="D939" s="4" t="s">
        <v>4096</v>
      </c>
      <c r="E939" s="4" t="s">
        <v>4054</v>
      </c>
      <c r="F939" s="4">
        <v>795.09</v>
      </c>
      <c r="G939" s="4" t="s">
        <v>42</v>
      </c>
      <c r="H939" s="4" t="s">
        <v>4059</v>
      </c>
      <c r="I939" s="4" t="s">
        <v>4056</v>
      </c>
      <c r="J939" s="4"/>
      <c r="K939" s="4">
        <f>VLOOKUP(G939,Exchange_Rates!A:B,2,FALSE)</f>
        <v>0.66</v>
      </c>
      <c r="L939" s="4">
        <f t="shared" si="14"/>
        <v>524.75940000000003</v>
      </c>
    </row>
    <row r="940" spans="1:12" x14ac:dyDescent="0.25">
      <c r="A940" s="4" t="s">
        <v>5122</v>
      </c>
      <c r="B940" s="4" t="s">
        <v>4371</v>
      </c>
      <c r="C940" s="6">
        <v>45805</v>
      </c>
      <c r="D940" s="4" t="s">
        <v>4053</v>
      </c>
      <c r="E940" s="4" t="s">
        <v>4054</v>
      </c>
      <c r="F940" s="4">
        <v>549.16</v>
      </c>
      <c r="G940" s="4" t="s">
        <v>45</v>
      </c>
      <c r="H940" s="4" t="s">
        <v>4063</v>
      </c>
      <c r="I940" s="4" t="s">
        <v>4056</v>
      </c>
      <c r="J940" s="4"/>
      <c r="K940" s="4">
        <f>VLOOKUP(G940,Exchange_Rates!A:B,2,FALSE)</f>
        <v>1</v>
      </c>
      <c r="L940" s="4">
        <f t="shared" si="14"/>
        <v>549.16</v>
      </c>
    </row>
    <row r="941" spans="1:12" x14ac:dyDescent="0.25">
      <c r="A941" s="4" t="s">
        <v>5123</v>
      </c>
      <c r="B941" s="4" t="s">
        <v>4253</v>
      </c>
      <c r="C941" s="6">
        <v>45799</v>
      </c>
      <c r="D941" s="4" t="s">
        <v>4062</v>
      </c>
      <c r="E941" s="4" t="s">
        <v>4054</v>
      </c>
      <c r="F941" s="4">
        <v>80.95</v>
      </c>
      <c r="G941" s="4" t="s">
        <v>28</v>
      </c>
      <c r="H941" s="4" t="s">
        <v>4059</v>
      </c>
      <c r="I941" s="4" t="s">
        <v>4070</v>
      </c>
      <c r="J941" s="4"/>
      <c r="K941" s="4">
        <f>VLOOKUP(G941,Exchange_Rates!A:B,2,FALSE)</f>
        <v>1.27</v>
      </c>
      <c r="L941" s="4">
        <f t="shared" si="14"/>
        <v>102.8065</v>
      </c>
    </row>
    <row r="942" spans="1:12" x14ac:dyDescent="0.25">
      <c r="A942" s="4" t="s">
        <v>5124</v>
      </c>
      <c r="B942" s="4" t="s">
        <v>4099</v>
      </c>
      <c r="C942" s="6">
        <v>45197</v>
      </c>
      <c r="D942" s="4" t="s">
        <v>4069</v>
      </c>
      <c r="E942" s="4" t="s">
        <v>4054</v>
      </c>
      <c r="F942" s="4">
        <v>649.1</v>
      </c>
      <c r="G942" s="4" t="s">
        <v>28</v>
      </c>
      <c r="H942" s="4" t="s">
        <v>4063</v>
      </c>
      <c r="I942" s="4" t="s">
        <v>4056</v>
      </c>
      <c r="J942" s="4"/>
      <c r="K942" s="4">
        <f>VLOOKUP(G942,Exchange_Rates!A:B,2,FALSE)</f>
        <v>1.27</v>
      </c>
      <c r="L942" s="4">
        <f t="shared" si="14"/>
        <v>824.35700000000008</v>
      </c>
    </row>
    <row r="943" spans="1:12" x14ac:dyDescent="0.25">
      <c r="A943" s="4" t="s">
        <v>5125</v>
      </c>
      <c r="B943" s="4" t="s">
        <v>4199</v>
      </c>
      <c r="C943" s="6">
        <v>44949</v>
      </c>
      <c r="D943" s="4" t="s">
        <v>4066</v>
      </c>
      <c r="E943" s="4" t="s">
        <v>4054</v>
      </c>
      <c r="F943" s="4">
        <v>297.76</v>
      </c>
      <c r="G943" s="4" t="s">
        <v>42</v>
      </c>
      <c r="H943" s="4" t="s">
        <v>4097</v>
      </c>
      <c r="I943" s="4" t="s">
        <v>4056</v>
      </c>
      <c r="J943" s="4"/>
      <c r="K943" s="4">
        <f>VLOOKUP(G943,Exchange_Rates!A:B,2,FALSE)</f>
        <v>0.66</v>
      </c>
      <c r="L943" s="4">
        <f t="shared" si="14"/>
        <v>196.52160000000001</v>
      </c>
    </row>
    <row r="944" spans="1:12" x14ac:dyDescent="0.25">
      <c r="A944" s="4" t="s">
        <v>5126</v>
      </c>
      <c r="B944" s="4" t="s">
        <v>4132</v>
      </c>
      <c r="C944" s="6">
        <v>45246</v>
      </c>
      <c r="D944" s="4" t="s">
        <v>4062</v>
      </c>
      <c r="E944" s="4" t="s">
        <v>4054</v>
      </c>
      <c r="F944" s="4">
        <v>256.72000000000003</v>
      </c>
      <c r="G944" s="4" t="s">
        <v>36</v>
      </c>
      <c r="H944" s="4" t="s">
        <v>4063</v>
      </c>
      <c r="I944" s="4" t="s">
        <v>4056</v>
      </c>
      <c r="J944" s="4"/>
      <c r="K944" s="4">
        <f>VLOOKUP(G944,Exchange_Rates!A:B,2,FALSE)</f>
        <v>1.08</v>
      </c>
      <c r="L944" s="4">
        <f t="shared" si="14"/>
        <v>277.25760000000002</v>
      </c>
    </row>
    <row r="945" spans="1:12" x14ac:dyDescent="0.25">
      <c r="A945" s="4" t="s">
        <v>5127</v>
      </c>
      <c r="B945" s="4" t="s">
        <v>4199</v>
      </c>
      <c r="C945" s="6">
        <v>45669</v>
      </c>
      <c r="D945" s="4" t="s">
        <v>4062</v>
      </c>
      <c r="E945" s="4" t="s">
        <v>4054</v>
      </c>
      <c r="F945" s="4">
        <v>58.26</v>
      </c>
      <c r="G945" s="4" t="s">
        <v>45</v>
      </c>
      <c r="H945" s="4" t="s">
        <v>4055</v>
      </c>
      <c r="I945" s="4" t="s">
        <v>4070</v>
      </c>
      <c r="J945" s="6">
        <v>45684</v>
      </c>
      <c r="K945" s="4">
        <f>VLOOKUP(G945,Exchange_Rates!A:B,2,FALSE)</f>
        <v>1</v>
      </c>
      <c r="L945" s="4">
        <f t="shared" si="14"/>
        <v>58.26</v>
      </c>
    </row>
    <row r="946" spans="1:12" x14ac:dyDescent="0.25">
      <c r="A946" s="4" t="s">
        <v>5128</v>
      </c>
      <c r="B946" s="4" t="s">
        <v>4350</v>
      </c>
      <c r="C946" s="6">
        <v>45255</v>
      </c>
      <c r="D946" s="4" t="s">
        <v>4066</v>
      </c>
      <c r="E946" s="4" t="s">
        <v>4054</v>
      </c>
      <c r="F946" s="4">
        <v>148.29</v>
      </c>
      <c r="G946" s="4" t="s">
        <v>36</v>
      </c>
      <c r="H946" s="4" t="s">
        <v>4063</v>
      </c>
      <c r="I946" s="4" t="s">
        <v>4087</v>
      </c>
      <c r="J946" s="4"/>
      <c r="K946" s="4">
        <f>VLOOKUP(G946,Exchange_Rates!A:B,2,FALSE)</f>
        <v>1.08</v>
      </c>
      <c r="L946" s="4">
        <f t="shared" si="14"/>
        <v>160.1532</v>
      </c>
    </row>
    <row r="947" spans="1:12" x14ac:dyDescent="0.25">
      <c r="A947" s="4" t="s">
        <v>5129</v>
      </c>
      <c r="B947" s="4" t="s">
        <v>4528</v>
      </c>
      <c r="C947" s="6">
        <v>45802</v>
      </c>
      <c r="D947" s="4" t="s">
        <v>4062</v>
      </c>
      <c r="E947" s="4" t="s">
        <v>4054</v>
      </c>
      <c r="F947" s="4">
        <v>781.33</v>
      </c>
      <c r="G947" s="4" t="s">
        <v>45</v>
      </c>
      <c r="H947" s="4" t="s">
        <v>4063</v>
      </c>
      <c r="I947" s="4" t="s">
        <v>4087</v>
      </c>
      <c r="J947" s="4"/>
      <c r="K947" s="4">
        <f>VLOOKUP(G947,Exchange_Rates!A:B,2,FALSE)</f>
        <v>1</v>
      </c>
      <c r="L947" s="4">
        <f t="shared" si="14"/>
        <v>781.33</v>
      </c>
    </row>
    <row r="948" spans="1:12" x14ac:dyDescent="0.25">
      <c r="A948" s="4" t="s">
        <v>5130</v>
      </c>
      <c r="B948" s="4" t="s">
        <v>4206</v>
      </c>
      <c r="C948" s="6">
        <v>45782</v>
      </c>
      <c r="D948" s="4" t="s">
        <v>4069</v>
      </c>
      <c r="E948" s="4" t="s">
        <v>4054</v>
      </c>
      <c r="F948" s="4">
        <v>253.88</v>
      </c>
      <c r="G948" s="4" t="s">
        <v>45</v>
      </c>
      <c r="H948" s="4" t="s">
        <v>4063</v>
      </c>
      <c r="I948" s="4" t="s">
        <v>4070</v>
      </c>
      <c r="J948" s="4"/>
      <c r="K948" s="4">
        <f>VLOOKUP(G948,Exchange_Rates!A:B,2,FALSE)</f>
        <v>1</v>
      </c>
      <c r="L948" s="4">
        <f t="shared" si="14"/>
        <v>253.88</v>
      </c>
    </row>
    <row r="949" spans="1:12" x14ac:dyDescent="0.25">
      <c r="A949" s="4" t="s">
        <v>5131</v>
      </c>
      <c r="B949" s="4" t="s">
        <v>4239</v>
      </c>
      <c r="C949" s="6">
        <v>44966</v>
      </c>
      <c r="D949" s="4" t="s">
        <v>4062</v>
      </c>
      <c r="E949" s="4" t="s">
        <v>4054</v>
      </c>
      <c r="F949" s="4">
        <v>129.97999999999999</v>
      </c>
      <c r="G949" s="4" t="s">
        <v>42</v>
      </c>
      <c r="H949" s="4" t="s">
        <v>4059</v>
      </c>
      <c r="I949" s="4" t="s">
        <v>4056</v>
      </c>
      <c r="J949" s="4"/>
      <c r="K949" s="4">
        <f>VLOOKUP(G949,Exchange_Rates!A:B,2,FALSE)</f>
        <v>0.66</v>
      </c>
      <c r="L949" s="4">
        <f t="shared" si="14"/>
        <v>85.786799999999999</v>
      </c>
    </row>
    <row r="950" spans="1:12" x14ac:dyDescent="0.25">
      <c r="A950" s="4" t="s">
        <v>5132</v>
      </c>
      <c r="B950" s="4" t="s">
        <v>4269</v>
      </c>
      <c r="C950" s="6">
        <v>45337</v>
      </c>
      <c r="D950" s="4" t="s">
        <v>4062</v>
      </c>
      <c r="E950" s="4" t="s">
        <v>4054</v>
      </c>
      <c r="F950" s="4">
        <v>110.47</v>
      </c>
      <c r="G950" s="4" t="s">
        <v>42</v>
      </c>
      <c r="H950" s="4" t="s">
        <v>4097</v>
      </c>
      <c r="I950" s="4" t="s">
        <v>4056</v>
      </c>
      <c r="J950" s="4"/>
      <c r="K950" s="4">
        <f>VLOOKUP(G950,Exchange_Rates!A:B,2,FALSE)</f>
        <v>0.66</v>
      </c>
      <c r="L950" s="4">
        <f t="shared" si="14"/>
        <v>72.910200000000003</v>
      </c>
    </row>
    <row r="951" spans="1:12" x14ac:dyDescent="0.25">
      <c r="A951" s="4" t="s">
        <v>5133</v>
      </c>
      <c r="B951" s="4" t="s">
        <v>4330</v>
      </c>
      <c r="C951" s="6">
        <v>45536</v>
      </c>
      <c r="D951" s="4" t="s">
        <v>4066</v>
      </c>
      <c r="E951" s="4" t="s">
        <v>4054</v>
      </c>
      <c r="F951" s="4">
        <v>666.82</v>
      </c>
      <c r="G951" s="4" t="s">
        <v>42</v>
      </c>
      <c r="H951" s="4" t="s">
        <v>4097</v>
      </c>
      <c r="I951" s="4" t="s">
        <v>4056</v>
      </c>
      <c r="J951" s="4"/>
      <c r="K951" s="4">
        <f>VLOOKUP(G951,Exchange_Rates!A:B,2,FALSE)</f>
        <v>0.66</v>
      </c>
      <c r="L951" s="4">
        <f t="shared" si="14"/>
        <v>440.10120000000006</v>
      </c>
    </row>
    <row r="952" spans="1:12" x14ac:dyDescent="0.25">
      <c r="A952" s="4" t="s">
        <v>5134</v>
      </c>
      <c r="B952" s="4" t="s">
        <v>4126</v>
      </c>
      <c r="C952" s="6">
        <v>45101</v>
      </c>
      <c r="D952" s="4" t="s">
        <v>4069</v>
      </c>
      <c r="E952" s="4" t="s">
        <v>4054</v>
      </c>
      <c r="F952" s="4">
        <v>143.32</v>
      </c>
      <c r="G952" s="4" t="s">
        <v>42</v>
      </c>
      <c r="H952" s="4" t="s">
        <v>4063</v>
      </c>
      <c r="I952" s="4" t="s">
        <v>4087</v>
      </c>
      <c r="J952" s="4"/>
      <c r="K952" s="4">
        <f>VLOOKUP(G952,Exchange_Rates!A:B,2,FALSE)</f>
        <v>0.66</v>
      </c>
      <c r="L952" s="4">
        <f t="shared" si="14"/>
        <v>94.591200000000001</v>
      </c>
    </row>
    <row r="953" spans="1:12" x14ac:dyDescent="0.25">
      <c r="A953" s="4" t="s">
        <v>5135</v>
      </c>
      <c r="B953" s="4" t="s">
        <v>4152</v>
      </c>
      <c r="C953" s="6">
        <v>45031</v>
      </c>
      <c r="D953" s="4" t="s">
        <v>4062</v>
      </c>
      <c r="E953" s="4" t="s">
        <v>4054</v>
      </c>
      <c r="F953" s="4">
        <v>232.1</v>
      </c>
      <c r="G953" s="4" t="s">
        <v>64</v>
      </c>
      <c r="H953" s="4" t="s">
        <v>4097</v>
      </c>
      <c r="I953" s="4" t="s">
        <v>4056</v>
      </c>
      <c r="J953" s="4"/>
      <c r="K953" s="4">
        <f>VLOOKUP(G953,Exchange_Rates!A:B,2,FALSE)</f>
        <v>0.73</v>
      </c>
      <c r="L953" s="4">
        <f t="shared" si="14"/>
        <v>169.43299999999999</v>
      </c>
    </row>
    <row r="954" spans="1:12" x14ac:dyDescent="0.25">
      <c r="A954" s="4" t="s">
        <v>5136</v>
      </c>
      <c r="B954" s="4" t="s">
        <v>4129</v>
      </c>
      <c r="C954" s="6">
        <v>45359</v>
      </c>
      <c r="D954" s="4" t="s">
        <v>4062</v>
      </c>
      <c r="E954" s="4" t="s">
        <v>4054</v>
      </c>
      <c r="F954" s="4">
        <v>292.10000000000002</v>
      </c>
      <c r="G954" s="4" t="s">
        <v>36</v>
      </c>
      <c r="H954" s="4" t="s">
        <v>4097</v>
      </c>
      <c r="I954" s="4" t="s">
        <v>4056</v>
      </c>
      <c r="J954" s="4"/>
      <c r="K954" s="4">
        <f>VLOOKUP(G954,Exchange_Rates!A:B,2,FALSE)</f>
        <v>1.08</v>
      </c>
      <c r="L954" s="4">
        <f t="shared" si="14"/>
        <v>315.46800000000002</v>
      </c>
    </row>
    <row r="955" spans="1:12" x14ac:dyDescent="0.25">
      <c r="A955" s="4" t="s">
        <v>5137</v>
      </c>
      <c r="B955" s="4" t="s">
        <v>4150</v>
      </c>
      <c r="C955" s="6">
        <v>45387</v>
      </c>
      <c r="D955" s="4" t="s">
        <v>4053</v>
      </c>
      <c r="E955" s="4" t="s">
        <v>4054</v>
      </c>
      <c r="F955" s="4">
        <v>516.82000000000005</v>
      </c>
      <c r="G955" s="4" t="s">
        <v>45</v>
      </c>
      <c r="H955" s="4" t="s">
        <v>4055</v>
      </c>
      <c r="I955" s="4" t="s">
        <v>4087</v>
      </c>
      <c r="J955" s="6">
        <v>45402</v>
      </c>
      <c r="K955" s="4">
        <f>VLOOKUP(G955,Exchange_Rates!A:B,2,FALSE)</f>
        <v>1</v>
      </c>
      <c r="L955" s="4">
        <f t="shared" si="14"/>
        <v>516.82000000000005</v>
      </c>
    </row>
    <row r="956" spans="1:12" x14ac:dyDescent="0.25">
      <c r="A956" s="4" t="s">
        <v>5138</v>
      </c>
      <c r="B956" s="4" t="s">
        <v>4202</v>
      </c>
      <c r="C956" s="6">
        <v>45493</v>
      </c>
      <c r="D956" s="4" t="s">
        <v>4096</v>
      </c>
      <c r="E956" s="4" t="s">
        <v>4054</v>
      </c>
      <c r="F956" s="4">
        <v>255</v>
      </c>
      <c r="G956" s="4" t="s">
        <v>28</v>
      </c>
      <c r="H956" s="4" t="s">
        <v>4055</v>
      </c>
      <c r="I956" s="4" t="s">
        <v>4087</v>
      </c>
      <c r="J956" s="6">
        <v>45508</v>
      </c>
      <c r="K956" s="4">
        <f>VLOOKUP(G956,Exchange_Rates!A:B,2,FALSE)</f>
        <v>1.27</v>
      </c>
      <c r="L956" s="4">
        <f t="shared" si="14"/>
        <v>323.85000000000002</v>
      </c>
    </row>
    <row r="957" spans="1:12" x14ac:dyDescent="0.25">
      <c r="A957" s="4" t="s">
        <v>5139</v>
      </c>
      <c r="B957" s="4" t="s">
        <v>4626</v>
      </c>
      <c r="C957" s="6">
        <v>45042</v>
      </c>
      <c r="D957" s="4" t="s">
        <v>4096</v>
      </c>
      <c r="E957" s="4" t="s">
        <v>4054</v>
      </c>
      <c r="F957" s="4">
        <v>49.29</v>
      </c>
      <c r="G957" s="4" t="s">
        <v>36</v>
      </c>
      <c r="H957" s="4" t="s">
        <v>4059</v>
      </c>
      <c r="I957" s="4" t="s">
        <v>4056</v>
      </c>
      <c r="J957" s="4"/>
      <c r="K957" s="4">
        <f>VLOOKUP(G957,Exchange_Rates!A:B,2,FALSE)</f>
        <v>1.08</v>
      </c>
      <c r="L957" s="4">
        <f t="shared" si="14"/>
        <v>53.233200000000004</v>
      </c>
    </row>
    <row r="958" spans="1:12" x14ac:dyDescent="0.25">
      <c r="A958" s="4" t="s">
        <v>5140</v>
      </c>
      <c r="B958" s="4" t="s">
        <v>4304</v>
      </c>
      <c r="C958" s="6">
        <v>45591</v>
      </c>
      <c r="D958" s="4" t="s">
        <v>4053</v>
      </c>
      <c r="E958" s="4" t="s">
        <v>4054</v>
      </c>
      <c r="F958" s="4">
        <v>738.77</v>
      </c>
      <c r="G958" s="4" t="s">
        <v>42</v>
      </c>
      <c r="H958" s="4" t="s">
        <v>4063</v>
      </c>
      <c r="I958" s="4" t="s">
        <v>4056</v>
      </c>
      <c r="J958" s="4"/>
      <c r="K958" s="4">
        <f>VLOOKUP(G958,Exchange_Rates!A:B,2,FALSE)</f>
        <v>0.66</v>
      </c>
      <c r="L958" s="4">
        <f t="shared" si="14"/>
        <v>487.58820000000003</v>
      </c>
    </row>
    <row r="959" spans="1:12" x14ac:dyDescent="0.25">
      <c r="A959" s="4" t="s">
        <v>5141</v>
      </c>
      <c r="B959" s="4" t="s">
        <v>4362</v>
      </c>
      <c r="C959" s="6">
        <v>45387</v>
      </c>
      <c r="D959" s="4" t="s">
        <v>4053</v>
      </c>
      <c r="E959" s="4" t="s">
        <v>4054</v>
      </c>
      <c r="F959" s="4">
        <v>55.95</v>
      </c>
      <c r="G959" s="4" t="s">
        <v>28</v>
      </c>
      <c r="H959" s="4" t="s">
        <v>4063</v>
      </c>
      <c r="I959" s="4" t="s">
        <v>4070</v>
      </c>
      <c r="J959" s="4"/>
      <c r="K959" s="4">
        <f>VLOOKUP(G959,Exchange_Rates!A:B,2,FALSE)</f>
        <v>1.27</v>
      </c>
      <c r="L959" s="4">
        <f t="shared" si="14"/>
        <v>71.0565</v>
      </c>
    </row>
    <row r="960" spans="1:12" x14ac:dyDescent="0.25">
      <c r="A960" s="4" t="s">
        <v>5142</v>
      </c>
      <c r="B960" s="4" t="s">
        <v>4302</v>
      </c>
      <c r="C960" s="6">
        <v>45680</v>
      </c>
      <c r="D960" s="4" t="s">
        <v>4069</v>
      </c>
      <c r="E960" s="4" t="s">
        <v>4054</v>
      </c>
      <c r="F960" s="4">
        <v>647.1</v>
      </c>
      <c r="G960" s="4" t="s">
        <v>36</v>
      </c>
      <c r="H960" s="4" t="s">
        <v>4055</v>
      </c>
      <c r="I960" s="4" t="s">
        <v>4087</v>
      </c>
      <c r="J960" s="6">
        <v>45695</v>
      </c>
      <c r="K960" s="4">
        <f>VLOOKUP(G960,Exchange_Rates!A:B,2,FALSE)</f>
        <v>1.08</v>
      </c>
      <c r="L960" s="4">
        <f t="shared" si="14"/>
        <v>698.86800000000005</v>
      </c>
    </row>
    <row r="961" spans="1:12" x14ac:dyDescent="0.25">
      <c r="A961" s="4" t="s">
        <v>5143</v>
      </c>
      <c r="B961" s="4" t="s">
        <v>4269</v>
      </c>
      <c r="C961" s="6">
        <v>45165</v>
      </c>
      <c r="D961" s="4" t="s">
        <v>4069</v>
      </c>
      <c r="E961" s="4" t="s">
        <v>4054</v>
      </c>
      <c r="F961" s="4">
        <v>259.32</v>
      </c>
      <c r="G961" s="4" t="s">
        <v>28</v>
      </c>
      <c r="H961" s="4" t="s">
        <v>4059</v>
      </c>
      <c r="I961" s="4" t="s">
        <v>4087</v>
      </c>
      <c r="J961" s="4"/>
      <c r="K961" s="4">
        <f>VLOOKUP(G961,Exchange_Rates!A:B,2,FALSE)</f>
        <v>1.27</v>
      </c>
      <c r="L961" s="4">
        <f t="shared" si="14"/>
        <v>329.33639999999997</v>
      </c>
    </row>
    <row r="962" spans="1:12" x14ac:dyDescent="0.25">
      <c r="A962" s="4" t="s">
        <v>5144</v>
      </c>
      <c r="B962" s="4" t="s">
        <v>4140</v>
      </c>
      <c r="C962" s="6">
        <v>45456</v>
      </c>
      <c r="D962" s="4" t="s">
        <v>4066</v>
      </c>
      <c r="E962" s="4" t="s">
        <v>4054</v>
      </c>
      <c r="F962" s="4">
        <v>503.95</v>
      </c>
      <c r="G962" s="4" t="s">
        <v>36</v>
      </c>
      <c r="H962" s="4" t="s">
        <v>4055</v>
      </c>
      <c r="I962" s="4" t="s">
        <v>4087</v>
      </c>
      <c r="J962" s="6">
        <v>45471</v>
      </c>
      <c r="K962" s="4">
        <f>VLOOKUP(G962,Exchange_Rates!A:B,2,FALSE)</f>
        <v>1.08</v>
      </c>
      <c r="L962" s="4">
        <f t="shared" si="14"/>
        <v>544.26600000000008</v>
      </c>
    </row>
    <row r="963" spans="1:12" x14ac:dyDescent="0.25">
      <c r="A963" s="4" t="s">
        <v>5145</v>
      </c>
      <c r="B963" s="4" t="s">
        <v>4239</v>
      </c>
      <c r="C963" s="6">
        <v>45551</v>
      </c>
      <c r="D963" s="4" t="s">
        <v>4066</v>
      </c>
      <c r="E963" s="4" t="s">
        <v>4054</v>
      </c>
      <c r="F963" s="4">
        <v>405.54</v>
      </c>
      <c r="G963" s="4" t="s">
        <v>42</v>
      </c>
      <c r="H963" s="4" t="s">
        <v>4097</v>
      </c>
      <c r="I963" s="4" t="s">
        <v>4087</v>
      </c>
      <c r="J963" s="4"/>
      <c r="K963" s="4">
        <f>VLOOKUP(G963,Exchange_Rates!A:B,2,FALSE)</f>
        <v>0.66</v>
      </c>
      <c r="L963" s="4">
        <f t="shared" ref="L963:L1001" si="15">F963*K963</f>
        <v>267.65640000000002</v>
      </c>
    </row>
    <row r="964" spans="1:12" x14ac:dyDescent="0.25">
      <c r="A964" s="4" t="s">
        <v>5146</v>
      </c>
      <c r="B964" s="4" t="s">
        <v>4244</v>
      </c>
      <c r="C964" s="6">
        <v>45208</v>
      </c>
      <c r="D964" s="4" t="s">
        <v>4053</v>
      </c>
      <c r="E964" s="4" t="s">
        <v>4054</v>
      </c>
      <c r="F964" s="4">
        <v>761.48</v>
      </c>
      <c r="G964" s="4" t="s">
        <v>45</v>
      </c>
      <c r="H964" s="4" t="s">
        <v>4097</v>
      </c>
      <c r="I964" s="4" t="s">
        <v>4070</v>
      </c>
      <c r="J964" s="4"/>
      <c r="K964" s="4">
        <f>VLOOKUP(G964,Exchange_Rates!A:B,2,FALSE)</f>
        <v>1</v>
      </c>
      <c r="L964" s="4">
        <f t="shared" si="15"/>
        <v>761.48</v>
      </c>
    </row>
    <row r="965" spans="1:12" x14ac:dyDescent="0.25">
      <c r="A965" s="4" t="s">
        <v>5147</v>
      </c>
      <c r="B965" s="4" t="s">
        <v>4421</v>
      </c>
      <c r="C965" s="6">
        <v>45586</v>
      </c>
      <c r="D965" s="4" t="s">
        <v>4053</v>
      </c>
      <c r="E965" s="4" t="s">
        <v>4054</v>
      </c>
      <c r="F965" s="4">
        <v>516.11</v>
      </c>
      <c r="G965" s="4" t="s">
        <v>28</v>
      </c>
      <c r="H965" s="4" t="s">
        <v>4063</v>
      </c>
      <c r="I965" s="4" t="s">
        <v>4070</v>
      </c>
      <c r="J965" s="4"/>
      <c r="K965" s="4">
        <f>VLOOKUP(G965,Exchange_Rates!A:B,2,FALSE)</f>
        <v>1.27</v>
      </c>
      <c r="L965" s="4">
        <f t="shared" si="15"/>
        <v>655.4597</v>
      </c>
    </row>
    <row r="966" spans="1:12" x14ac:dyDescent="0.25">
      <c r="A966" s="4" t="s">
        <v>5148</v>
      </c>
      <c r="B966" s="4" t="s">
        <v>4184</v>
      </c>
      <c r="C966" s="6">
        <v>45720</v>
      </c>
      <c r="D966" s="4" t="s">
        <v>4062</v>
      </c>
      <c r="E966" s="4" t="s">
        <v>4054</v>
      </c>
      <c r="F966" s="4">
        <v>787.02</v>
      </c>
      <c r="G966" s="4" t="s">
        <v>45</v>
      </c>
      <c r="H966" s="4" t="s">
        <v>4063</v>
      </c>
      <c r="I966" s="4" t="s">
        <v>4070</v>
      </c>
      <c r="J966" s="4"/>
      <c r="K966" s="4">
        <f>VLOOKUP(G966,Exchange_Rates!A:B,2,FALSE)</f>
        <v>1</v>
      </c>
      <c r="L966" s="4">
        <f t="shared" si="15"/>
        <v>787.02</v>
      </c>
    </row>
    <row r="967" spans="1:12" x14ac:dyDescent="0.25">
      <c r="A967" s="4" t="s">
        <v>5149</v>
      </c>
      <c r="B967" s="4" t="s">
        <v>4797</v>
      </c>
      <c r="C967" s="6">
        <v>45792</v>
      </c>
      <c r="D967" s="4" t="s">
        <v>4066</v>
      </c>
      <c r="E967" s="4" t="s">
        <v>4054</v>
      </c>
      <c r="F967" s="4">
        <v>129</v>
      </c>
      <c r="G967" s="4" t="s">
        <v>36</v>
      </c>
      <c r="H967" s="4" t="s">
        <v>4063</v>
      </c>
      <c r="I967" s="4" t="s">
        <v>4056</v>
      </c>
      <c r="J967" s="4"/>
      <c r="K967" s="4">
        <f>VLOOKUP(G967,Exchange_Rates!A:B,2,FALSE)</f>
        <v>1.08</v>
      </c>
      <c r="L967" s="4">
        <f t="shared" si="15"/>
        <v>139.32000000000002</v>
      </c>
    </row>
    <row r="968" spans="1:12" x14ac:dyDescent="0.25">
      <c r="A968" s="4" t="s">
        <v>5150</v>
      </c>
      <c r="B968" s="4" t="s">
        <v>4430</v>
      </c>
      <c r="C968" s="6">
        <v>45282</v>
      </c>
      <c r="D968" s="4" t="s">
        <v>4096</v>
      </c>
      <c r="E968" s="4" t="s">
        <v>4054</v>
      </c>
      <c r="F968" s="4">
        <v>761.76</v>
      </c>
      <c r="G968" s="4" t="s">
        <v>42</v>
      </c>
      <c r="H968" s="4" t="s">
        <v>4097</v>
      </c>
      <c r="I968" s="4" t="s">
        <v>4070</v>
      </c>
      <c r="J968" s="4"/>
      <c r="K968" s="4">
        <f>VLOOKUP(G968,Exchange_Rates!A:B,2,FALSE)</f>
        <v>0.66</v>
      </c>
      <c r="L968" s="4">
        <f t="shared" si="15"/>
        <v>502.76160000000004</v>
      </c>
    </row>
    <row r="969" spans="1:12" x14ac:dyDescent="0.25">
      <c r="A969" s="4" t="s">
        <v>5151</v>
      </c>
      <c r="B969" s="4" t="s">
        <v>4145</v>
      </c>
      <c r="C969" s="6">
        <v>45072</v>
      </c>
      <c r="D969" s="4" t="s">
        <v>4096</v>
      </c>
      <c r="E969" s="4" t="s">
        <v>4054</v>
      </c>
      <c r="F969" s="4">
        <v>412.24</v>
      </c>
      <c r="G969" s="4" t="s">
        <v>45</v>
      </c>
      <c r="H969" s="4" t="s">
        <v>4055</v>
      </c>
      <c r="I969" s="4" t="s">
        <v>4056</v>
      </c>
      <c r="J969" s="6">
        <v>45087</v>
      </c>
      <c r="K969" s="4">
        <f>VLOOKUP(G969,Exchange_Rates!A:B,2,FALSE)</f>
        <v>1</v>
      </c>
      <c r="L969" s="4">
        <f t="shared" si="15"/>
        <v>412.24</v>
      </c>
    </row>
    <row r="970" spans="1:12" x14ac:dyDescent="0.25">
      <c r="A970" s="4" t="s">
        <v>5152</v>
      </c>
      <c r="B970" s="4" t="s">
        <v>4101</v>
      </c>
      <c r="C970" s="6">
        <v>45438</v>
      </c>
      <c r="D970" s="4" t="s">
        <v>4053</v>
      </c>
      <c r="E970" s="4" t="s">
        <v>4054</v>
      </c>
      <c r="F970" s="4">
        <v>568.70000000000005</v>
      </c>
      <c r="G970" s="4" t="s">
        <v>45</v>
      </c>
      <c r="H970" s="4" t="s">
        <v>4097</v>
      </c>
      <c r="I970" s="4" t="s">
        <v>4056</v>
      </c>
      <c r="J970" s="4"/>
      <c r="K970" s="4">
        <f>VLOOKUP(G970,Exchange_Rates!A:B,2,FALSE)</f>
        <v>1</v>
      </c>
      <c r="L970" s="4">
        <f t="shared" si="15"/>
        <v>568.70000000000005</v>
      </c>
    </row>
    <row r="971" spans="1:12" x14ac:dyDescent="0.25">
      <c r="A971" s="4" t="s">
        <v>5153</v>
      </c>
      <c r="B971" s="4" t="s">
        <v>4126</v>
      </c>
      <c r="C971" s="6">
        <v>44927</v>
      </c>
      <c r="D971" s="4" t="s">
        <v>4069</v>
      </c>
      <c r="E971" s="4" t="s">
        <v>4054</v>
      </c>
      <c r="F971" s="4">
        <v>626.4</v>
      </c>
      <c r="G971" s="4" t="s">
        <v>42</v>
      </c>
      <c r="H971" s="4" t="s">
        <v>4059</v>
      </c>
      <c r="I971" s="4" t="s">
        <v>4056</v>
      </c>
      <c r="J971" s="4"/>
      <c r="K971" s="4">
        <f>VLOOKUP(G971,Exchange_Rates!A:B,2,FALSE)</f>
        <v>0.66</v>
      </c>
      <c r="L971" s="4">
        <f t="shared" si="15"/>
        <v>413.42399999999998</v>
      </c>
    </row>
    <row r="972" spans="1:12" x14ac:dyDescent="0.25">
      <c r="A972" s="4" t="s">
        <v>5154</v>
      </c>
      <c r="B972" s="4" t="s">
        <v>4405</v>
      </c>
      <c r="C972" s="6">
        <v>45313</v>
      </c>
      <c r="D972" s="4" t="s">
        <v>4069</v>
      </c>
      <c r="E972" s="4" t="s">
        <v>4054</v>
      </c>
      <c r="F972" s="4">
        <v>277.62</v>
      </c>
      <c r="G972" s="4" t="s">
        <v>36</v>
      </c>
      <c r="H972" s="4" t="s">
        <v>4063</v>
      </c>
      <c r="I972" s="4" t="s">
        <v>4056</v>
      </c>
      <c r="J972" s="4"/>
      <c r="K972" s="4">
        <f>VLOOKUP(G972,Exchange_Rates!A:B,2,FALSE)</f>
        <v>1.08</v>
      </c>
      <c r="L972" s="4">
        <f t="shared" si="15"/>
        <v>299.82960000000003</v>
      </c>
    </row>
    <row r="973" spans="1:12" x14ac:dyDescent="0.25">
      <c r="A973" s="4" t="s">
        <v>5155</v>
      </c>
      <c r="B973" s="4" t="s">
        <v>4076</v>
      </c>
      <c r="C973" s="6">
        <v>45149</v>
      </c>
      <c r="D973" s="4" t="s">
        <v>4069</v>
      </c>
      <c r="E973" s="4" t="s">
        <v>4054</v>
      </c>
      <c r="F973" s="4">
        <v>468.83</v>
      </c>
      <c r="G973" s="4" t="s">
        <v>45</v>
      </c>
      <c r="H973" s="4" t="s">
        <v>4097</v>
      </c>
      <c r="I973" s="4" t="s">
        <v>4056</v>
      </c>
      <c r="J973" s="4"/>
      <c r="K973" s="4">
        <f>VLOOKUP(G973,Exchange_Rates!A:B,2,FALSE)</f>
        <v>1</v>
      </c>
      <c r="L973" s="4">
        <f t="shared" si="15"/>
        <v>468.83</v>
      </c>
    </row>
    <row r="974" spans="1:12" x14ac:dyDescent="0.25">
      <c r="A974" s="4" t="s">
        <v>5156</v>
      </c>
      <c r="B974" s="4" t="s">
        <v>4393</v>
      </c>
      <c r="C974" s="6">
        <v>45457</v>
      </c>
      <c r="D974" s="4" t="s">
        <v>4053</v>
      </c>
      <c r="E974" s="4" t="s">
        <v>4054</v>
      </c>
      <c r="F974" s="4">
        <v>189.96</v>
      </c>
      <c r="G974" s="4" t="s">
        <v>45</v>
      </c>
      <c r="H974" s="4" t="s">
        <v>4063</v>
      </c>
      <c r="I974" s="4" t="s">
        <v>4087</v>
      </c>
      <c r="J974" s="4"/>
      <c r="K974" s="4">
        <f>VLOOKUP(G974,Exchange_Rates!A:B,2,FALSE)</f>
        <v>1</v>
      </c>
      <c r="L974" s="4">
        <f t="shared" si="15"/>
        <v>189.96</v>
      </c>
    </row>
    <row r="975" spans="1:12" x14ac:dyDescent="0.25">
      <c r="A975" s="4" t="s">
        <v>5157</v>
      </c>
      <c r="B975" s="4" t="s">
        <v>4365</v>
      </c>
      <c r="C975" s="6">
        <v>45167</v>
      </c>
      <c r="D975" s="4" t="s">
        <v>4062</v>
      </c>
      <c r="E975" s="4" t="s">
        <v>4054</v>
      </c>
      <c r="F975" s="4">
        <v>204.26</v>
      </c>
      <c r="G975" s="4" t="s">
        <v>64</v>
      </c>
      <c r="H975" s="4" t="s">
        <v>4097</v>
      </c>
      <c r="I975" s="4" t="s">
        <v>4056</v>
      </c>
      <c r="J975" s="4"/>
      <c r="K975" s="4">
        <f>VLOOKUP(G975,Exchange_Rates!A:B,2,FALSE)</f>
        <v>0.73</v>
      </c>
      <c r="L975" s="4">
        <f t="shared" si="15"/>
        <v>149.10979999999998</v>
      </c>
    </row>
    <row r="976" spans="1:12" x14ac:dyDescent="0.25">
      <c r="A976" s="4" t="s">
        <v>5158</v>
      </c>
      <c r="B976" s="4" t="s">
        <v>4095</v>
      </c>
      <c r="C976" s="6">
        <v>45273</v>
      </c>
      <c r="D976" s="4" t="s">
        <v>4096</v>
      </c>
      <c r="E976" s="4" t="s">
        <v>4054</v>
      </c>
      <c r="F976" s="4">
        <v>169.67</v>
      </c>
      <c r="G976" s="4" t="s">
        <v>42</v>
      </c>
      <c r="H976" s="4" t="s">
        <v>4059</v>
      </c>
      <c r="I976" s="4" t="s">
        <v>4070</v>
      </c>
      <c r="J976" s="4"/>
      <c r="K976" s="4">
        <f>VLOOKUP(G976,Exchange_Rates!A:B,2,FALSE)</f>
        <v>0.66</v>
      </c>
      <c r="L976" s="4">
        <f t="shared" si="15"/>
        <v>111.98219999999999</v>
      </c>
    </row>
    <row r="977" spans="1:12" x14ac:dyDescent="0.25">
      <c r="A977" s="4" t="s">
        <v>5159</v>
      </c>
      <c r="B977" s="4" t="s">
        <v>4158</v>
      </c>
      <c r="C977" s="6">
        <v>45692</v>
      </c>
      <c r="D977" s="4" t="s">
        <v>4053</v>
      </c>
      <c r="E977" s="4" t="s">
        <v>4054</v>
      </c>
      <c r="F977" s="4">
        <v>557.38</v>
      </c>
      <c r="G977" s="4" t="s">
        <v>45</v>
      </c>
      <c r="H977" s="4" t="s">
        <v>4097</v>
      </c>
      <c r="I977" s="4" t="s">
        <v>4070</v>
      </c>
      <c r="J977" s="4"/>
      <c r="K977" s="4">
        <f>VLOOKUP(G977,Exchange_Rates!A:B,2,FALSE)</f>
        <v>1</v>
      </c>
      <c r="L977" s="4">
        <f t="shared" si="15"/>
        <v>557.38</v>
      </c>
    </row>
    <row r="978" spans="1:12" x14ac:dyDescent="0.25">
      <c r="A978" s="4" t="s">
        <v>5160</v>
      </c>
      <c r="B978" s="4" t="s">
        <v>4099</v>
      </c>
      <c r="C978" s="6">
        <v>45642</v>
      </c>
      <c r="D978" s="4" t="s">
        <v>4062</v>
      </c>
      <c r="E978" s="4" t="s">
        <v>4054</v>
      </c>
      <c r="F978" s="4">
        <v>183.12</v>
      </c>
      <c r="G978" s="4" t="s">
        <v>42</v>
      </c>
      <c r="H978" s="4" t="s">
        <v>4097</v>
      </c>
      <c r="I978" s="4" t="s">
        <v>4087</v>
      </c>
      <c r="J978" s="4"/>
      <c r="K978" s="4">
        <f>VLOOKUP(G978,Exchange_Rates!A:B,2,FALSE)</f>
        <v>0.66</v>
      </c>
      <c r="L978" s="4">
        <f t="shared" si="15"/>
        <v>120.85920000000002</v>
      </c>
    </row>
    <row r="979" spans="1:12" x14ac:dyDescent="0.25">
      <c r="A979" s="4" t="s">
        <v>5161</v>
      </c>
      <c r="B979" s="4" t="s">
        <v>4178</v>
      </c>
      <c r="C979" s="6">
        <v>45153</v>
      </c>
      <c r="D979" s="4" t="s">
        <v>4062</v>
      </c>
      <c r="E979" s="4" t="s">
        <v>4054</v>
      </c>
      <c r="F979" s="4">
        <v>762.54</v>
      </c>
      <c r="G979" s="4" t="s">
        <v>42</v>
      </c>
      <c r="H979" s="4" t="s">
        <v>4097</v>
      </c>
      <c r="I979" s="4" t="s">
        <v>4087</v>
      </c>
      <c r="J979" s="4"/>
      <c r="K979" s="4">
        <f>VLOOKUP(G979,Exchange_Rates!A:B,2,FALSE)</f>
        <v>0.66</v>
      </c>
      <c r="L979" s="4">
        <f t="shared" si="15"/>
        <v>503.27640000000002</v>
      </c>
    </row>
    <row r="980" spans="1:12" x14ac:dyDescent="0.25">
      <c r="A980" s="4" t="s">
        <v>5162</v>
      </c>
      <c r="B980" s="4" t="s">
        <v>4124</v>
      </c>
      <c r="C980" s="6">
        <v>45077</v>
      </c>
      <c r="D980" s="4" t="s">
        <v>4096</v>
      </c>
      <c r="E980" s="4" t="s">
        <v>4054</v>
      </c>
      <c r="F980" s="4">
        <v>642.67999999999995</v>
      </c>
      <c r="G980" s="4" t="s">
        <v>42</v>
      </c>
      <c r="H980" s="4" t="s">
        <v>4063</v>
      </c>
      <c r="I980" s="4" t="s">
        <v>4087</v>
      </c>
      <c r="J980" s="4"/>
      <c r="K980" s="4">
        <f>VLOOKUP(G980,Exchange_Rates!A:B,2,FALSE)</f>
        <v>0.66</v>
      </c>
      <c r="L980" s="4">
        <f t="shared" si="15"/>
        <v>424.16879999999998</v>
      </c>
    </row>
    <row r="981" spans="1:12" x14ac:dyDescent="0.25">
      <c r="A981" s="4" t="s">
        <v>5163</v>
      </c>
      <c r="B981" s="4" t="s">
        <v>4115</v>
      </c>
      <c r="C981" s="6">
        <v>45814</v>
      </c>
      <c r="D981" s="4" t="s">
        <v>4066</v>
      </c>
      <c r="E981" s="4" t="s">
        <v>4054</v>
      </c>
      <c r="F981" s="4">
        <v>92.12</v>
      </c>
      <c r="G981" s="4" t="s">
        <v>28</v>
      </c>
      <c r="H981" s="4" t="s">
        <v>4063</v>
      </c>
      <c r="I981" s="4" t="s">
        <v>4070</v>
      </c>
      <c r="J981" s="4"/>
      <c r="K981" s="4">
        <f>VLOOKUP(G981,Exchange_Rates!A:B,2,FALSE)</f>
        <v>1.27</v>
      </c>
      <c r="L981" s="4">
        <f t="shared" si="15"/>
        <v>116.9924</v>
      </c>
    </row>
    <row r="982" spans="1:12" x14ac:dyDescent="0.25">
      <c r="A982" s="4" t="s">
        <v>5164</v>
      </c>
      <c r="B982" s="4" t="s">
        <v>4145</v>
      </c>
      <c r="C982" s="6">
        <v>45462</v>
      </c>
      <c r="D982" s="4" t="s">
        <v>4053</v>
      </c>
      <c r="E982" s="4" t="s">
        <v>4054</v>
      </c>
      <c r="F982" s="4">
        <v>373.38</v>
      </c>
      <c r="G982" s="4" t="s">
        <v>64</v>
      </c>
      <c r="H982" s="4" t="s">
        <v>4063</v>
      </c>
      <c r="I982" s="4" t="s">
        <v>4070</v>
      </c>
      <c r="J982" s="4"/>
      <c r="K982" s="4">
        <f>VLOOKUP(G982,Exchange_Rates!A:B,2,FALSE)</f>
        <v>0.73</v>
      </c>
      <c r="L982" s="4">
        <f t="shared" si="15"/>
        <v>272.56739999999996</v>
      </c>
    </row>
    <row r="983" spans="1:12" x14ac:dyDescent="0.25">
      <c r="A983" s="4" t="s">
        <v>5165</v>
      </c>
      <c r="B983" s="4" t="s">
        <v>4134</v>
      </c>
      <c r="C983" s="6">
        <v>45644</v>
      </c>
      <c r="D983" s="4" t="s">
        <v>4069</v>
      </c>
      <c r="E983" s="4" t="s">
        <v>4054</v>
      </c>
      <c r="F983" s="4">
        <v>70.569999999999993</v>
      </c>
      <c r="G983" s="4" t="s">
        <v>45</v>
      </c>
      <c r="H983" s="4" t="s">
        <v>4097</v>
      </c>
      <c r="I983" s="4" t="s">
        <v>4056</v>
      </c>
      <c r="J983" s="4"/>
      <c r="K983" s="4">
        <f>VLOOKUP(G983,Exchange_Rates!A:B,2,FALSE)</f>
        <v>1</v>
      </c>
      <c r="L983" s="4">
        <f t="shared" si="15"/>
        <v>70.569999999999993</v>
      </c>
    </row>
    <row r="984" spans="1:12" x14ac:dyDescent="0.25">
      <c r="A984" s="4" t="s">
        <v>5166</v>
      </c>
      <c r="B984" s="4" t="s">
        <v>4095</v>
      </c>
      <c r="C984" s="6">
        <v>44952</v>
      </c>
      <c r="D984" s="4" t="s">
        <v>4053</v>
      </c>
      <c r="E984" s="4" t="s">
        <v>4054</v>
      </c>
      <c r="F984" s="4">
        <v>692.78</v>
      </c>
      <c r="G984" s="4" t="s">
        <v>45</v>
      </c>
      <c r="H984" s="4" t="s">
        <v>4097</v>
      </c>
      <c r="I984" s="4" t="s">
        <v>4087</v>
      </c>
      <c r="J984" s="4"/>
      <c r="K984" s="4">
        <f>VLOOKUP(G984,Exchange_Rates!A:B,2,FALSE)</f>
        <v>1</v>
      </c>
      <c r="L984" s="4">
        <f t="shared" si="15"/>
        <v>692.78</v>
      </c>
    </row>
    <row r="985" spans="1:12" x14ac:dyDescent="0.25">
      <c r="A985" s="4" t="s">
        <v>5167</v>
      </c>
      <c r="B985" s="4" t="s">
        <v>4345</v>
      </c>
      <c r="C985" s="6">
        <v>45538</v>
      </c>
      <c r="D985" s="4" t="s">
        <v>4069</v>
      </c>
      <c r="E985" s="4" t="s">
        <v>4054</v>
      </c>
      <c r="F985" s="4">
        <v>153.74</v>
      </c>
      <c r="G985" s="4" t="s">
        <v>42</v>
      </c>
      <c r="H985" s="4" t="s">
        <v>4055</v>
      </c>
      <c r="I985" s="4" t="s">
        <v>4087</v>
      </c>
      <c r="J985" s="6">
        <v>45553</v>
      </c>
      <c r="K985" s="4">
        <f>VLOOKUP(G985,Exchange_Rates!A:B,2,FALSE)</f>
        <v>0.66</v>
      </c>
      <c r="L985" s="4">
        <f t="shared" si="15"/>
        <v>101.46840000000002</v>
      </c>
    </row>
    <row r="986" spans="1:12" x14ac:dyDescent="0.25">
      <c r="A986" s="4" t="s">
        <v>5168</v>
      </c>
      <c r="B986" s="4" t="s">
        <v>4258</v>
      </c>
      <c r="C986" s="6">
        <v>45643</v>
      </c>
      <c r="D986" s="4" t="s">
        <v>4066</v>
      </c>
      <c r="E986" s="4" t="s">
        <v>4054</v>
      </c>
      <c r="F986" s="4">
        <v>568.12</v>
      </c>
      <c r="G986" s="4" t="s">
        <v>28</v>
      </c>
      <c r="H986" s="4" t="s">
        <v>4059</v>
      </c>
      <c r="I986" s="4" t="s">
        <v>4070</v>
      </c>
      <c r="J986" s="4"/>
      <c r="K986" s="4">
        <f>VLOOKUP(G986,Exchange_Rates!A:B,2,FALSE)</f>
        <v>1.27</v>
      </c>
      <c r="L986" s="4">
        <f t="shared" si="15"/>
        <v>721.51240000000007</v>
      </c>
    </row>
    <row r="987" spans="1:12" x14ac:dyDescent="0.25">
      <c r="A987" s="4" t="s">
        <v>5169</v>
      </c>
      <c r="B987" s="4" t="s">
        <v>4206</v>
      </c>
      <c r="C987" s="6">
        <v>45253</v>
      </c>
      <c r="D987" s="4" t="s">
        <v>4066</v>
      </c>
      <c r="E987" s="4" t="s">
        <v>4054</v>
      </c>
      <c r="F987" s="4">
        <v>357.8</v>
      </c>
      <c r="G987" s="4" t="s">
        <v>28</v>
      </c>
      <c r="H987" s="4" t="s">
        <v>4055</v>
      </c>
      <c r="I987" s="4" t="s">
        <v>4070</v>
      </c>
      <c r="J987" s="6">
        <v>45268</v>
      </c>
      <c r="K987" s="4">
        <f>VLOOKUP(G987,Exchange_Rates!A:B,2,FALSE)</f>
        <v>1.27</v>
      </c>
      <c r="L987" s="4">
        <f t="shared" si="15"/>
        <v>454.40600000000001</v>
      </c>
    </row>
    <row r="988" spans="1:12" x14ac:dyDescent="0.25">
      <c r="A988" s="4" t="s">
        <v>5170</v>
      </c>
      <c r="B988" s="4" t="s">
        <v>4244</v>
      </c>
      <c r="C988" s="6">
        <v>45272</v>
      </c>
      <c r="D988" s="4" t="s">
        <v>4053</v>
      </c>
      <c r="E988" s="4" t="s">
        <v>4054</v>
      </c>
      <c r="F988" s="4">
        <v>445.81</v>
      </c>
      <c r="G988" s="4" t="s">
        <v>42</v>
      </c>
      <c r="H988" s="4" t="s">
        <v>4055</v>
      </c>
      <c r="I988" s="4" t="s">
        <v>4087</v>
      </c>
      <c r="J988" s="6">
        <v>45287</v>
      </c>
      <c r="K988" s="4">
        <f>VLOOKUP(G988,Exchange_Rates!A:B,2,FALSE)</f>
        <v>0.66</v>
      </c>
      <c r="L988" s="4">
        <f t="shared" si="15"/>
        <v>294.2346</v>
      </c>
    </row>
    <row r="989" spans="1:12" x14ac:dyDescent="0.25">
      <c r="A989" s="4" t="s">
        <v>5171</v>
      </c>
      <c r="B989" s="4" t="s">
        <v>4124</v>
      </c>
      <c r="C989" s="6">
        <v>45175</v>
      </c>
      <c r="D989" s="4" t="s">
        <v>4069</v>
      </c>
      <c r="E989" s="4" t="s">
        <v>4054</v>
      </c>
      <c r="F989" s="4">
        <v>575.61</v>
      </c>
      <c r="G989" s="4" t="s">
        <v>28</v>
      </c>
      <c r="H989" s="4" t="s">
        <v>4063</v>
      </c>
      <c r="I989" s="4" t="s">
        <v>4056</v>
      </c>
      <c r="J989" s="4"/>
      <c r="K989" s="4">
        <f>VLOOKUP(G989,Exchange_Rates!A:B,2,FALSE)</f>
        <v>1.27</v>
      </c>
      <c r="L989" s="4">
        <f t="shared" si="15"/>
        <v>731.02470000000005</v>
      </c>
    </row>
    <row r="990" spans="1:12" x14ac:dyDescent="0.25">
      <c r="A990" s="4" t="s">
        <v>5172</v>
      </c>
      <c r="B990" s="4" t="s">
        <v>4304</v>
      </c>
      <c r="C990" s="6">
        <v>45169</v>
      </c>
      <c r="D990" s="4" t="s">
        <v>4062</v>
      </c>
      <c r="E990" s="4" t="s">
        <v>4054</v>
      </c>
      <c r="F990" s="4">
        <v>442.43</v>
      </c>
      <c r="G990" s="4" t="s">
        <v>28</v>
      </c>
      <c r="H990" s="4" t="s">
        <v>4055</v>
      </c>
      <c r="I990" s="4" t="s">
        <v>4056</v>
      </c>
      <c r="J990" s="6">
        <v>45184</v>
      </c>
      <c r="K990" s="4">
        <f>VLOOKUP(G990,Exchange_Rates!A:B,2,FALSE)</f>
        <v>1.27</v>
      </c>
      <c r="L990" s="4">
        <f t="shared" si="15"/>
        <v>561.88610000000006</v>
      </c>
    </row>
    <row r="991" spans="1:12" x14ac:dyDescent="0.25">
      <c r="A991" s="4" t="s">
        <v>5173</v>
      </c>
      <c r="B991" s="4" t="s">
        <v>4204</v>
      </c>
      <c r="C991" s="6">
        <v>45625</v>
      </c>
      <c r="D991" s="4" t="s">
        <v>4066</v>
      </c>
      <c r="E991" s="4" t="s">
        <v>4054</v>
      </c>
      <c r="F991" s="4">
        <v>532.62</v>
      </c>
      <c r="G991" s="4" t="s">
        <v>28</v>
      </c>
      <c r="H991" s="4" t="s">
        <v>4059</v>
      </c>
      <c r="I991" s="4" t="s">
        <v>4087</v>
      </c>
      <c r="J991" s="4"/>
      <c r="K991" s="4">
        <f>VLOOKUP(G991,Exchange_Rates!A:B,2,FALSE)</f>
        <v>1.27</v>
      </c>
      <c r="L991" s="4">
        <f t="shared" si="15"/>
        <v>676.42740000000003</v>
      </c>
    </row>
    <row r="992" spans="1:12" x14ac:dyDescent="0.25">
      <c r="A992" s="4" t="s">
        <v>5174</v>
      </c>
      <c r="B992" s="4" t="s">
        <v>4304</v>
      </c>
      <c r="C992" s="6">
        <v>45712</v>
      </c>
      <c r="D992" s="4" t="s">
        <v>4062</v>
      </c>
      <c r="E992" s="4" t="s">
        <v>4054</v>
      </c>
      <c r="F992" s="4">
        <v>742.7</v>
      </c>
      <c r="G992" s="4" t="s">
        <v>45</v>
      </c>
      <c r="H992" s="4" t="s">
        <v>4097</v>
      </c>
      <c r="I992" s="4" t="s">
        <v>4087</v>
      </c>
      <c r="J992" s="4"/>
      <c r="K992" s="4">
        <f>VLOOKUP(G992,Exchange_Rates!A:B,2,FALSE)</f>
        <v>1</v>
      </c>
      <c r="L992" s="4">
        <f t="shared" si="15"/>
        <v>742.7</v>
      </c>
    </row>
    <row r="993" spans="1:12" x14ac:dyDescent="0.25">
      <c r="A993" s="4" t="s">
        <v>5175</v>
      </c>
      <c r="B993" s="4" t="s">
        <v>4497</v>
      </c>
      <c r="C993" s="6">
        <v>45328</v>
      </c>
      <c r="D993" s="4" t="s">
        <v>4053</v>
      </c>
      <c r="E993" s="4" t="s">
        <v>4054</v>
      </c>
      <c r="F993" s="4">
        <v>204.34</v>
      </c>
      <c r="G993" s="4" t="s">
        <v>64</v>
      </c>
      <c r="H993" s="4" t="s">
        <v>4055</v>
      </c>
      <c r="I993" s="4" t="s">
        <v>4087</v>
      </c>
      <c r="J993" s="6">
        <v>45343</v>
      </c>
      <c r="K993" s="4">
        <f>VLOOKUP(G993,Exchange_Rates!A:B,2,FALSE)</f>
        <v>0.73</v>
      </c>
      <c r="L993" s="4">
        <f t="shared" si="15"/>
        <v>149.16820000000001</v>
      </c>
    </row>
    <row r="994" spans="1:12" x14ac:dyDescent="0.25">
      <c r="A994" s="4" t="s">
        <v>5176</v>
      </c>
      <c r="B994" s="4" t="s">
        <v>4108</v>
      </c>
      <c r="C994" s="6">
        <v>45005</v>
      </c>
      <c r="D994" s="4" t="s">
        <v>4062</v>
      </c>
      <c r="E994" s="4" t="s">
        <v>4054</v>
      </c>
      <c r="F994" s="4">
        <v>591.08000000000004</v>
      </c>
      <c r="G994" s="4" t="s">
        <v>45</v>
      </c>
      <c r="H994" s="4" t="s">
        <v>4097</v>
      </c>
      <c r="I994" s="4" t="s">
        <v>4070</v>
      </c>
      <c r="J994" s="4"/>
      <c r="K994" s="4">
        <f>VLOOKUP(G994,Exchange_Rates!A:B,2,FALSE)</f>
        <v>1</v>
      </c>
      <c r="L994" s="4">
        <f t="shared" si="15"/>
        <v>591.08000000000004</v>
      </c>
    </row>
    <row r="995" spans="1:12" x14ac:dyDescent="0.25">
      <c r="A995" s="4" t="s">
        <v>5177</v>
      </c>
      <c r="B995" s="4" t="s">
        <v>4797</v>
      </c>
      <c r="C995" s="6">
        <v>45499</v>
      </c>
      <c r="D995" s="4" t="s">
        <v>4053</v>
      </c>
      <c r="E995" s="4" t="s">
        <v>4054</v>
      </c>
      <c r="F995" s="4">
        <v>673.15</v>
      </c>
      <c r="G995" s="4" t="s">
        <v>64</v>
      </c>
      <c r="H995" s="4" t="s">
        <v>4059</v>
      </c>
      <c r="I995" s="4" t="s">
        <v>4070</v>
      </c>
      <c r="J995" s="4"/>
      <c r="K995" s="4">
        <f>VLOOKUP(G995,Exchange_Rates!A:B,2,FALSE)</f>
        <v>0.73</v>
      </c>
      <c r="L995" s="4">
        <f t="shared" si="15"/>
        <v>491.39949999999999</v>
      </c>
    </row>
    <row r="996" spans="1:12" x14ac:dyDescent="0.25">
      <c r="A996" s="4" t="s">
        <v>5178</v>
      </c>
      <c r="B996" s="4" t="s">
        <v>4084</v>
      </c>
      <c r="C996" s="6">
        <v>45522</v>
      </c>
      <c r="D996" s="4" t="s">
        <v>4069</v>
      </c>
      <c r="E996" s="4" t="s">
        <v>4054</v>
      </c>
      <c r="F996" s="4">
        <v>432.68</v>
      </c>
      <c r="G996" s="4" t="s">
        <v>42</v>
      </c>
      <c r="H996" s="4" t="s">
        <v>4097</v>
      </c>
      <c r="I996" s="4" t="s">
        <v>4070</v>
      </c>
      <c r="J996" s="4"/>
      <c r="K996" s="4">
        <f>VLOOKUP(G996,Exchange_Rates!A:B,2,FALSE)</f>
        <v>0.66</v>
      </c>
      <c r="L996" s="4">
        <f t="shared" si="15"/>
        <v>285.56880000000001</v>
      </c>
    </row>
    <row r="997" spans="1:12" x14ac:dyDescent="0.25">
      <c r="A997" s="4" t="s">
        <v>5179</v>
      </c>
      <c r="B997" s="4" t="s">
        <v>4162</v>
      </c>
      <c r="C997" s="6">
        <v>45379</v>
      </c>
      <c r="D997" s="4" t="s">
        <v>4066</v>
      </c>
      <c r="E997" s="4" t="s">
        <v>4054</v>
      </c>
      <c r="F997" s="4">
        <v>547.41999999999996</v>
      </c>
      <c r="G997" s="4" t="s">
        <v>36</v>
      </c>
      <c r="H997" s="4" t="s">
        <v>4097</v>
      </c>
      <c r="I997" s="4" t="s">
        <v>4056</v>
      </c>
      <c r="J997" s="4"/>
      <c r="K997" s="4">
        <f>VLOOKUP(G997,Exchange_Rates!A:B,2,FALSE)</f>
        <v>1.08</v>
      </c>
      <c r="L997" s="4">
        <f t="shared" si="15"/>
        <v>591.21360000000004</v>
      </c>
    </row>
    <row r="998" spans="1:12" x14ac:dyDescent="0.25">
      <c r="A998" s="4" t="s">
        <v>5180</v>
      </c>
      <c r="B998" s="4" t="s">
        <v>4072</v>
      </c>
      <c r="C998" s="6">
        <v>45028</v>
      </c>
      <c r="D998" s="4" t="s">
        <v>4069</v>
      </c>
      <c r="E998" s="4" t="s">
        <v>4054</v>
      </c>
      <c r="F998" s="4">
        <v>594.88</v>
      </c>
      <c r="G998" s="4" t="s">
        <v>36</v>
      </c>
      <c r="H998" s="4" t="s">
        <v>4097</v>
      </c>
      <c r="I998" s="4" t="s">
        <v>4056</v>
      </c>
      <c r="J998" s="4"/>
      <c r="K998" s="4">
        <f>VLOOKUP(G998,Exchange_Rates!A:B,2,FALSE)</f>
        <v>1.08</v>
      </c>
      <c r="L998" s="4">
        <f t="shared" si="15"/>
        <v>642.47040000000004</v>
      </c>
    </row>
    <row r="999" spans="1:12" x14ac:dyDescent="0.25">
      <c r="A999" s="4" t="s">
        <v>5181</v>
      </c>
      <c r="B999" s="4" t="s">
        <v>4232</v>
      </c>
      <c r="C999" s="6">
        <v>45812</v>
      </c>
      <c r="D999" s="4" t="s">
        <v>4069</v>
      </c>
      <c r="E999" s="4" t="s">
        <v>4054</v>
      </c>
      <c r="F999" s="4">
        <v>609</v>
      </c>
      <c r="G999" s="4" t="s">
        <v>28</v>
      </c>
      <c r="H999" s="4" t="s">
        <v>4055</v>
      </c>
      <c r="I999" s="4" t="s">
        <v>4056</v>
      </c>
      <c r="J999" s="6">
        <v>45827</v>
      </c>
      <c r="K999" s="4">
        <f>VLOOKUP(G999,Exchange_Rates!A:B,2,FALSE)</f>
        <v>1.27</v>
      </c>
      <c r="L999" s="4">
        <f t="shared" si="15"/>
        <v>773.43000000000006</v>
      </c>
    </row>
    <row r="1000" spans="1:12" x14ac:dyDescent="0.25">
      <c r="A1000" s="4" t="s">
        <v>5182</v>
      </c>
      <c r="B1000" s="4" t="s">
        <v>4164</v>
      </c>
      <c r="C1000" s="6">
        <v>45470</v>
      </c>
      <c r="D1000" s="4" t="s">
        <v>4066</v>
      </c>
      <c r="E1000" s="4" t="s">
        <v>4054</v>
      </c>
      <c r="F1000" s="4">
        <v>81.77</v>
      </c>
      <c r="G1000" s="4" t="s">
        <v>36</v>
      </c>
      <c r="H1000" s="4" t="s">
        <v>4055</v>
      </c>
      <c r="I1000" s="4" t="s">
        <v>4070</v>
      </c>
      <c r="J1000" s="6">
        <v>45485</v>
      </c>
      <c r="K1000" s="4">
        <f>VLOOKUP(G1000,Exchange_Rates!A:B,2,FALSE)</f>
        <v>1.08</v>
      </c>
      <c r="L1000" s="4">
        <f t="shared" si="15"/>
        <v>88.311599999999999</v>
      </c>
    </row>
    <row r="1001" spans="1:12" x14ac:dyDescent="0.25">
      <c r="A1001" s="4" t="s">
        <v>5183</v>
      </c>
      <c r="B1001" s="4" t="s">
        <v>4065</v>
      </c>
      <c r="C1001" s="6">
        <v>45216</v>
      </c>
      <c r="D1001" s="4" t="s">
        <v>4096</v>
      </c>
      <c r="E1001" s="4" t="s">
        <v>4054</v>
      </c>
      <c r="F1001" s="4">
        <v>35.36</v>
      </c>
      <c r="G1001" s="4" t="s">
        <v>45</v>
      </c>
      <c r="H1001" s="4" t="s">
        <v>4063</v>
      </c>
      <c r="I1001" s="4" t="s">
        <v>4056</v>
      </c>
      <c r="J1001" s="4"/>
      <c r="K1001" s="4">
        <f>VLOOKUP(G1001,Exchange_Rates!A:B,2,FALSE)</f>
        <v>1</v>
      </c>
      <c r="L1001" s="4">
        <f t="shared" si="15"/>
        <v>35.36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C01FA-50E7-4FB8-AB1B-33D161835B97}">
  <dimension ref="A1:B6"/>
  <sheetViews>
    <sheetView workbookViewId="0">
      <selection activeCell="B7" sqref="B7"/>
    </sheetView>
  </sheetViews>
  <sheetFormatPr defaultRowHeight="15" x14ac:dyDescent="0.25"/>
  <cols>
    <col min="1" max="1" width="29.42578125" customWidth="1"/>
  </cols>
  <sheetData>
    <row r="1" spans="1:2" x14ac:dyDescent="0.25">
      <c r="A1" s="3" t="s">
        <v>5214</v>
      </c>
      <c r="B1">
        <f>COUNTBLANK([1]Raw_Bugedt!D2:D49)</f>
        <v>0</v>
      </c>
    </row>
    <row r="2" spans="1:2" x14ac:dyDescent="0.25">
      <c r="A2" s="3" t="s">
        <v>5215</v>
      </c>
      <c r="B2" cm="1">
        <f t="array" ref="B2">COUNTA(Raw_GeneralLedger!A2:A2001)-SUMPRODUCT(1/COUNTIF(Raw_GeneralLedger!A2:A2001,Raw_GeneralLedger!A2:A2001))</f>
        <v>0</v>
      </c>
    </row>
    <row r="3" spans="1:2" x14ac:dyDescent="0.25">
      <c r="A3" s="3" t="s">
        <v>5216</v>
      </c>
      <c r="B3" cm="1">
        <f t="array" ref="B3">SUMPRODUCT(--(COUNTIF(Raw_GeneralLedger!G2:G2001, Raw_Budget!B2:B49)=0))</f>
        <v>0</v>
      </c>
    </row>
    <row r="4" spans="1:2" x14ac:dyDescent="0.25">
      <c r="A4" s="3" t="s">
        <v>5217</v>
      </c>
      <c r="B4">
        <f>MAX(Raw_GeneralLedger!L2:L2001)</f>
        <v>2531.5798999999997</v>
      </c>
    </row>
    <row r="5" spans="1:2" x14ac:dyDescent="0.25">
      <c r="A5" s="3" t="s">
        <v>5218</v>
      </c>
      <c r="B5">
        <f>MIN(Raw_GeneralLedger!L2:L2001)</f>
        <v>0</v>
      </c>
    </row>
    <row r="6" spans="1:2" x14ac:dyDescent="0.25">
      <c r="A6" s="3" t="s">
        <v>5219</v>
      </c>
      <c r="B6">
        <f>AVERAGE(Raw_GeneralLedger!L2:L2001)</f>
        <v>564.78179545000012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C579-E975-44AD-A25D-FDDA1B408DD2}">
  <dimension ref="A1:B6"/>
  <sheetViews>
    <sheetView workbookViewId="0">
      <selection activeCell="B1" sqref="B1"/>
    </sheetView>
  </sheetViews>
  <sheetFormatPr defaultRowHeight="15" x14ac:dyDescent="0.25"/>
  <cols>
    <col min="1" max="1" width="11" customWidth="1"/>
    <col min="2" max="2" width="11.42578125" customWidth="1"/>
  </cols>
  <sheetData>
    <row r="1" spans="1:2" x14ac:dyDescent="0.25">
      <c r="A1" s="3" t="s">
        <v>22</v>
      </c>
      <c r="B1" s="3" t="s">
        <v>5184</v>
      </c>
    </row>
    <row r="2" spans="1:2" x14ac:dyDescent="0.25">
      <c r="A2" t="s">
        <v>45</v>
      </c>
      <c r="B2">
        <v>1</v>
      </c>
    </row>
    <row r="3" spans="1:2" x14ac:dyDescent="0.25">
      <c r="A3" t="s">
        <v>36</v>
      </c>
      <c r="B3">
        <v>1.08</v>
      </c>
    </row>
    <row r="4" spans="1:2" x14ac:dyDescent="0.25">
      <c r="A4" t="s">
        <v>28</v>
      </c>
      <c r="B4">
        <v>1.27</v>
      </c>
    </row>
    <row r="5" spans="1:2" x14ac:dyDescent="0.25">
      <c r="A5" t="s">
        <v>64</v>
      </c>
      <c r="B5">
        <v>0.73</v>
      </c>
    </row>
    <row r="6" spans="1:2" x14ac:dyDescent="0.25">
      <c r="A6" t="s">
        <v>42</v>
      </c>
      <c r="B6">
        <v>0.66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68C5B-4D9B-4FCB-8F29-AF8CF808D866}">
  <dimension ref="A1:F49"/>
  <sheetViews>
    <sheetView workbookViewId="0">
      <selection activeCell="F2" sqref="F2:F49"/>
    </sheetView>
  </sheetViews>
  <sheetFormatPr defaultRowHeight="15" x14ac:dyDescent="0.25"/>
  <cols>
    <col min="1" max="1" width="10.5703125" customWidth="1"/>
    <col min="4" max="4" width="14.42578125" customWidth="1"/>
    <col min="5" max="5" width="14.5703125" customWidth="1"/>
    <col min="6" max="6" width="13.140625" customWidth="1"/>
  </cols>
  <sheetData>
    <row r="1" spans="1:6" x14ac:dyDescent="0.25">
      <c r="A1" s="3" t="s">
        <v>5188</v>
      </c>
      <c r="B1" s="3" t="s">
        <v>1</v>
      </c>
      <c r="C1" s="3" t="s">
        <v>2</v>
      </c>
      <c r="D1" s="3" t="s">
        <v>5189</v>
      </c>
      <c r="E1" s="3" t="s">
        <v>5190</v>
      </c>
      <c r="F1" s="3" t="s">
        <v>5195</v>
      </c>
    </row>
    <row r="2" spans="1:6" x14ac:dyDescent="0.25">
      <c r="A2" s="4">
        <v>2024</v>
      </c>
      <c r="B2" s="4" t="s">
        <v>8</v>
      </c>
      <c r="C2" s="4">
        <v>1</v>
      </c>
      <c r="D2">
        <f>SUMIFS(Raw_GeneralLedger!L:L,Raw_GeneralLedger!G:G,B2,Raw_GeneralLedger!N:N,A2,Raw_GeneralLedger!O:O,C2)</f>
        <v>20434.418200000004</v>
      </c>
      <c r="E2">
        <f>SUMIFS(Raw_GeneralLedger!M:M,Raw_GeneralLedger!G:G,B2,Raw_GeneralLedger!N:N,A2,Raw_GeneralLedger!O:O,C2)</f>
        <v>31519.724999999999</v>
      </c>
      <c r="F2" t="str">
        <f>B2&amp;A2&amp;C2</f>
        <v>Finance20241</v>
      </c>
    </row>
    <row r="3" spans="1:6" x14ac:dyDescent="0.25">
      <c r="A3" s="4">
        <v>2024</v>
      </c>
      <c r="B3" s="4" t="s">
        <v>8</v>
      </c>
      <c r="C3" s="4">
        <v>2</v>
      </c>
      <c r="D3" s="4">
        <f>SUMIFS(Raw_GeneralLedger!L:L,Raw_GeneralLedger!G:G,B3,Raw_GeneralLedger!N:N,A3,Raw_GeneralLedger!O:O,C3)</f>
        <v>16330.415700000003</v>
      </c>
      <c r="E3" s="4">
        <f>SUMIFS(Raw_GeneralLedger!M:M,Raw_GeneralLedger!G:G,B3,Raw_GeneralLedger!N:N,A3,Raw_GeneralLedger!O:O,C3)</f>
        <v>35792.326200000003</v>
      </c>
      <c r="F3" s="4" t="str">
        <f t="shared" ref="F3:F49" si="0">B3&amp;A3&amp;C3</f>
        <v>Finance20242</v>
      </c>
    </row>
    <row r="4" spans="1:6" x14ac:dyDescent="0.25">
      <c r="A4" s="4">
        <v>2024</v>
      </c>
      <c r="B4" s="4" t="s">
        <v>8</v>
      </c>
      <c r="C4" s="4">
        <v>3</v>
      </c>
      <c r="D4" s="4">
        <f>SUMIFS(Raw_GeneralLedger!L:L,Raw_GeneralLedger!G:G,B4,Raw_GeneralLedger!N:N,A4,Raw_GeneralLedger!O:O,C4)</f>
        <v>19545.837499999998</v>
      </c>
      <c r="E4" s="4">
        <f>SUMIFS(Raw_GeneralLedger!M:M,Raw_GeneralLedger!G:G,B4,Raw_GeneralLedger!N:N,A4,Raw_GeneralLedger!O:O,C4)</f>
        <v>35806.628400000001</v>
      </c>
      <c r="F4" s="4" t="str">
        <f t="shared" si="0"/>
        <v>Finance20243</v>
      </c>
    </row>
    <row r="5" spans="1:6" x14ac:dyDescent="0.25">
      <c r="A5" s="4">
        <v>2024</v>
      </c>
      <c r="B5" s="4" t="s">
        <v>8</v>
      </c>
      <c r="C5" s="4">
        <v>4</v>
      </c>
      <c r="D5" s="4">
        <f>SUMIFS(Raw_GeneralLedger!L:L,Raw_GeneralLedger!G:G,B5,Raw_GeneralLedger!N:N,A5,Raw_GeneralLedger!O:O,C5)</f>
        <v>25935.928999999996</v>
      </c>
      <c r="E5" s="4">
        <f>SUMIFS(Raw_GeneralLedger!M:M,Raw_GeneralLedger!G:G,B5,Raw_GeneralLedger!N:N,A5,Raw_GeneralLedger!O:O,C5)</f>
        <v>35181.760899999994</v>
      </c>
      <c r="F5" s="4" t="str">
        <f t="shared" si="0"/>
        <v>Finance20244</v>
      </c>
    </row>
    <row r="6" spans="1:6" x14ac:dyDescent="0.25">
      <c r="A6" s="4">
        <v>2024</v>
      </c>
      <c r="B6" s="4" t="s">
        <v>9</v>
      </c>
      <c r="C6" s="4">
        <v>1</v>
      </c>
      <c r="D6" s="4">
        <f>SUMIFS(Raw_GeneralLedger!L:L,Raw_GeneralLedger!G:G,B6,Raw_GeneralLedger!N:N,A6,Raw_GeneralLedger!O:O,C6)</f>
        <v>22266.658600000002</v>
      </c>
      <c r="E6" s="4">
        <f>SUMIFS(Raw_GeneralLedger!M:M,Raw_GeneralLedger!G:G,B6,Raw_GeneralLedger!N:N,A6,Raw_GeneralLedger!O:O,C6)</f>
        <v>22509.203099999999</v>
      </c>
      <c r="F6" s="4" t="str">
        <f t="shared" si="0"/>
        <v>HR20241</v>
      </c>
    </row>
    <row r="7" spans="1:6" x14ac:dyDescent="0.25">
      <c r="A7" s="4">
        <v>2024</v>
      </c>
      <c r="B7" s="4" t="s">
        <v>9</v>
      </c>
      <c r="C7" s="4">
        <v>2</v>
      </c>
      <c r="D7" s="4">
        <f>SUMIFS(Raw_GeneralLedger!L:L,Raw_GeneralLedger!G:G,B7,Raw_GeneralLedger!N:N,A7,Raw_GeneralLedger!O:O,C7)</f>
        <v>17292.030299999999</v>
      </c>
      <c r="E7" s="4">
        <f>SUMIFS(Raw_GeneralLedger!M:M,Raw_GeneralLedger!G:G,B7,Raw_GeneralLedger!N:N,A7,Raw_GeneralLedger!O:O,C7)</f>
        <v>26202.710500000001</v>
      </c>
      <c r="F7" s="4" t="str">
        <f t="shared" si="0"/>
        <v>HR20242</v>
      </c>
    </row>
    <row r="8" spans="1:6" x14ac:dyDescent="0.25">
      <c r="A8" s="4">
        <v>2024</v>
      </c>
      <c r="B8" s="4" t="s">
        <v>9</v>
      </c>
      <c r="C8" s="4">
        <v>3</v>
      </c>
      <c r="D8" s="4">
        <f>SUMIFS(Raw_GeneralLedger!L:L,Raw_GeneralLedger!G:G,B8,Raw_GeneralLedger!N:N,A8,Raw_GeneralLedger!O:O,C8)</f>
        <v>23462.161500000002</v>
      </c>
      <c r="E8" s="4">
        <f>SUMIFS(Raw_GeneralLedger!M:M,Raw_GeneralLedger!G:G,B8,Raw_GeneralLedger!N:N,A8,Raw_GeneralLedger!O:O,C8)</f>
        <v>20818.597700000002</v>
      </c>
      <c r="F8" s="4" t="str">
        <f t="shared" si="0"/>
        <v>HR20243</v>
      </c>
    </row>
    <row r="9" spans="1:6" x14ac:dyDescent="0.25">
      <c r="A9" s="4">
        <v>2024</v>
      </c>
      <c r="B9" s="4" t="s">
        <v>9</v>
      </c>
      <c r="C9" s="4">
        <v>4</v>
      </c>
      <c r="D9" s="4">
        <f>SUMIFS(Raw_GeneralLedger!L:L,Raw_GeneralLedger!G:G,B9,Raw_GeneralLedger!N:N,A9,Raw_GeneralLedger!O:O,C9)</f>
        <v>24045.374599999996</v>
      </c>
      <c r="E9" s="4">
        <f>SUMIFS(Raw_GeneralLedger!M:M,Raw_GeneralLedger!G:G,B9,Raw_GeneralLedger!N:N,A9,Raw_GeneralLedger!O:O,C9)</f>
        <v>34333.046599999994</v>
      </c>
      <c r="F9" s="4" t="str">
        <f t="shared" si="0"/>
        <v>HR20244</v>
      </c>
    </row>
    <row r="10" spans="1:6" x14ac:dyDescent="0.25">
      <c r="A10" s="4">
        <v>2024</v>
      </c>
      <c r="B10" s="4" t="s">
        <v>10</v>
      </c>
      <c r="C10" s="4">
        <v>1</v>
      </c>
      <c r="D10" s="4">
        <f>SUMIFS(Raw_GeneralLedger!L:L,Raw_GeneralLedger!G:G,B10,Raw_GeneralLedger!N:N,A10,Raw_GeneralLedger!O:O,C10)</f>
        <v>19990.6018</v>
      </c>
      <c r="E10" s="4">
        <f>SUMIFS(Raw_GeneralLedger!M:M,Raw_GeneralLedger!G:G,B10,Raw_GeneralLedger!N:N,A10,Raw_GeneralLedger!O:O,C10)</f>
        <v>29087.133799999996</v>
      </c>
      <c r="F10" s="4" t="str">
        <f t="shared" si="0"/>
        <v>IT20241</v>
      </c>
    </row>
    <row r="11" spans="1:6" x14ac:dyDescent="0.25">
      <c r="A11" s="4">
        <v>2024</v>
      </c>
      <c r="B11" s="4" t="s">
        <v>10</v>
      </c>
      <c r="C11" s="4">
        <v>2</v>
      </c>
      <c r="D11" s="4">
        <f>SUMIFS(Raw_GeneralLedger!L:L,Raw_GeneralLedger!G:G,B11,Raw_GeneralLedger!N:N,A11,Raw_GeneralLedger!O:O,C11)</f>
        <v>25527.173200000005</v>
      </c>
      <c r="E11" s="4">
        <f>SUMIFS(Raw_GeneralLedger!M:M,Raw_GeneralLedger!G:G,B11,Raw_GeneralLedger!N:N,A11,Raw_GeneralLedger!O:O,C11)</f>
        <v>39689.354399999997</v>
      </c>
      <c r="F11" s="4" t="str">
        <f t="shared" si="0"/>
        <v>IT20242</v>
      </c>
    </row>
    <row r="12" spans="1:6" x14ac:dyDescent="0.25">
      <c r="A12" s="4">
        <v>2024</v>
      </c>
      <c r="B12" s="4" t="s">
        <v>10</v>
      </c>
      <c r="C12" s="4">
        <v>3</v>
      </c>
      <c r="D12" s="4">
        <f>SUMIFS(Raw_GeneralLedger!L:L,Raw_GeneralLedger!G:G,B12,Raw_GeneralLedger!N:N,A12,Raw_GeneralLedger!O:O,C12)</f>
        <v>18718.4794</v>
      </c>
      <c r="E12" s="4">
        <f>SUMIFS(Raw_GeneralLedger!M:M,Raw_GeneralLedger!G:G,B12,Raw_GeneralLedger!N:N,A12,Raw_GeneralLedger!O:O,C12)</f>
        <v>32588.494599999998</v>
      </c>
      <c r="F12" s="4" t="str">
        <f t="shared" si="0"/>
        <v>IT20243</v>
      </c>
    </row>
    <row r="13" spans="1:6" x14ac:dyDescent="0.25">
      <c r="A13" s="4">
        <v>2024</v>
      </c>
      <c r="B13" s="4" t="s">
        <v>10</v>
      </c>
      <c r="C13" s="4">
        <v>4</v>
      </c>
      <c r="D13" s="4">
        <f>SUMIFS(Raw_GeneralLedger!L:L,Raw_GeneralLedger!G:G,B13,Raw_GeneralLedger!N:N,A13,Raw_GeneralLedger!O:O,C13)</f>
        <v>19587.604200000005</v>
      </c>
      <c r="E13" s="4">
        <f>SUMIFS(Raw_GeneralLedger!M:M,Raw_GeneralLedger!G:G,B13,Raw_GeneralLedger!N:N,A13,Raw_GeneralLedger!O:O,C13)</f>
        <v>33202.277800000003</v>
      </c>
      <c r="F13" s="4" t="str">
        <f t="shared" si="0"/>
        <v>IT20244</v>
      </c>
    </row>
    <row r="14" spans="1:6" x14ac:dyDescent="0.25">
      <c r="A14" s="4">
        <v>2024</v>
      </c>
      <c r="B14" s="4" t="s">
        <v>11</v>
      </c>
      <c r="C14" s="4">
        <v>1</v>
      </c>
      <c r="D14" s="4">
        <f>SUMIFS(Raw_GeneralLedger!L:L,Raw_GeneralLedger!G:G,B14,Raw_GeneralLedger!N:N,A14,Raw_GeneralLedger!O:O,C14)</f>
        <v>17270.640900000002</v>
      </c>
      <c r="E14" s="4">
        <f>SUMIFS(Raw_GeneralLedger!M:M,Raw_GeneralLedger!G:G,B14,Raw_GeneralLedger!N:N,A14,Raw_GeneralLedger!O:O,C14)</f>
        <v>33153.590199999999</v>
      </c>
      <c r="F14" s="4" t="str">
        <f t="shared" si="0"/>
        <v>Sales20241</v>
      </c>
    </row>
    <row r="15" spans="1:6" x14ac:dyDescent="0.25">
      <c r="A15" s="4">
        <v>2024</v>
      </c>
      <c r="B15" s="4" t="s">
        <v>11</v>
      </c>
      <c r="C15" s="4">
        <v>2</v>
      </c>
      <c r="D15" s="4">
        <f>SUMIFS(Raw_GeneralLedger!L:L,Raw_GeneralLedger!G:G,B15,Raw_GeneralLedger!N:N,A15,Raw_GeneralLedger!O:O,C15)</f>
        <v>23535.214500000002</v>
      </c>
      <c r="E15" s="4">
        <f>SUMIFS(Raw_GeneralLedger!M:M,Raw_GeneralLedger!G:G,B15,Raw_GeneralLedger!N:N,A15,Raw_GeneralLedger!O:O,C15)</f>
        <v>38550.229200000002</v>
      </c>
      <c r="F15" s="4" t="str">
        <f t="shared" si="0"/>
        <v>Sales20242</v>
      </c>
    </row>
    <row r="16" spans="1:6" x14ac:dyDescent="0.25">
      <c r="A16" s="4">
        <v>2024</v>
      </c>
      <c r="B16" s="4" t="s">
        <v>11</v>
      </c>
      <c r="C16" s="4">
        <v>3</v>
      </c>
      <c r="D16" s="4">
        <f>SUMIFS(Raw_GeneralLedger!L:L,Raw_GeneralLedger!G:G,B16,Raw_GeneralLedger!N:N,A16,Raw_GeneralLedger!O:O,C16)</f>
        <v>16899.9555</v>
      </c>
      <c r="E16" s="4">
        <f>SUMIFS(Raw_GeneralLedger!M:M,Raw_GeneralLedger!G:G,B16,Raw_GeneralLedger!N:N,A16,Raw_GeneralLedger!O:O,C16)</f>
        <v>38109.686899999993</v>
      </c>
      <c r="F16" s="4" t="str">
        <f t="shared" si="0"/>
        <v>Sales20243</v>
      </c>
    </row>
    <row r="17" spans="1:6" x14ac:dyDescent="0.25">
      <c r="A17" s="4">
        <v>2024</v>
      </c>
      <c r="B17" s="4" t="s">
        <v>11</v>
      </c>
      <c r="C17" s="4">
        <v>4</v>
      </c>
      <c r="D17" s="4">
        <f>SUMIFS(Raw_GeneralLedger!L:L,Raw_GeneralLedger!G:G,B17,Raw_GeneralLedger!N:N,A17,Raw_GeneralLedger!O:O,C17)</f>
        <v>16943.486100000002</v>
      </c>
      <c r="E17" s="4">
        <f>SUMIFS(Raw_GeneralLedger!M:M,Raw_GeneralLedger!G:G,B17,Raw_GeneralLedger!N:N,A17,Raw_GeneralLedger!O:O,C17)</f>
        <v>32999.578200000004</v>
      </c>
      <c r="F17" s="4" t="str">
        <f t="shared" si="0"/>
        <v>Sales20244</v>
      </c>
    </row>
    <row r="18" spans="1:6" x14ac:dyDescent="0.25">
      <c r="A18" s="4">
        <v>2024</v>
      </c>
      <c r="B18" s="4" t="s">
        <v>12</v>
      </c>
      <c r="C18" s="4">
        <v>1</v>
      </c>
      <c r="D18" s="4">
        <f>SUMIFS(Raw_GeneralLedger!L:L,Raw_GeneralLedger!G:G,B18,Raw_GeneralLedger!N:N,A18,Raw_GeneralLedger!O:O,C18)</f>
        <v>15406.594800000001</v>
      </c>
      <c r="E18" s="4">
        <f>SUMIFS(Raw_GeneralLedger!M:M,Raw_GeneralLedger!G:G,B18,Raw_GeneralLedger!N:N,A18,Raw_GeneralLedger!O:O,C18)</f>
        <v>55974.035400000001</v>
      </c>
      <c r="F18" s="4" t="str">
        <f t="shared" si="0"/>
        <v>Marketing20241</v>
      </c>
    </row>
    <row r="19" spans="1:6" x14ac:dyDescent="0.25">
      <c r="A19" s="4">
        <v>2024</v>
      </c>
      <c r="B19" s="4" t="s">
        <v>12</v>
      </c>
      <c r="C19" s="4">
        <v>2</v>
      </c>
      <c r="D19" s="4">
        <f>SUMIFS(Raw_GeneralLedger!L:L,Raw_GeneralLedger!G:G,B19,Raw_GeneralLedger!N:N,A19,Raw_GeneralLedger!O:O,C19)</f>
        <v>22709.2922</v>
      </c>
      <c r="E19" s="4">
        <f>SUMIFS(Raw_GeneralLedger!M:M,Raw_GeneralLedger!G:G,B19,Raw_GeneralLedger!N:N,A19,Raw_GeneralLedger!O:O,C19)</f>
        <v>39780.816700000003</v>
      </c>
      <c r="F19" s="4" t="str">
        <f t="shared" si="0"/>
        <v>Marketing20242</v>
      </c>
    </row>
    <row r="20" spans="1:6" x14ac:dyDescent="0.25">
      <c r="A20" s="4">
        <v>2024</v>
      </c>
      <c r="B20" s="4" t="s">
        <v>12</v>
      </c>
      <c r="C20" s="4">
        <v>3</v>
      </c>
      <c r="D20" s="4">
        <f>SUMIFS(Raw_GeneralLedger!L:L,Raw_GeneralLedger!G:G,B20,Raw_GeneralLedger!N:N,A20,Raw_GeneralLedger!O:O,C20)</f>
        <v>23553.316000000006</v>
      </c>
      <c r="E20" s="4">
        <f>SUMIFS(Raw_GeneralLedger!M:M,Raw_GeneralLedger!G:G,B20,Raw_GeneralLedger!N:N,A20,Raw_GeneralLedger!O:O,C20)</f>
        <v>16889.636599999998</v>
      </c>
      <c r="F20" s="4" t="str">
        <f t="shared" si="0"/>
        <v>Marketing20243</v>
      </c>
    </row>
    <row r="21" spans="1:6" x14ac:dyDescent="0.25">
      <c r="A21" s="4">
        <v>2024</v>
      </c>
      <c r="B21" s="4" t="s">
        <v>12</v>
      </c>
      <c r="C21" s="4">
        <v>4</v>
      </c>
      <c r="D21" s="4">
        <f>SUMIFS(Raw_GeneralLedger!L:L,Raw_GeneralLedger!G:G,B21,Raw_GeneralLedger!N:N,A21,Raw_GeneralLedger!O:O,C21)</f>
        <v>16044.707399999998</v>
      </c>
      <c r="E21" s="4">
        <f>SUMIFS(Raw_GeneralLedger!M:M,Raw_GeneralLedger!G:G,B21,Raw_GeneralLedger!N:N,A21,Raw_GeneralLedger!O:O,C21)</f>
        <v>30461.367299999998</v>
      </c>
      <c r="F21" s="4" t="str">
        <f t="shared" si="0"/>
        <v>Marketing20244</v>
      </c>
    </row>
    <row r="22" spans="1:6" x14ac:dyDescent="0.25">
      <c r="A22" s="4">
        <v>2024</v>
      </c>
      <c r="B22" s="4" t="s">
        <v>13</v>
      </c>
      <c r="C22" s="4">
        <v>1</v>
      </c>
      <c r="D22" s="4">
        <f>SUMIFS(Raw_GeneralLedger!L:L,Raw_GeneralLedger!G:G,B22,Raw_GeneralLedger!N:N,A22,Raw_GeneralLedger!O:O,C22)</f>
        <v>14193.6297</v>
      </c>
      <c r="E22" s="4">
        <f>SUMIFS(Raw_GeneralLedger!M:M,Raw_GeneralLedger!G:G,B22,Raw_GeneralLedger!N:N,A22,Raw_GeneralLedger!O:O,C22)</f>
        <v>39245.731599999999</v>
      </c>
      <c r="F22" s="4" t="str">
        <f t="shared" si="0"/>
        <v>Operations20241</v>
      </c>
    </row>
    <row r="23" spans="1:6" x14ac:dyDescent="0.25">
      <c r="A23" s="4">
        <v>2024</v>
      </c>
      <c r="B23" s="4" t="s">
        <v>13</v>
      </c>
      <c r="C23" s="4">
        <v>2</v>
      </c>
      <c r="D23" s="4">
        <f>SUMIFS(Raw_GeneralLedger!L:L,Raw_GeneralLedger!G:G,B23,Raw_GeneralLedger!N:N,A23,Raw_GeneralLedger!O:O,C23)</f>
        <v>14921.472699999997</v>
      </c>
      <c r="E23" s="4">
        <f>SUMIFS(Raw_GeneralLedger!M:M,Raw_GeneralLedger!G:G,B23,Raw_GeneralLedger!N:N,A23,Raw_GeneralLedger!O:O,C23)</f>
        <v>31885.265100000001</v>
      </c>
      <c r="F23" s="4" t="str">
        <f t="shared" si="0"/>
        <v>Operations20242</v>
      </c>
    </row>
    <row r="24" spans="1:6" x14ac:dyDescent="0.25">
      <c r="A24" s="4">
        <v>2024</v>
      </c>
      <c r="B24" s="4" t="s">
        <v>13</v>
      </c>
      <c r="C24" s="4">
        <v>3</v>
      </c>
      <c r="D24" s="4">
        <f>SUMIFS(Raw_GeneralLedger!L:L,Raw_GeneralLedger!G:G,B24,Raw_GeneralLedger!N:N,A24,Raw_GeneralLedger!O:O,C24)</f>
        <v>21831.3433</v>
      </c>
      <c r="E24" s="4">
        <f>SUMIFS(Raw_GeneralLedger!M:M,Raw_GeneralLedger!G:G,B24,Raw_GeneralLedger!N:N,A24,Raw_GeneralLedger!O:O,C24)</f>
        <v>15478.449900000001</v>
      </c>
      <c r="F24" s="4" t="str">
        <f t="shared" si="0"/>
        <v>Operations20243</v>
      </c>
    </row>
    <row r="25" spans="1:6" x14ac:dyDescent="0.25">
      <c r="A25" s="4">
        <v>2024</v>
      </c>
      <c r="B25" s="4" t="s">
        <v>13</v>
      </c>
      <c r="C25" s="4">
        <v>4</v>
      </c>
      <c r="D25" s="4">
        <f>SUMIFS(Raw_GeneralLedger!L:L,Raw_GeneralLedger!G:G,B25,Raw_GeneralLedger!N:N,A25,Raw_GeneralLedger!O:O,C25)</f>
        <v>17091.34</v>
      </c>
      <c r="E25" s="4">
        <f>SUMIFS(Raw_GeneralLedger!M:M,Raw_GeneralLedger!G:G,B25,Raw_GeneralLedger!N:N,A25,Raw_GeneralLedger!O:O,C25)</f>
        <v>27742.315500000001</v>
      </c>
      <c r="F25" s="4" t="str">
        <f t="shared" si="0"/>
        <v>Operations20244</v>
      </c>
    </row>
    <row r="26" spans="1:6" x14ac:dyDescent="0.25">
      <c r="A26" s="4">
        <v>2025</v>
      </c>
      <c r="B26" s="4" t="s">
        <v>8</v>
      </c>
      <c r="C26" s="4">
        <v>1</v>
      </c>
      <c r="D26" s="4">
        <f>SUMIFS(Raw_GeneralLedger!L:L,Raw_GeneralLedger!G:G,B26,Raw_GeneralLedger!N:N,A26,Raw_GeneralLedger!O:O,C26)</f>
        <v>25125.474199999997</v>
      </c>
      <c r="E26" s="4">
        <f>SUMIFS(Raw_GeneralLedger!M:M,Raw_GeneralLedger!G:G,B26,Raw_GeneralLedger!N:N,A26,Raw_GeneralLedger!O:O,C26)</f>
        <v>33518.633900000001</v>
      </c>
      <c r="F26" s="4" t="str">
        <f t="shared" si="0"/>
        <v>Finance20251</v>
      </c>
    </row>
    <row r="27" spans="1:6" x14ac:dyDescent="0.25">
      <c r="A27" s="4">
        <v>2025</v>
      </c>
      <c r="B27" s="4" t="s">
        <v>8</v>
      </c>
      <c r="C27" s="4">
        <v>2</v>
      </c>
      <c r="D27" s="4">
        <f>SUMIFS(Raw_GeneralLedger!L:L,Raw_GeneralLedger!G:G,B27,Raw_GeneralLedger!N:N,A27,Raw_GeneralLedger!O:O,C27)</f>
        <v>27238.298500000001</v>
      </c>
      <c r="E27" s="4">
        <f>SUMIFS(Raw_GeneralLedger!M:M,Raw_GeneralLedger!G:G,B27,Raw_GeneralLedger!N:N,A27,Raw_GeneralLedger!O:O,C27)</f>
        <v>47170.2762</v>
      </c>
      <c r="F27" s="4" t="str">
        <f t="shared" si="0"/>
        <v>Finance20252</v>
      </c>
    </row>
    <row r="28" spans="1:6" x14ac:dyDescent="0.25">
      <c r="A28" s="4">
        <v>2025</v>
      </c>
      <c r="B28" s="4" t="s">
        <v>8</v>
      </c>
      <c r="C28" s="4">
        <v>3</v>
      </c>
      <c r="D28" s="4">
        <f>SUMIFS(Raw_GeneralLedger!L:L,Raw_GeneralLedger!G:G,B28,Raw_GeneralLedger!N:N,A28,Raw_GeneralLedger!O:O,C28)</f>
        <v>0</v>
      </c>
      <c r="E28" s="4">
        <f>SUMIFS(Raw_GeneralLedger!M:M,Raw_GeneralLedger!G:G,B28,Raw_GeneralLedger!N:N,A28,Raw_GeneralLedger!O:O,C28)</f>
        <v>0</v>
      </c>
      <c r="F28" s="4" t="str">
        <f t="shared" si="0"/>
        <v>Finance20253</v>
      </c>
    </row>
    <row r="29" spans="1:6" x14ac:dyDescent="0.25">
      <c r="A29" s="4">
        <v>2025</v>
      </c>
      <c r="B29" s="4" t="s">
        <v>8</v>
      </c>
      <c r="C29" s="4">
        <v>4</v>
      </c>
      <c r="D29" s="4">
        <f>SUMIFS(Raw_GeneralLedger!L:L,Raw_GeneralLedger!G:G,B29,Raw_GeneralLedger!N:N,A29,Raw_GeneralLedger!O:O,C29)</f>
        <v>0</v>
      </c>
      <c r="E29" s="4">
        <f>SUMIFS(Raw_GeneralLedger!M:M,Raw_GeneralLedger!G:G,B29,Raw_GeneralLedger!N:N,A29,Raw_GeneralLedger!O:O,C29)</f>
        <v>0</v>
      </c>
      <c r="F29" s="4" t="str">
        <f t="shared" si="0"/>
        <v>Finance20254</v>
      </c>
    </row>
    <row r="30" spans="1:6" x14ac:dyDescent="0.25">
      <c r="A30" s="4">
        <v>2025</v>
      </c>
      <c r="B30" s="4" t="s">
        <v>9</v>
      </c>
      <c r="C30" s="4">
        <v>1</v>
      </c>
      <c r="D30" s="4">
        <f>SUMIFS(Raw_GeneralLedger!L:L,Raw_GeneralLedger!G:G,B30,Raw_GeneralLedger!N:N,A30,Raw_GeneralLedger!O:O,C30)</f>
        <v>24308.4637</v>
      </c>
      <c r="E30" s="4">
        <f>SUMIFS(Raw_GeneralLedger!M:M,Raw_GeneralLedger!G:G,B30,Raw_GeneralLedger!N:N,A30,Raw_GeneralLedger!O:O,C30)</f>
        <v>30124.576399999998</v>
      </c>
      <c r="F30" s="4" t="str">
        <f t="shared" si="0"/>
        <v>HR20251</v>
      </c>
    </row>
    <row r="31" spans="1:6" x14ac:dyDescent="0.25">
      <c r="A31" s="4">
        <v>2025</v>
      </c>
      <c r="B31" s="4" t="s">
        <v>9</v>
      </c>
      <c r="C31" s="4">
        <v>2</v>
      </c>
      <c r="D31" s="4">
        <f>SUMIFS(Raw_GeneralLedger!L:L,Raw_GeneralLedger!G:G,B31,Raw_GeneralLedger!N:N,A31,Raw_GeneralLedger!O:O,C31)</f>
        <v>9584.8271000000022</v>
      </c>
      <c r="E31" s="4">
        <f>SUMIFS(Raw_GeneralLedger!M:M,Raw_GeneralLedger!G:G,B31,Raw_GeneralLedger!N:N,A31,Raw_GeneralLedger!O:O,C31)</f>
        <v>27733.935200000004</v>
      </c>
      <c r="F31" s="4" t="str">
        <f t="shared" si="0"/>
        <v>HR20252</v>
      </c>
    </row>
    <row r="32" spans="1:6" x14ac:dyDescent="0.25">
      <c r="A32" s="4">
        <v>2025</v>
      </c>
      <c r="B32" s="4" t="s">
        <v>9</v>
      </c>
      <c r="C32" s="4">
        <v>3</v>
      </c>
      <c r="D32" s="4">
        <f>SUMIFS(Raw_GeneralLedger!L:L,Raw_GeneralLedger!G:G,B32,Raw_GeneralLedger!N:N,A32,Raw_GeneralLedger!O:O,C32)</f>
        <v>0</v>
      </c>
      <c r="E32" s="4">
        <f>SUMIFS(Raw_GeneralLedger!M:M,Raw_GeneralLedger!G:G,B32,Raw_GeneralLedger!N:N,A32,Raw_GeneralLedger!O:O,C32)</f>
        <v>0</v>
      </c>
      <c r="F32" s="4" t="str">
        <f t="shared" si="0"/>
        <v>HR20253</v>
      </c>
    </row>
    <row r="33" spans="1:6" x14ac:dyDescent="0.25">
      <c r="A33" s="4">
        <v>2025</v>
      </c>
      <c r="B33" s="4" t="s">
        <v>9</v>
      </c>
      <c r="C33" s="4">
        <v>4</v>
      </c>
      <c r="D33" s="4">
        <f>SUMIFS(Raw_GeneralLedger!L:L,Raw_GeneralLedger!G:G,B33,Raw_GeneralLedger!N:N,A33,Raw_GeneralLedger!O:O,C33)</f>
        <v>0</v>
      </c>
      <c r="E33" s="4">
        <f>SUMIFS(Raw_GeneralLedger!M:M,Raw_GeneralLedger!G:G,B33,Raw_GeneralLedger!N:N,A33,Raw_GeneralLedger!O:O,C33)</f>
        <v>0</v>
      </c>
      <c r="F33" s="4" t="str">
        <f t="shared" si="0"/>
        <v>HR20254</v>
      </c>
    </row>
    <row r="34" spans="1:6" x14ac:dyDescent="0.25">
      <c r="A34" s="4">
        <v>2025</v>
      </c>
      <c r="B34" s="4" t="s">
        <v>10</v>
      </c>
      <c r="C34" s="4">
        <v>1</v>
      </c>
      <c r="D34" s="4">
        <f>SUMIFS(Raw_GeneralLedger!L:L,Raw_GeneralLedger!G:G,B34,Raw_GeneralLedger!N:N,A34,Raw_GeneralLedger!O:O,C34)</f>
        <v>18945.861799999999</v>
      </c>
      <c r="E34" s="4">
        <f>SUMIFS(Raw_GeneralLedger!M:M,Raw_GeneralLedger!G:G,B34,Raw_GeneralLedger!N:N,A34,Raw_GeneralLedger!O:O,C34)</f>
        <v>41460.737400000005</v>
      </c>
      <c r="F34" s="4" t="str">
        <f t="shared" si="0"/>
        <v>IT20251</v>
      </c>
    </row>
    <row r="35" spans="1:6" x14ac:dyDescent="0.25">
      <c r="A35" s="4">
        <v>2025</v>
      </c>
      <c r="B35" s="4" t="s">
        <v>10</v>
      </c>
      <c r="C35" s="4">
        <v>2</v>
      </c>
      <c r="D35" s="4">
        <f>SUMIFS(Raw_GeneralLedger!L:L,Raw_GeneralLedger!G:G,B35,Raw_GeneralLedger!N:N,A35,Raw_GeneralLedger!O:O,C35)</f>
        <v>20526.256400000006</v>
      </c>
      <c r="E35" s="4">
        <f>SUMIFS(Raw_GeneralLedger!M:M,Raw_GeneralLedger!G:G,B35,Raw_GeneralLedger!N:N,A35,Raw_GeneralLedger!O:O,C35)</f>
        <v>37801.696499999991</v>
      </c>
      <c r="F35" s="4" t="str">
        <f t="shared" si="0"/>
        <v>IT20252</v>
      </c>
    </row>
    <row r="36" spans="1:6" x14ac:dyDescent="0.25">
      <c r="A36" s="4">
        <v>2025</v>
      </c>
      <c r="B36" s="4" t="s">
        <v>10</v>
      </c>
      <c r="C36" s="4">
        <v>3</v>
      </c>
      <c r="D36" s="4">
        <f>SUMIFS(Raw_GeneralLedger!L:L,Raw_GeneralLedger!G:G,B36,Raw_GeneralLedger!N:N,A36,Raw_GeneralLedger!O:O,C36)</f>
        <v>0</v>
      </c>
      <c r="E36" s="4">
        <f>SUMIFS(Raw_GeneralLedger!M:M,Raw_GeneralLedger!G:G,B36,Raw_GeneralLedger!N:N,A36,Raw_GeneralLedger!O:O,C36)</f>
        <v>0</v>
      </c>
      <c r="F36" s="4" t="str">
        <f t="shared" si="0"/>
        <v>IT20253</v>
      </c>
    </row>
    <row r="37" spans="1:6" x14ac:dyDescent="0.25">
      <c r="A37" s="4">
        <v>2025</v>
      </c>
      <c r="B37" s="4" t="s">
        <v>10</v>
      </c>
      <c r="C37" s="4">
        <v>4</v>
      </c>
      <c r="D37" s="4">
        <f>SUMIFS(Raw_GeneralLedger!L:L,Raw_GeneralLedger!G:G,B37,Raw_GeneralLedger!N:N,A37,Raw_GeneralLedger!O:O,C37)</f>
        <v>0</v>
      </c>
      <c r="E37" s="4">
        <f>SUMIFS(Raw_GeneralLedger!M:M,Raw_GeneralLedger!G:G,B37,Raw_GeneralLedger!N:N,A37,Raw_GeneralLedger!O:O,C37)</f>
        <v>0</v>
      </c>
      <c r="F37" s="4" t="str">
        <f t="shared" si="0"/>
        <v>IT20254</v>
      </c>
    </row>
    <row r="38" spans="1:6" x14ac:dyDescent="0.25">
      <c r="A38" s="4">
        <v>2025</v>
      </c>
      <c r="B38" s="4" t="s">
        <v>11</v>
      </c>
      <c r="C38" s="4">
        <v>1</v>
      </c>
      <c r="D38" s="4">
        <f>SUMIFS(Raw_GeneralLedger!L:L,Raw_GeneralLedger!G:G,B38,Raw_GeneralLedger!N:N,A38,Raw_GeneralLedger!O:O,C38)</f>
        <v>24509.907199999998</v>
      </c>
      <c r="E38" s="4">
        <f>SUMIFS(Raw_GeneralLedger!M:M,Raw_GeneralLedger!G:G,B38,Raw_GeneralLedger!N:N,A38,Raw_GeneralLedger!O:O,C38)</f>
        <v>27478.188600000001</v>
      </c>
      <c r="F38" s="4" t="str">
        <f t="shared" si="0"/>
        <v>Sales20251</v>
      </c>
    </row>
    <row r="39" spans="1:6" x14ac:dyDescent="0.25">
      <c r="A39" s="4">
        <v>2025</v>
      </c>
      <c r="B39" s="4" t="s">
        <v>11</v>
      </c>
      <c r="C39" s="4">
        <v>2</v>
      </c>
      <c r="D39" s="4">
        <f>SUMIFS(Raw_GeneralLedger!L:L,Raw_GeneralLedger!G:G,B39,Raw_GeneralLedger!N:N,A39,Raw_GeneralLedger!O:O,C39)</f>
        <v>17692.7929</v>
      </c>
      <c r="E39" s="4">
        <f>SUMIFS(Raw_GeneralLedger!M:M,Raw_GeneralLedger!G:G,B39,Raw_GeneralLedger!N:N,A39,Raw_GeneralLedger!O:O,C39)</f>
        <v>30130.386299999998</v>
      </c>
      <c r="F39" s="4" t="str">
        <f t="shared" si="0"/>
        <v>Sales20252</v>
      </c>
    </row>
    <row r="40" spans="1:6" x14ac:dyDescent="0.25">
      <c r="A40" s="4">
        <v>2025</v>
      </c>
      <c r="B40" s="4" t="s">
        <v>11</v>
      </c>
      <c r="C40" s="4">
        <v>3</v>
      </c>
      <c r="D40" s="4">
        <f>SUMIFS(Raw_GeneralLedger!L:L,Raw_GeneralLedger!G:G,B40,Raw_GeneralLedger!N:N,A40,Raw_GeneralLedger!O:O,C40)</f>
        <v>0</v>
      </c>
      <c r="E40" s="4">
        <f>SUMIFS(Raw_GeneralLedger!M:M,Raw_GeneralLedger!G:G,B40,Raw_GeneralLedger!N:N,A40,Raw_GeneralLedger!O:O,C40)</f>
        <v>0</v>
      </c>
      <c r="F40" s="4" t="str">
        <f t="shared" si="0"/>
        <v>Sales20253</v>
      </c>
    </row>
    <row r="41" spans="1:6" x14ac:dyDescent="0.25">
      <c r="A41" s="4">
        <v>2025</v>
      </c>
      <c r="B41" s="4" t="s">
        <v>11</v>
      </c>
      <c r="C41" s="4">
        <v>4</v>
      </c>
      <c r="D41" s="4">
        <f>SUMIFS(Raw_GeneralLedger!L:L,Raw_GeneralLedger!G:G,B41,Raw_GeneralLedger!N:N,A41,Raw_GeneralLedger!O:O,C41)</f>
        <v>0</v>
      </c>
      <c r="E41" s="4">
        <f>SUMIFS(Raw_GeneralLedger!M:M,Raw_GeneralLedger!G:G,B41,Raw_GeneralLedger!N:N,A41,Raw_GeneralLedger!O:O,C41)</f>
        <v>0</v>
      </c>
      <c r="F41" s="4" t="str">
        <f t="shared" si="0"/>
        <v>Sales20254</v>
      </c>
    </row>
    <row r="42" spans="1:6" x14ac:dyDescent="0.25">
      <c r="A42" s="4">
        <v>2025</v>
      </c>
      <c r="B42" s="4" t="s">
        <v>12</v>
      </c>
      <c r="C42" s="4">
        <v>1</v>
      </c>
      <c r="D42" s="4">
        <f>SUMIFS(Raw_GeneralLedger!L:L,Raw_GeneralLedger!G:G,B42,Raw_GeneralLedger!N:N,A42,Raw_GeneralLedger!O:O,C42)</f>
        <v>20273.316199999997</v>
      </c>
      <c r="E42" s="4">
        <f>SUMIFS(Raw_GeneralLedger!M:M,Raw_GeneralLedger!G:G,B42,Raw_GeneralLedger!N:N,A42,Raw_GeneralLedger!O:O,C42)</f>
        <v>24022.817800000001</v>
      </c>
      <c r="F42" s="4" t="str">
        <f t="shared" si="0"/>
        <v>Marketing20251</v>
      </c>
    </row>
    <row r="43" spans="1:6" x14ac:dyDescent="0.25">
      <c r="A43" s="4">
        <v>2025</v>
      </c>
      <c r="B43" s="4" t="s">
        <v>12</v>
      </c>
      <c r="C43" s="4">
        <v>2</v>
      </c>
      <c r="D43" s="4">
        <f>SUMIFS(Raw_GeneralLedger!L:L,Raw_GeneralLedger!G:G,B43,Raw_GeneralLedger!N:N,A43,Raw_GeneralLedger!O:O,C43)</f>
        <v>30844.409599999999</v>
      </c>
      <c r="E43" s="4">
        <f>SUMIFS(Raw_GeneralLedger!M:M,Raw_GeneralLedger!G:G,B43,Raw_GeneralLedger!N:N,A43,Raw_GeneralLedger!O:O,C43)</f>
        <v>13138.9895</v>
      </c>
      <c r="F43" s="4" t="str">
        <f t="shared" si="0"/>
        <v>Marketing20252</v>
      </c>
    </row>
    <row r="44" spans="1:6" x14ac:dyDescent="0.25">
      <c r="A44" s="4">
        <v>2025</v>
      </c>
      <c r="B44" s="4" t="s">
        <v>12</v>
      </c>
      <c r="C44" s="4">
        <v>3</v>
      </c>
      <c r="D44" s="4">
        <f>SUMIFS(Raw_GeneralLedger!L:L,Raw_GeneralLedger!G:G,B44,Raw_GeneralLedger!N:N,A44,Raw_GeneralLedger!O:O,C44)</f>
        <v>0</v>
      </c>
      <c r="E44" s="4">
        <f>SUMIFS(Raw_GeneralLedger!M:M,Raw_GeneralLedger!G:G,B44,Raw_GeneralLedger!N:N,A44,Raw_GeneralLedger!O:O,C44)</f>
        <v>0</v>
      </c>
      <c r="F44" s="4" t="str">
        <f t="shared" si="0"/>
        <v>Marketing20253</v>
      </c>
    </row>
    <row r="45" spans="1:6" x14ac:dyDescent="0.25">
      <c r="A45" s="4">
        <v>2025</v>
      </c>
      <c r="B45" s="4" t="s">
        <v>12</v>
      </c>
      <c r="C45" s="4">
        <v>4</v>
      </c>
      <c r="D45" s="4">
        <f>SUMIFS(Raw_GeneralLedger!L:L,Raw_GeneralLedger!G:G,B45,Raw_GeneralLedger!N:N,A45,Raw_GeneralLedger!O:O,C45)</f>
        <v>0</v>
      </c>
      <c r="E45" s="4">
        <f>SUMIFS(Raw_GeneralLedger!M:M,Raw_GeneralLedger!G:G,B45,Raw_GeneralLedger!N:N,A45,Raw_GeneralLedger!O:O,C45)</f>
        <v>0</v>
      </c>
      <c r="F45" s="4" t="str">
        <f t="shared" si="0"/>
        <v>Marketing20254</v>
      </c>
    </row>
    <row r="46" spans="1:6" x14ac:dyDescent="0.25">
      <c r="A46" s="4">
        <v>2025</v>
      </c>
      <c r="B46" s="4" t="s">
        <v>13</v>
      </c>
      <c r="C46" s="4">
        <v>1</v>
      </c>
      <c r="D46" s="4">
        <f>SUMIFS(Raw_GeneralLedger!L:L,Raw_GeneralLedger!G:G,B46,Raw_GeneralLedger!N:N,A46,Raw_GeneralLedger!O:O,C46)</f>
        <v>17750.595400000002</v>
      </c>
      <c r="E46" s="4">
        <f>SUMIFS(Raw_GeneralLedger!M:M,Raw_GeneralLedger!G:G,B46,Raw_GeneralLedger!N:N,A46,Raw_GeneralLedger!O:O,C46)</f>
        <v>37025.0677</v>
      </c>
      <c r="F46" s="4" t="str">
        <f t="shared" si="0"/>
        <v>Operations20251</v>
      </c>
    </row>
    <row r="47" spans="1:6" x14ac:dyDescent="0.25">
      <c r="A47" s="4">
        <v>2025</v>
      </c>
      <c r="B47" s="4" t="s">
        <v>13</v>
      </c>
      <c r="C47" s="4">
        <v>2</v>
      </c>
      <c r="D47" s="4">
        <f>SUMIFS(Raw_GeneralLedger!L:L,Raw_GeneralLedger!G:G,B47,Raw_GeneralLedger!N:N,A47,Raw_GeneralLedger!O:O,C47)</f>
        <v>11603.7572</v>
      </c>
      <c r="E47" s="4">
        <f>SUMIFS(Raw_GeneralLedger!M:M,Raw_GeneralLedger!G:G,B47,Raw_GeneralLedger!N:N,A47,Raw_GeneralLedger!O:O,C47)</f>
        <v>29928.630400000002</v>
      </c>
      <c r="F47" s="4" t="str">
        <f t="shared" si="0"/>
        <v>Operations20252</v>
      </c>
    </row>
    <row r="48" spans="1:6" x14ac:dyDescent="0.25">
      <c r="A48" s="4">
        <v>2025</v>
      </c>
      <c r="B48" s="4" t="s">
        <v>13</v>
      </c>
      <c r="C48" s="4">
        <v>3</v>
      </c>
      <c r="D48" s="4">
        <f>SUMIFS(Raw_GeneralLedger!L:L,Raw_GeneralLedger!G:G,B48,Raw_GeneralLedger!N:N,A48,Raw_GeneralLedger!O:O,C48)</f>
        <v>0</v>
      </c>
      <c r="E48" s="4">
        <f>SUMIFS(Raw_GeneralLedger!M:M,Raw_GeneralLedger!G:G,B48,Raw_GeneralLedger!N:N,A48,Raw_GeneralLedger!O:O,C48)</f>
        <v>0</v>
      </c>
      <c r="F48" s="4" t="str">
        <f t="shared" si="0"/>
        <v>Operations20253</v>
      </c>
    </row>
    <row r="49" spans="1:6" x14ac:dyDescent="0.25">
      <c r="A49" s="4">
        <v>2025</v>
      </c>
      <c r="B49" s="4" t="s">
        <v>13</v>
      </c>
      <c r="C49" s="4">
        <v>4</v>
      </c>
      <c r="D49" s="4">
        <f>SUMIFS(Raw_GeneralLedger!L:L,Raw_GeneralLedger!G:G,B49,Raw_GeneralLedger!N:N,A49,Raw_GeneralLedger!O:O,C49)</f>
        <v>0</v>
      </c>
      <c r="E49" s="4">
        <f>SUMIFS(Raw_GeneralLedger!M:M,Raw_GeneralLedger!G:G,B49,Raw_GeneralLedger!N:N,A49,Raw_GeneralLedger!O:O,C49)</f>
        <v>0</v>
      </c>
      <c r="F49" s="4" t="str">
        <f t="shared" si="0"/>
        <v>Operations20254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07BAA-0F25-4566-9375-E1478E73AB9A}">
  <dimension ref="A1:H49"/>
  <sheetViews>
    <sheetView workbookViewId="0">
      <selection sqref="A1:H49"/>
    </sheetView>
  </sheetViews>
  <sheetFormatPr defaultRowHeight="15" x14ac:dyDescent="0.25"/>
  <cols>
    <col min="4" max="4" width="11.42578125" customWidth="1"/>
    <col min="5" max="5" width="10.7109375" customWidth="1"/>
    <col min="6" max="6" width="13" customWidth="1"/>
    <col min="7" max="7" width="12" bestFit="1" customWidth="1"/>
    <col min="8" max="8" width="12.85546875" customWidth="1"/>
  </cols>
  <sheetData>
    <row r="1" spans="1:8" x14ac:dyDescent="0.25">
      <c r="A1" s="3" t="s">
        <v>5188</v>
      </c>
      <c r="B1" s="3" t="s">
        <v>1</v>
      </c>
      <c r="C1" s="3" t="s">
        <v>2</v>
      </c>
      <c r="D1" s="3" t="s">
        <v>5191</v>
      </c>
      <c r="E1" s="3" t="s">
        <v>5192</v>
      </c>
      <c r="F1" s="3" t="s">
        <v>5193</v>
      </c>
      <c r="G1" s="3" t="s">
        <v>5194</v>
      </c>
      <c r="H1" s="3" t="s">
        <v>5195</v>
      </c>
    </row>
    <row r="2" spans="1:8" x14ac:dyDescent="0.25">
      <c r="A2" s="4">
        <v>2024</v>
      </c>
      <c r="B2" s="4" t="s">
        <v>8</v>
      </c>
      <c r="C2" s="4">
        <v>1</v>
      </c>
      <c r="D2">
        <f>INDEX(Raw_Budget!D:D,MATCH(H2,Raw_Budget!I:I,0))</f>
        <v>41215.19</v>
      </c>
      <c r="E2">
        <f>INDEX(GL_Summary!D:D,MATCH(H2,GL_Summary!F:F,0))</f>
        <v>20434.418200000004</v>
      </c>
      <c r="F2">
        <f>IF(E2=0,"N/A",E2-D2)</f>
        <v>-20780.771799999999</v>
      </c>
      <c r="G2" s="7">
        <f>IF(F2="N/A","N/A",F2/D2)</f>
        <v>-0.50420177124016652</v>
      </c>
      <c r="H2" t="str">
        <f>B2&amp;A2&amp;C2</f>
        <v>Finance20241</v>
      </c>
    </row>
    <row r="3" spans="1:8" x14ac:dyDescent="0.25">
      <c r="A3" s="4">
        <v>2024</v>
      </c>
      <c r="B3" s="4" t="s">
        <v>8</v>
      </c>
      <c r="C3" s="4">
        <v>2</v>
      </c>
      <c r="D3" s="4">
        <f>INDEX(Raw_Budget!D:D,MATCH(H3,Raw_Budget!I:I,0))</f>
        <v>79918.89</v>
      </c>
      <c r="E3" s="4">
        <f>INDEX(GL_Summary!D:D,MATCH(H3,GL_Summary!F:F,0))</f>
        <v>16330.415700000003</v>
      </c>
      <c r="F3" s="4">
        <f t="shared" ref="F3:F49" si="0">IF(E3=0,"N/A",E3-D3)</f>
        <v>-63588.474299999994</v>
      </c>
      <c r="G3" s="7">
        <f t="shared" ref="G3:G49" si="1">IF(F3="N/A","N/A",F3/D3)</f>
        <v>-0.79566263120020808</v>
      </c>
      <c r="H3" s="4" t="str">
        <f t="shared" ref="H3:H49" si="2">B3&amp;A3&amp;C3</f>
        <v>Finance20242</v>
      </c>
    </row>
    <row r="4" spans="1:8" x14ac:dyDescent="0.25">
      <c r="A4" s="4">
        <v>2024</v>
      </c>
      <c r="B4" s="4" t="s">
        <v>8</v>
      </c>
      <c r="C4" s="4">
        <v>3</v>
      </c>
      <c r="D4" s="4">
        <f>INDEX(Raw_Budget!D:D,MATCH(H4,Raw_Budget!I:I,0))</f>
        <v>92014.18</v>
      </c>
      <c r="E4" s="4">
        <f>INDEX(GL_Summary!D:D,MATCH(H4,GL_Summary!F:F,0))</f>
        <v>19545.837499999998</v>
      </c>
      <c r="F4" s="4">
        <f t="shared" si="0"/>
        <v>-72468.342499999999</v>
      </c>
      <c r="G4" s="7">
        <f t="shared" si="1"/>
        <v>-0.78757798526270628</v>
      </c>
      <c r="H4" s="4" t="str">
        <f t="shared" si="2"/>
        <v>Finance20243</v>
      </c>
    </row>
    <row r="5" spans="1:8" x14ac:dyDescent="0.25">
      <c r="A5" s="4">
        <v>2024</v>
      </c>
      <c r="B5" s="4" t="s">
        <v>8</v>
      </c>
      <c r="C5" s="4">
        <v>4</v>
      </c>
      <c r="D5" s="4">
        <f>INDEX(Raw_Budget!D:D,MATCH(H5,Raw_Budget!I:I,0))</f>
        <v>117680.6</v>
      </c>
      <c r="E5" s="4">
        <f>INDEX(GL_Summary!D:D,MATCH(H5,GL_Summary!F:F,0))</f>
        <v>25935.928999999996</v>
      </c>
      <c r="F5" s="4">
        <f t="shared" si="0"/>
        <v>-91744.671000000002</v>
      </c>
      <c r="G5" s="7">
        <f t="shared" si="1"/>
        <v>-0.77960743741959171</v>
      </c>
      <c r="H5" s="4" t="str">
        <f t="shared" si="2"/>
        <v>Finance20244</v>
      </c>
    </row>
    <row r="6" spans="1:8" x14ac:dyDescent="0.25">
      <c r="A6" s="4">
        <v>2024</v>
      </c>
      <c r="B6" s="4" t="s">
        <v>9</v>
      </c>
      <c r="C6" s="4">
        <v>1</v>
      </c>
      <c r="D6" s="4">
        <f>INDEX(Raw_Budget!D:D,MATCH(H6,Raw_Budget!I:I,0))</f>
        <v>32925.71</v>
      </c>
      <c r="E6" s="4">
        <f>INDEX(GL_Summary!D:D,MATCH(H6,GL_Summary!F:F,0))</f>
        <v>22266.658600000002</v>
      </c>
      <c r="F6" s="4">
        <f t="shared" si="0"/>
        <v>-10659.051399999997</v>
      </c>
      <c r="G6" s="7">
        <f t="shared" si="1"/>
        <v>-0.32373034324848265</v>
      </c>
      <c r="H6" s="4" t="str">
        <f t="shared" si="2"/>
        <v>HR20241</v>
      </c>
    </row>
    <row r="7" spans="1:8" x14ac:dyDescent="0.25">
      <c r="A7" s="4">
        <v>2024</v>
      </c>
      <c r="B7" s="4" t="s">
        <v>9</v>
      </c>
      <c r="C7" s="4">
        <v>2</v>
      </c>
      <c r="D7" s="4">
        <f>INDEX(Raw_Budget!D:D,MATCH(H7,Raw_Budget!I:I,0))</f>
        <v>75074.820000000007</v>
      </c>
      <c r="E7" s="4">
        <f>INDEX(GL_Summary!D:D,MATCH(H7,GL_Summary!F:F,0))</f>
        <v>17292.030299999999</v>
      </c>
      <c r="F7" s="4">
        <f t="shared" si="0"/>
        <v>-57782.789700000008</v>
      </c>
      <c r="G7" s="7">
        <f t="shared" si="1"/>
        <v>-0.76966937383266454</v>
      </c>
      <c r="H7" s="4" t="str">
        <f t="shared" si="2"/>
        <v>HR20242</v>
      </c>
    </row>
    <row r="8" spans="1:8" x14ac:dyDescent="0.25">
      <c r="A8" s="4">
        <v>2024</v>
      </c>
      <c r="B8" s="4" t="s">
        <v>9</v>
      </c>
      <c r="C8" s="4">
        <v>3</v>
      </c>
      <c r="D8" s="4">
        <f>INDEX(Raw_Budget!D:D,MATCH(H8,Raw_Budget!I:I,0))</f>
        <v>42503.06</v>
      </c>
      <c r="E8" s="4">
        <f>INDEX(GL_Summary!D:D,MATCH(H8,GL_Summary!F:F,0))</f>
        <v>23462.161500000002</v>
      </c>
      <c r="F8" s="4">
        <f t="shared" si="0"/>
        <v>-19040.898499999996</v>
      </c>
      <c r="G8" s="7">
        <f t="shared" si="1"/>
        <v>-0.44798888597668018</v>
      </c>
      <c r="H8" s="4" t="str">
        <f t="shared" si="2"/>
        <v>HR20243</v>
      </c>
    </row>
    <row r="9" spans="1:8" x14ac:dyDescent="0.25">
      <c r="A9" s="4">
        <v>2024</v>
      </c>
      <c r="B9" s="4" t="s">
        <v>9</v>
      </c>
      <c r="C9" s="4">
        <v>4</v>
      </c>
      <c r="D9" s="4">
        <f>INDEX(Raw_Budget!D:D,MATCH(H9,Raw_Budget!I:I,0))</f>
        <v>31047.85</v>
      </c>
      <c r="E9" s="4">
        <f>INDEX(GL_Summary!D:D,MATCH(H9,GL_Summary!F:F,0))</f>
        <v>24045.374599999996</v>
      </c>
      <c r="F9" s="4">
        <f t="shared" si="0"/>
        <v>-7002.475400000003</v>
      </c>
      <c r="G9" s="7">
        <f t="shared" si="1"/>
        <v>-0.22553817414088265</v>
      </c>
      <c r="H9" s="4" t="str">
        <f t="shared" si="2"/>
        <v>HR20244</v>
      </c>
    </row>
    <row r="10" spans="1:8" x14ac:dyDescent="0.25">
      <c r="A10" s="4">
        <v>2024</v>
      </c>
      <c r="B10" s="4" t="s">
        <v>10</v>
      </c>
      <c r="C10" s="4">
        <v>1</v>
      </c>
      <c r="D10" s="4">
        <f>INDEX(Raw_Budget!D:D,MATCH(H10,Raw_Budget!I:I,0))</f>
        <v>26040.63</v>
      </c>
      <c r="E10" s="4">
        <f>INDEX(GL_Summary!D:D,MATCH(H10,GL_Summary!F:F,0))</f>
        <v>19990.6018</v>
      </c>
      <c r="F10" s="4">
        <f t="shared" si="0"/>
        <v>-6050.0282000000007</v>
      </c>
      <c r="G10" s="7">
        <f t="shared" si="1"/>
        <v>-0.23233033148583582</v>
      </c>
      <c r="H10" s="4" t="str">
        <f t="shared" si="2"/>
        <v>IT20241</v>
      </c>
    </row>
    <row r="11" spans="1:8" x14ac:dyDescent="0.25">
      <c r="A11" s="4">
        <v>2024</v>
      </c>
      <c r="B11" s="4" t="s">
        <v>10</v>
      </c>
      <c r="C11" s="4">
        <v>2</v>
      </c>
      <c r="D11" s="4">
        <f>INDEX(Raw_Budget!D:D,MATCH(H11,Raw_Budget!I:I,0))</f>
        <v>125902.24</v>
      </c>
      <c r="E11" s="4">
        <f>INDEX(GL_Summary!D:D,MATCH(H11,GL_Summary!F:F,0))</f>
        <v>25527.173200000005</v>
      </c>
      <c r="F11" s="4">
        <f t="shared" si="0"/>
        <v>-100375.0668</v>
      </c>
      <c r="G11" s="7">
        <f t="shared" si="1"/>
        <v>-0.79724607600309572</v>
      </c>
      <c r="H11" s="4" t="str">
        <f t="shared" si="2"/>
        <v>IT20242</v>
      </c>
    </row>
    <row r="12" spans="1:8" x14ac:dyDescent="0.25">
      <c r="A12" s="4">
        <v>2024</v>
      </c>
      <c r="B12" s="4" t="s">
        <v>10</v>
      </c>
      <c r="C12" s="4">
        <v>3</v>
      </c>
      <c r="D12" s="4">
        <f>INDEX(Raw_Budget!D:D,MATCH(H12,Raw_Budget!I:I,0))</f>
        <v>100055.73</v>
      </c>
      <c r="E12" s="4">
        <f>INDEX(GL_Summary!D:D,MATCH(H12,GL_Summary!F:F,0))</f>
        <v>18718.4794</v>
      </c>
      <c r="F12" s="4">
        <f t="shared" si="0"/>
        <v>-81337.250599999999</v>
      </c>
      <c r="G12" s="7">
        <f t="shared" si="1"/>
        <v>-0.81291946598160847</v>
      </c>
      <c r="H12" s="4" t="str">
        <f t="shared" si="2"/>
        <v>IT20243</v>
      </c>
    </row>
    <row r="13" spans="1:8" x14ac:dyDescent="0.25">
      <c r="A13" s="4">
        <v>2024</v>
      </c>
      <c r="B13" s="4" t="s">
        <v>10</v>
      </c>
      <c r="C13" s="4">
        <v>4</v>
      </c>
      <c r="D13" s="4">
        <f>INDEX(Raw_Budget!D:D,MATCH(H13,Raw_Budget!I:I,0))</f>
        <v>72786.960000000006</v>
      </c>
      <c r="E13" s="4">
        <f>INDEX(GL_Summary!D:D,MATCH(H13,GL_Summary!F:F,0))</f>
        <v>19587.604200000005</v>
      </c>
      <c r="F13" s="4">
        <f t="shared" si="0"/>
        <v>-53199.355800000005</v>
      </c>
      <c r="G13" s="7">
        <f t="shared" si="1"/>
        <v>-0.73089129976028677</v>
      </c>
      <c r="H13" s="4" t="str">
        <f t="shared" si="2"/>
        <v>IT20244</v>
      </c>
    </row>
    <row r="14" spans="1:8" x14ac:dyDescent="0.25">
      <c r="A14" s="4">
        <v>2024</v>
      </c>
      <c r="B14" s="4" t="s">
        <v>11</v>
      </c>
      <c r="C14" s="4">
        <v>1</v>
      </c>
      <c r="D14" s="4">
        <f>INDEX(Raw_Budget!D:D,MATCH(H14,Raw_Budget!I:I,0))</f>
        <v>93664.65</v>
      </c>
      <c r="E14" s="4">
        <f>INDEX(GL_Summary!D:D,MATCH(H14,GL_Summary!F:F,0))</f>
        <v>17270.640900000002</v>
      </c>
      <c r="F14" s="4">
        <f t="shared" si="0"/>
        <v>-76394.009099999996</v>
      </c>
      <c r="G14" s="7">
        <f t="shared" si="1"/>
        <v>-0.81561196353159915</v>
      </c>
      <c r="H14" s="4" t="str">
        <f t="shared" si="2"/>
        <v>Sales20241</v>
      </c>
    </row>
    <row r="15" spans="1:8" x14ac:dyDescent="0.25">
      <c r="A15" s="4">
        <v>2024</v>
      </c>
      <c r="B15" s="4" t="s">
        <v>11</v>
      </c>
      <c r="C15" s="4">
        <v>2</v>
      </c>
      <c r="D15" s="4">
        <f>INDEX(Raw_Budget!D:D,MATCH(H15,Raw_Budget!I:I,0))</f>
        <v>115140.75</v>
      </c>
      <c r="E15" s="4">
        <f>INDEX(GL_Summary!D:D,MATCH(H15,GL_Summary!F:F,0))</f>
        <v>23535.214500000002</v>
      </c>
      <c r="F15" s="4">
        <f t="shared" si="0"/>
        <v>-91605.535499999998</v>
      </c>
      <c r="G15" s="7">
        <f t="shared" si="1"/>
        <v>-0.79559613342800006</v>
      </c>
      <c r="H15" s="4" t="str">
        <f t="shared" si="2"/>
        <v>Sales20242</v>
      </c>
    </row>
    <row r="16" spans="1:8" x14ac:dyDescent="0.25">
      <c r="A16" s="4">
        <v>2024</v>
      </c>
      <c r="B16" s="4" t="s">
        <v>11</v>
      </c>
      <c r="C16" s="4">
        <v>3</v>
      </c>
      <c r="D16" s="4">
        <f>INDEX(Raw_Budget!D:D,MATCH(H16,Raw_Budget!I:I,0))</f>
        <v>73898.42</v>
      </c>
      <c r="E16" s="4">
        <f>INDEX(GL_Summary!D:D,MATCH(H16,GL_Summary!F:F,0))</f>
        <v>16899.9555</v>
      </c>
      <c r="F16" s="4">
        <f t="shared" si="0"/>
        <v>-56998.464500000002</v>
      </c>
      <c r="G16" s="7">
        <f t="shared" si="1"/>
        <v>-0.77130829725452865</v>
      </c>
      <c r="H16" s="4" t="str">
        <f t="shared" si="2"/>
        <v>Sales20243</v>
      </c>
    </row>
    <row r="17" spans="1:8" x14ac:dyDescent="0.25">
      <c r="A17" s="4">
        <v>2024</v>
      </c>
      <c r="B17" s="4" t="s">
        <v>11</v>
      </c>
      <c r="C17" s="4">
        <v>4</v>
      </c>
      <c r="D17" s="4">
        <f>INDEX(Raw_Budget!D:D,MATCH(H17,Raw_Budget!I:I,0))</f>
        <v>46637.67</v>
      </c>
      <c r="E17" s="4">
        <f>INDEX(GL_Summary!D:D,MATCH(H17,GL_Summary!F:F,0))</f>
        <v>16943.486100000002</v>
      </c>
      <c r="F17" s="4">
        <f t="shared" si="0"/>
        <v>-29694.183899999996</v>
      </c>
      <c r="G17" s="7">
        <f t="shared" si="1"/>
        <v>-0.636699558532834</v>
      </c>
      <c r="H17" s="4" t="str">
        <f t="shared" si="2"/>
        <v>Sales20244</v>
      </c>
    </row>
    <row r="18" spans="1:8" x14ac:dyDescent="0.25">
      <c r="A18" s="4">
        <v>2024</v>
      </c>
      <c r="B18" s="4" t="s">
        <v>12</v>
      </c>
      <c r="C18" s="4">
        <v>1</v>
      </c>
      <c r="D18" s="4">
        <f>INDEX(Raw_Budget!D:D,MATCH(H18,Raw_Budget!I:I,0))</f>
        <v>44332.15</v>
      </c>
      <c r="E18" s="4">
        <f>INDEX(GL_Summary!D:D,MATCH(H18,GL_Summary!F:F,0))</f>
        <v>15406.594800000001</v>
      </c>
      <c r="F18" s="4">
        <f t="shared" si="0"/>
        <v>-28925.555200000003</v>
      </c>
      <c r="G18" s="7">
        <f t="shared" si="1"/>
        <v>-0.65247354797816037</v>
      </c>
      <c r="H18" s="4" t="str">
        <f t="shared" si="2"/>
        <v>Marketing20241</v>
      </c>
    </row>
    <row r="19" spans="1:8" x14ac:dyDescent="0.25">
      <c r="A19" s="4">
        <v>2024</v>
      </c>
      <c r="B19" s="4" t="s">
        <v>12</v>
      </c>
      <c r="C19" s="4">
        <v>2</v>
      </c>
      <c r="D19" s="4">
        <f>INDEX(Raw_Budget!D:D,MATCH(H19,Raw_Budget!I:I,0))</f>
        <v>112743.3</v>
      </c>
      <c r="E19" s="4">
        <f>INDEX(GL_Summary!D:D,MATCH(H19,GL_Summary!F:F,0))</f>
        <v>22709.2922</v>
      </c>
      <c r="F19" s="4">
        <f t="shared" si="0"/>
        <v>-90034.007800000007</v>
      </c>
      <c r="G19" s="7">
        <f t="shared" si="1"/>
        <v>-0.79857523950425435</v>
      </c>
      <c r="H19" s="4" t="str">
        <f t="shared" si="2"/>
        <v>Marketing20242</v>
      </c>
    </row>
    <row r="20" spans="1:8" x14ac:dyDescent="0.25">
      <c r="A20" s="4">
        <v>2024</v>
      </c>
      <c r="B20" s="4" t="s">
        <v>12</v>
      </c>
      <c r="C20" s="4">
        <v>3</v>
      </c>
      <c r="D20" s="4">
        <f>INDEX(Raw_Budget!D:D,MATCH(H20,Raw_Budget!I:I,0))</f>
        <v>141475.81</v>
      </c>
      <c r="E20" s="4">
        <f>INDEX(GL_Summary!D:D,MATCH(H20,GL_Summary!F:F,0))</f>
        <v>23553.316000000006</v>
      </c>
      <c r="F20" s="4">
        <f t="shared" si="0"/>
        <v>-117922.49399999999</v>
      </c>
      <c r="G20" s="7">
        <f t="shared" si="1"/>
        <v>-0.83351700902083536</v>
      </c>
      <c r="H20" s="4" t="str">
        <f t="shared" si="2"/>
        <v>Marketing20243</v>
      </c>
    </row>
    <row r="21" spans="1:8" x14ac:dyDescent="0.25">
      <c r="A21" s="4">
        <v>2024</v>
      </c>
      <c r="B21" s="4" t="s">
        <v>12</v>
      </c>
      <c r="C21" s="4">
        <v>4</v>
      </c>
      <c r="D21" s="4">
        <f>INDEX(Raw_Budget!D:D,MATCH(H21,Raw_Budget!I:I,0))</f>
        <v>102519.44</v>
      </c>
      <c r="E21" s="4">
        <f>INDEX(GL_Summary!D:D,MATCH(H21,GL_Summary!F:F,0))</f>
        <v>16044.707399999998</v>
      </c>
      <c r="F21" s="4">
        <f t="shared" si="0"/>
        <v>-86474.732600000003</v>
      </c>
      <c r="G21" s="7">
        <f t="shared" si="1"/>
        <v>-0.84349595159708246</v>
      </c>
      <c r="H21" s="4" t="str">
        <f t="shared" si="2"/>
        <v>Marketing20244</v>
      </c>
    </row>
    <row r="22" spans="1:8" x14ac:dyDescent="0.25">
      <c r="A22" s="4">
        <v>2024</v>
      </c>
      <c r="B22" s="4" t="s">
        <v>13</v>
      </c>
      <c r="C22" s="4">
        <v>1</v>
      </c>
      <c r="D22" s="4">
        <f>INDEX(Raw_Budget!D:D,MATCH(H22,Raw_Budget!I:I,0))</f>
        <v>100318.84</v>
      </c>
      <c r="E22" s="4">
        <f>INDEX(GL_Summary!D:D,MATCH(H22,GL_Summary!F:F,0))</f>
        <v>14193.6297</v>
      </c>
      <c r="F22" s="4">
        <f t="shared" si="0"/>
        <v>-86125.210299999992</v>
      </c>
      <c r="G22" s="7">
        <f t="shared" si="1"/>
        <v>-0.85851481436587573</v>
      </c>
      <c r="H22" s="4" t="str">
        <f t="shared" si="2"/>
        <v>Operations20241</v>
      </c>
    </row>
    <row r="23" spans="1:8" x14ac:dyDescent="0.25">
      <c r="A23" s="4">
        <v>2024</v>
      </c>
      <c r="B23" s="4" t="s">
        <v>13</v>
      </c>
      <c r="C23" s="4">
        <v>2</v>
      </c>
      <c r="D23" s="4">
        <f>INDEX(Raw_Budget!D:D,MATCH(H23,Raw_Budget!I:I,0))</f>
        <v>51361.43</v>
      </c>
      <c r="E23" s="4">
        <f>INDEX(GL_Summary!D:D,MATCH(H23,GL_Summary!F:F,0))</f>
        <v>14921.472699999997</v>
      </c>
      <c r="F23" s="4">
        <f t="shared" si="0"/>
        <v>-36439.957300000002</v>
      </c>
      <c r="G23" s="7">
        <f t="shared" si="1"/>
        <v>-0.70948097239504437</v>
      </c>
      <c r="H23" s="4" t="str">
        <f t="shared" si="2"/>
        <v>Operations20242</v>
      </c>
    </row>
    <row r="24" spans="1:8" x14ac:dyDescent="0.25">
      <c r="A24" s="4">
        <v>2024</v>
      </c>
      <c r="B24" s="4" t="s">
        <v>13</v>
      </c>
      <c r="C24" s="4">
        <v>3</v>
      </c>
      <c r="D24" s="4">
        <f>INDEX(Raw_Budget!D:D,MATCH(H24,Raw_Budget!I:I,0))</f>
        <v>29263.69</v>
      </c>
      <c r="E24" s="4">
        <f>INDEX(GL_Summary!D:D,MATCH(H24,GL_Summary!F:F,0))</f>
        <v>21831.3433</v>
      </c>
      <c r="F24" s="4">
        <f t="shared" si="0"/>
        <v>-7432.3466999999982</v>
      </c>
      <c r="G24" s="7">
        <f t="shared" si="1"/>
        <v>-0.25397845247813922</v>
      </c>
      <c r="H24" s="4" t="str">
        <f t="shared" si="2"/>
        <v>Operations20243</v>
      </c>
    </row>
    <row r="25" spans="1:8" x14ac:dyDescent="0.25">
      <c r="A25" s="4">
        <v>2024</v>
      </c>
      <c r="B25" s="4" t="s">
        <v>13</v>
      </c>
      <c r="C25" s="4">
        <v>4</v>
      </c>
      <c r="D25" s="4">
        <f>INDEX(Raw_Budget!D:D,MATCH(H25,Raw_Budget!I:I,0))</f>
        <v>146937.60999999999</v>
      </c>
      <c r="E25" s="4">
        <f>INDEX(GL_Summary!D:D,MATCH(H25,GL_Summary!F:F,0))</f>
        <v>17091.34</v>
      </c>
      <c r="F25" s="4">
        <f t="shared" si="0"/>
        <v>-129846.26999999999</v>
      </c>
      <c r="G25" s="7">
        <f t="shared" si="1"/>
        <v>-0.88368301349123624</v>
      </c>
      <c r="H25" s="4" t="str">
        <f t="shared" si="2"/>
        <v>Operations20244</v>
      </c>
    </row>
    <row r="26" spans="1:8" x14ac:dyDescent="0.25">
      <c r="A26" s="4">
        <v>2025</v>
      </c>
      <c r="B26" s="4" t="s">
        <v>8</v>
      </c>
      <c r="C26" s="4">
        <v>1</v>
      </c>
      <c r="D26" s="4">
        <f>INDEX(Raw_Budget!D:D,MATCH(H26,Raw_Budget!I:I,0))</f>
        <v>70700.52</v>
      </c>
      <c r="E26" s="4">
        <f>INDEX(GL_Summary!D:D,MATCH(H26,GL_Summary!F:F,0))</f>
        <v>25125.474199999997</v>
      </c>
      <c r="F26" s="4">
        <f t="shared" si="0"/>
        <v>-45575.045800000007</v>
      </c>
      <c r="G26" s="7">
        <f t="shared" si="1"/>
        <v>-0.64462108340928759</v>
      </c>
      <c r="H26" s="4" t="str">
        <f t="shared" si="2"/>
        <v>Finance20251</v>
      </c>
    </row>
    <row r="27" spans="1:8" x14ac:dyDescent="0.25">
      <c r="A27" s="4">
        <v>2025</v>
      </c>
      <c r="B27" s="4" t="s">
        <v>8</v>
      </c>
      <c r="C27" s="4">
        <v>2</v>
      </c>
      <c r="D27" s="4">
        <f>INDEX(Raw_Budget!D:D,MATCH(H27,Raw_Budget!I:I,0))</f>
        <v>61495.92</v>
      </c>
      <c r="E27" s="4">
        <f>INDEX(GL_Summary!D:D,MATCH(H27,GL_Summary!F:F,0))</f>
        <v>27238.298500000001</v>
      </c>
      <c r="F27" s="4">
        <f t="shared" si="0"/>
        <v>-34257.621499999994</v>
      </c>
      <c r="G27" s="7">
        <f t="shared" si="1"/>
        <v>-0.55707145287036919</v>
      </c>
      <c r="H27" s="4" t="str">
        <f t="shared" si="2"/>
        <v>Finance20252</v>
      </c>
    </row>
    <row r="28" spans="1:8" x14ac:dyDescent="0.25">
      <c r="A28" s="4">
        <v>2025</v>
      </c>
      <c r="B28" s="4" t="s">
        <v>8</v>
      </c>
      <c r="C28" s="4">
        <v>3</v>
      </c>
      <c r="D28" s="4">
        <f>INDEX(Raw_Budget!D:D,MATCH(H28,Raw_Budget!I:I,0))</f>
        <v>55254.78</v>
      </c>
      <c r="E28" s="4">
        <f>INDEX(GL_Summary!D:D,MATCH(H28,GL_Summary!F:F,0))</f>
        <v>0</v>
      </c>
      <c r="F28" s="4" t="str">
        <f t="shared" si="0"/>
        <v>N/A</v>
      </c>
      <c r="G28" s="7" t="str">
        <f t="shared" si="1"/>
        <v>N/A</v>
      </c>
      <c r="H28" s="4" t="str">
        <f t="shared" si="2"/>
        <v>Finance20253</v>
      </c>
    </row>
    <row r="29" spans="1:8" x14ac:dyDescent="0.25">
      <c r="A29" s="4">
        <v>2025</v>
      </c>
      <c r="B29" s="4" t="s">
        <v>8</v>
      </c>
      <c r="C29" s="4">
        <v>4</v>
      </c>
      <c r="D29" s="4">
        <f>INDEX(Raw_Budget!D:D,MATCH(H29,Raw_Budget!I:I,0))</f>
        <v>124523.7</v>
      </c>
      <c r="E29" s="4">
        <f>INDEX(GL_Summary!D:D,MATCH(H29,GL_Summary!F:F,0))</f>
        <v>0</v>
      </c>
      <c r="F29" s="4" t="str">
        <f t="shared" si="0"/>
        <v>N/A</v>
      </c>
      <c r="G29" s="7" t="str">
        <f t="shared" si="1"/>
        <v>N/A</v>
      </c>
      <c r="H29" s="4" t="str">
        <f t="shared" si="2"/>
        <v>Finance20254</v>
      </c>
    </row>
    <row r="30" spans="1:8" x14ac:dyDescent="0.25">
      <c r="A30" s="4">
        <v>2025</v>
      </c>
      <c r="B30" s="4" t="s">
        <v>9</v>
      </c>
      <c r="C30" s="4">
        <v>1</v>
      </c>
      <c r="D30" s="4">
        <f>INDEX(Raw_Budget!D:D,MATCH(H30,Raw_Budget!I:I,0))</f>
        <v>81015.75</v>
      </c>
      <c r="E30" s="4">
        <f>INDEX(GL_Summary!D:D,MATCH(H30,GL_Summary!F:F,0))</f>
        <v>24308.4637</v>
      </c>
      <c r="F30" s="4">
        <f t="shared" si="0"/>
        <v>-56707.2863</v>
      </c>
      <c r="G30" s="7">
        <f t="shared" si="1"/>
        <v>-0.69995385218306316</v>
      </c>
      <c r="H30" s="4" t="str">
        <f t="shared" si="2"/>
        <v>HR20251</v>
      </c>
    </row>
    <row r="31" spans="1:8" x14ac:dyDescent="0.25">
      <c r="A31" s="4">
        <v>2025</v>
      </c>
      <c r="B31" s="4" t="s">
        <v>9</v>
      </c>
      <c r="C31" s="4">
        <v>2</v>
      </c>
      <c r="D31" s="4">
        <f>INDEX(Raw_Budget!D:D,MATCH(H31,Raw_Budget!I:I,0))</f>
        <v>55099.41</v>
      </c>
      <c r="E31" s="4">
        <f>INDEX(GL_Summary!D:D,MATCH(H31,GL_Summary!F:F,0))</f>
        <v>9584.8271000000022</v>
      </c>
      <c r="F31" s="4">
        <f t="shared" si="0"/>
        <v>-45514.582900000001</v>
      </c>
      <c r="G31" s="7">
        <f t="shared" si="1"/>
        <v>-0.82604483242198057</v>
      </c>
      <c r="H31" s="4" t="str">
        <f t="shared" si="2"/>
        <v>HR20252</v>
      </c>
    </row>
    <row r="32" spans="1:8" x14ac:dyDescent="0.25">
      <c r="A32" s="4">
        <v>2025</v>
      </c>
      <c r="B32" s="4" t="s">
        <v>9</v>
      </c>
      <c r="C32" s="4">
        <v>3</v>
      </c>
      <c r="D32" s="4">
        <f>INDEX(Raw_Budget!D:D,MATCH(H32,Raw_Budget!I:I,0))</f>
        <v>120462.05</v>
      </c>
      <c r="E32" s="4">
        <f>INDEX(GL_Summary!D:D,MATCH(H32,GL_Summary!F:F,0))</f>
        <v>0</v>
      </c>
      <c r="F32" s="4" t="str">
        <f t="shared" si="0"/>
        <v>N/A</v>
      </c>
      <c r="G32" s="7" t="str">
        <f t="shared" si="1"/>
        <v>N/A</v>
      </c>
      <c r="H32" s="4" t="str">
        <f t="shared" si="2"/>
        <v>HR20253</v>
      </c>
    </row>
    <row r="33" spans="1:8" x14ac:dyDescent="0.25">
      <c r="A33" s="4">
        <v>2025</v>
      </c>
      <c r="B33" s="4" t="s">
        <v>9</v>
      </c>
      <c r="C33" s="4">
        <v>4</v>
      </c>
      <c r="D33" s="4">
        <f>INDEX(Raw_Budget!D:D,MATCH(H33,Raw_Budget!I:I,0))</f>
        <v>90267.18</v>
      </c>
      <c r="E33" s="4">
        <f>INDEX(GL_Summary!D:D,MATCH(H33,GL_Summary!F:F,0))</f>
        <v>0</v>
      </c>
      <c r="F33" s="4" t="str">
        <f t="shared" si="0"/>
        <v>N/A</v>
      </c>
      <c r="G33" s="7" t="str">
        <f t="shared" si="1"/>
        <v>N/A</v>
      </c>
      <c r="H33" s="4" t="str">
        <f t="shared" si="2"/>
        <v>HR20254</v>
      </c>
    </row>
    <row r="34" spans="1:8" x14ac:dyDescent="0.25">
      <c r="A34" s="4">
        <v>2025</v>
      </c>
      <c r="B34" s="4" t="s">
        <v>10</v>
      </c>
      <c r="C34" s="4">
        <v>1</v>
      </c>
      <c r="D34" s="4">
        <f>INDEX(Raw_Budget!D:D,MATCH(H34,Raw_Budget!I:I,0))</f>
        <v>116604.87</v>
      </c>
      <c r="E34" s="4">
        <f>INDEX(GL_Summary!D:D,MATCH(H34,GL_Summary!F:F,0))</f>
        <v>18945.861799999999</v>
      </c>
      <c r="F34" s="4">
        <f t="shared" si="0"/>
        <v>-97659.008199999997</v>
      </c>
      <c r="G34" s="7">
        <f t="shared" si="1"/>
        <v>-0.83752083596508453</v>
      </c>
      <c r="H34" s="4" t="str">
        <f t="shared" si="2"/>
        <v>IT20251</v>
      </c>
    </row>
    <row r="35" spans="1:8" x14ac:dyDescent="0.25">
      <c r="A35" s="4">
        <v>2025</v>
      </c>
      <c r="B35" s="4" t="s">
        <v>10</v>
      </c>
      <c r="C35" s="4">
        <v>2</v>
      </c>
      <c r="D35" s="4">
        <f>INDEX(Raw_Budget!D:D,MATCH(H35,Raw_Budget!I:I,0))</f>
        <v>48595.51</v>
      </c>
      <c r="E35" s="4">
        <f>INDEX(GL_Summary!D:D,MATCH(H35,GL_Summary!F:F,0))</f>
        <v>20526.256400000006</v>
      </c>
      <c r="F35" s="4">
        <f t="shared" si="0"/>
        <v>-28069.253599999996</v>
      </c>
      <c r="G35" s="7">
        <f t="shared" si="1"/>
        <v>-0.5776100219958592</v>
      </c>
      <c r="H35" s="4" t="str">
        <f t="shared" si="2"/>
        <v>IT20252</v>
      </c>
    </row>
    <row r="36" spans="1:8" x14ac:dyDescent="0.25">
      <c r="A36" s="4">
        <v>2025</v>
      </c>
      <c r="B36" s="4" t="s">
        <v>10</v>
      </c>
      <c r="C36" s="4">
        <v>3</v>
      </c>
      <c r="D36" s="4">
        <f>INDEX(Raw_Budget!D:D,MATCH(H36,Raw_Budget!I:I,0))</f>
        <v>28599.200000000001</v>
      </c>
      <c r="E36" s="4">
        <f>INDEX(GL_Summary!D:D,MATCH(H36,GL_Summary!F:F,0))</f>
        <v>0</v>
      </c>
      <c r="F36" s="4" t="str">
        <f t="shared" si="0"/>
        <v>N/A</v>
      </c>
      <c r="G36" s="7" t="str">
        <f t="shared" si="1"/>
        <v>N/A</v>
      </c>
      <c r="H36" s="4" t="str">
        <f t="shared" si="2"/>
        <v>IT20253</v>
      </c>
    </row>
    <row r="37" spans="1:8" x14ac:dyDescent="0.25">
      <c r="A37" s="4">
        <v>2025</v>
      </c>
      <c r="B37" s="4" t="s">
        <v>10</v>
      </c>
      <c r="C37" s="4">
        <v>4</v>
      </c>
      <c r="D37" s="4">
        <f>INDEX(Raw_Budget!D:D,MATCH(H37,Raw_Budget!I:I,0))</f>
        <v>42077.120000000003</v>
      </c>
      <c r="E37" s="4">
        <f>INDEX(GL_Summary!D:D,MATCH(H37,GL_Summary!F:F,0))</f>
        <v>0</v>
      </c>
      <c r="F37" s="4" t="str">
        <f t="shared" si="0"/>
        <v>N/A</v>
      </c>
      <c r="G37" s="7" t="str">
        <f t="shared" si="1"/>
        <v>N/A</v>
      </c>
      <c r="H37" s="4" t="str">
        <f t="shared" si="2"/>
        <v>IT20254</v>
      </c>
    </row>
    <row r="38" spans="1:8" x14ac:dyDescent="0.25">
      <c r="A38" s="4">
        <v>2025</v>
      </c>
      <c r="B38" s="4" t="s">
        <v>11</v>
      </c>
      <c r="C38" s="4">
        <v>1</v>
      </c>
      <c r="D38" s="4">
        <f>INDEX(Raw_Budget!D:D,MATCH(H38,Raw_Budget!I:I,0))</f>
        <v>89482.9</v>
      </c>
      <c r="E38" s="4">
        <f>INDEX(GL_Summary!D:D,MATCH(H38,GL_Summary!F:F,0))</f>
        <v>24509.907199999998</v>
      </c>
      <c r="F38" s="4">
        <f t="shared" si="0"/>
        <v>-64972.992799999993</v>
      </c>
      <c r="G38" s="7">
        <f t="shared" si="1"/>
        <v>-0.72609395538141919</v>
      </c>
      <c r="H38" s="4" t="str">
        <f t="shared" si="2"/>
        <v>Sales20251</v>
      </c>
    </row>
    <row r="39" spans="1:8" x14ac:dyDescent="0.25">
      <c r="A39" s="4">
        <v>2025</v>
      </c>
      <c r="B39" s="4" t="s">
        <v>11</v>
      </c>
      <c r="C39" s="4">
        <v>2</v>
      </c>
      <c r="D39" s="4">
        <f>INDEX(Raw_Budget!D:D,MATCH(H39,Raw_Budget!I:I,0))</f>
        <v>66730.62</v>
      </c>
      <c r="E39" s="4">
        <f>INDEX(GL_Summary!D:D,MATCH(H39,GL_Summary!F:F,0))</f>
        <v>17692.7929</v>
      </c>
      <c r="F39" s="4">
        <f t="shared" si="0"/>
        <v>-49037.827099999995</v>
      </c>
      <c r="G39" s="7">
        <f t="shared" si="1"/>
        <v>-0.73486245294888608</v>
      </c>
      <c r="H39" s="4" t="str">
        <f t="shared" si="2"/>
        <v>Sales20252</v>
      </c>
    </row>
    <row r="40" spans="1:8" x14ac:dyDescent="0.25">
      <c r="A40" s="4">
        <v>2025</v>
      </c>
      <c r="B40" s="4" t="s">
        <v>11</v>
      </c>
      <c r="C40" s="4">
        <v>3</v>
      </c>
      <c r="D40" s="4">
        <f>INDEX(Raw_Budget!D:D,MATCH(H40,Raw_Budget!I:I,0))</f>
        <v>127969.04</v>
      </c>
      <c r="E40" s="4">
        <f>INDEX(GL_Summary!D:D,MATCH(H40,GL_Summary!F:F,0))</f>
        <v>0</v>
      </c>
      <c r="F40" s="4" t="str">
        <f t="shared" si="0"/>
        <v>N/A</v>
      </c>
      <c r="G40" s="7" t="str">
        <f t="shared" si="1"/>
        <v>N/A</v>
      </c>
      <c r="H40" s="4" t="str">
        <f t="shared" si="2"/>
        <v>Sales20253</v>
      </c>
    </row>
    <row r="41" spans="1:8" x14ac:dyDescent="0.25">
      <c r="A41" s="4">
        <v>2025</v>
      </c>
      <c r="B41" s="4" t="s">
        <v>11</v>
      </c>
      <c r="C41" s="4">
        <v>4</v>
      </c>
      <c r="D41" s="4">
        <f>INDEX(Raw_Budget!D:D,MATCH(H41,Raw_Budget!I:I,0))</f>
        <v>98859.83</v>
      </c>
      <c r="E41" s="4">
        <f>INDEX(GL_Summary!D:D,MATCH(H41,GL_Summary!F:F,0))</f>
        <v>0</v>
      </c>
      <c r="F41" s="4" t="str">
        <f t="shared" si="0"/>
        <v>N/A</v>
      </c>
      <c r="G41" s="7" t="str">
        <f t="shared" si="1"/>
        <v>N/A</v>
      </c>
      <c r="H41" s="4" t="str">
        <f t="shared" si="2"/>
        <v>Sales20254</v>
      </c>
    </row>
    <row r="42" spans="1:8" x14ac:dyDescent="0.25">
      <c r="A42" s="4">
        <v>2025</v>
      </c>
      <c r="B42" s="4" t="s">
        <v>12</v>
      </c>
      <c r="C42" s="4">
        <v>1</v>
      </c>
      <c r="D42" s="4">
        <f>INDEX(Raw_Budget!D:D,MATCH(H42,Raw_Budget!I:I,0))</f>
        <v>75571.7</v>
      </c>
      <c r="E42" s="4">
        <f>INDEX(GL_Summary!D:D,MATCH(H42,GL_Summary!F:F,0))</f>
        <v>20273.316199999997</v>
      </c>
      <c r="F42" s="4">
        <f t="shared" si="0"/>
        <v>-55298.383799999996</v>
      </c>
      <c r="G42" s="7">
        <f t="shared" si="1"/>
        <v>-0.73173401948083738</v>
      </c>
      <c r="H42" s="4" t="str">
        <f t="shared" si="2"/>
        <v>Marketing20251</v>
      </c>
    </row>
    <row r="43" spans="1:8" x14ac:dyDescent="0.25">
      <c r="A43" s="4">
        <v>2025</v>
      </c>
      <c r="B43" s="4" t="s">
        <v>12</v>
      </c>
      <c r="C43" s="4">
        <v>2</v>
      </c>
      <c r="D43" s="4">
        <f>INDEX(Raw_Budget!D:D,MATCH(H43,Raw_Budget!I:I,0))</f>
        <v>130984.44</v>
      </c>
      <c r="E43" s="4">
        <f>INDEX(GL_Summary!D:D,MATCH(H43,GL_Summary!F:F,0))</f>
        <v>30844.409599999999</v>
      </c>
      <c r="F43" s="4">
        <f t="shared" si="0"/>
        <v>-100140.0304</v>
      </c>
      <c r="G43" s="7">
        <f t="shared" si="1"/>
        <v>-0.76451852143659205</v>
      </c>
      <c r="H43" s="4" t="str">
        <f t="shared" si="2"/>
        <v>Marketing20252</v>
      </c>
    </row>
    <row r="44" spans="1:8" x14ac:dyDescent="0.25">
      <c r="A44" s="4">
        <v>2025</v>
      </c>
      <c r="B44" s="4" t="s">
        <v>12</v>
      </c>
      <c r="C44" s="4">
        <v>3</v>
      </c>
      <c r="D44" s="4">
        <f>INDEX(Raw_Budget!D:D,MATCH(H44,Raw_Budget!I:I,0))</f>
        <v>89085.04</v>
      </c>
      <c r="E44" s="4">
        <f>INDEX(GL_Summary!D:D,MATCH(H44,GL_Summary!F:F,0))</f>
        <v>0</v>
      </c>
      <c r="F44" s="4" t="str">
        <f t="shared" si="0"/>
        <v>N/A</v>
      </c>
      <c r="G44" s="7" t="str">
        <f t="shared" si="1"/>
        <v>N/A</v>
      </c>
      <c r="H44" s="4" t="str">
        <f t="shared" si="2"/>
        <v>Marketing20253</v>
      </c>
    </row>
    <row r="45" spans="1:8" x14ac:dyDescent="0.25">
      <c r="A45" s="4">
        <v>2025</v>
      </c>
      <c r="B45" s="4" t="s">
        <v>12</v>
      </c>
      <c r="C45" s="4">
        <v>4</v>
      </c>
      <c r="D45" s="4">
        <f>INDEX(Raw_Budget!D:D,MATCH(H45,Raw_Budget!I:I,0))</f>
        <v>116081.08</v>
      </c>
      <c r="E45" s="4">
        <f>INDEX(GL_Summary!D:D,MATCH(H45,GL_Summary!F:F,0))</f>
        <v>0</v>
      </c>
      <c r="F45" s="4" t="str">
        <f t="shared" si="0"/>
        <v>N/A</v>
      </c>
      <c r="G45" s="7" t="str">
        <f t="shared" si="1"/>
        <v>N/A</v>
      </c>
      <c r="H45" s="4" t="str">
        <f t="shared" si="2"/>
        <v>Marketing20254</v>
      </c>
    </row>
    <row r="46" spans="1:8" x14ac:dyDescent="0.25">
      <c r="A46" s="4">
        <v>2025</v>
      </c>
      <c r="B46" s="4" t="s">
        <v>13</v>
      </c>
      <c r="C46" s="4">
        <v>1</v>
      </c>
      <c r="D46" s="4">
        <f>INDEX(Raw_Budget!D:D,MATCH(H46,Raw_Budget!I:I,0))</f>
        <v>64640.45</v>
      </c>
      <c r="E46" s="4">
        <f>INDEX(GL_Summary!D:D,MATCH(H46,GL_Summary!F:F,0))</f>
        <v>17750.595400000002</v>
      </c>
      <c r="F46" s="4">
        <f t="shared" si="0"/>
        <v>-46889.854599999991</v>
      </c>
      <c r="G46" s="7">
        <f t="shared" si="1"/>
        <v>-0.72539492840783126</v>
      </c>
      <c r="H46" s="4" t="str">
        <f t="shared" si="2"/>
        <v>Operations20251</v>
      </c>
    </row>
    <row r="47" spans="1:8" x14ac:dyDescent="0.25">
      <c r="A47" s="4">
        <v>2025</v>
      </c>
      <c r="B47" s="4" t="s">
        <v>13</v>
      </c>
      <c r="C47" s="4">
        <v>2</v>
      </c>
      <c r="D47" s="4">
        <f>INDEX(Raw_Budget!D:D,MATCH(H47,Raw_Budget!I:I,0))</f>
        <v>21211.21</v>
      </c>
      <c r="E47" s="4">
        <f>INDEX(GL_Summary!D:D,MATCH(H47,GL_Summary!F:F,0))</f>
        <v>11603.7572</v>
      </c>
      <c r="F47" s="4">
        <f t="shared" si="0"/>
        <v>-9607.4527999999991</v>
      </c>
      <c r="G47" s="7">
        <f t="shared" si="1"/>
        <v>-0.45294223196130723</v>
      </c>
      <c r="H47" s="4" t="str">
        <f t="shared" si="2"/>
        <v>Operations20252</v>
      </c>
    </row>
    <row r="48" spans="1:8" x14ac:dyDescent="0.25">
      <c r="A48" s="4">
        <v>2025</v>
      </c>
      <c r="B48" s="4" t="s">
        <v>13</v>
      </c>
      <c r="C48" s="4">
        <v>3</v>
      </c>
      <c r="D48" s="4">
        <f>INDEX(Raw_Budget!D:D,MATCH(H48,Raw_Budget!I:I,0))</f>
        <v>37532.769999999997</v>
      </c>
      <c r="E48" s="4">
        <f>INDEX(GL_Summary!D:D,MATCH(H48,GL_Summary!F:F,0))</f>
        <v>0</v>
      </c>
      <c r="F48" s="4" t="str">
        <f t="shared" si="0"/>
        <v>N/A</v>
      </c>
      <c r="G48" s="7" t="str">
        <f t="shared" si="1"/>
        <v>N/A</v>
      </c>
      <c r="H48" s="4" t="str">
        <f t="shared" si="2"/>
        <v>Operations20253</v>
      </c>
    </row>
    <row r="49" spans="1:8" x14ac:dyDescent="0.25">
      <c r="A49" s="4">
        <v>2025</v>
      </c>
      <c r="B49" s="4" t="s">
        <v>13</v>
      </c>
      <c r="C49" s="4">
        <v>4</v>
      </c>
      <c r="D49" s="4">
        <f>INDEX(Raw_Budget!D:D,MATCH(H49,Raw_Budget!I:I,0))</f>
        <v>28580.31</v>
      </c>
      <c r="E49" s="4">
        <f>INDEX(GL_Summary!D:D,MATCH(H49,GL_Summary!F:F,0))</f>
        <v>0</v>
      </c>
      <c r="F49" s="4" t="str">
        <f t="shared" si="0"/>
        <v>N/A</v>
      </c>
      <c r="G49" s="7" t="str">
        <f t="shared" si="1"/>
        <v>N/A</v>
      </c>
      <c r="H49" s="4" t="str">
        <f t="shared" si="2"/>
        <v>Operations20254</v>
      </c>
    </row>
  </sheetData>
  <conditionalFormatting sqref="G2:G49">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97FDC-32CF-4577-9B26-201044317B08}">
  <dimension ref="A3:D10"/>
  <sheetViews>
    <sheetView topLeftCell="A2" workbookViewId="0">
      <selection activeCell="B3" sqref="B3"/>
    </sheetView>
  </sheetViews>
  <sheetFormatPr defaultRowHeight="15" x14ac:dyDescent="0.25"/>
  <cols>
    <col min="1" max="1" width="13.42578125" bestFit="1" customWidth="1"/>
    <col min="2" max="2" width="18.5703125" bestFit="1" customWidth="1"/>
    <col min="3" max="3" width="17.85546875" bestFit="1" customWidth="1"/>
    <col min="4" max="4" width="20" bestFit="1" customWidth="1"/>
  </cols>
  <sheetData>
    <row r="3" spans="1:4" x14ac:dyDescent="0.25">
      <c r="A3" s="8" t="s">
        <v>5196</v>
      </c>
      <c r="B3" s="4" t="s">
        <v>5198</v>
      </c>
      <c r="C3" s="4" t="s">
        <v>5199</v>
      </c>
      <c r="D3" s="4" t="s">
        <v>5200</v>
      </c>
    </row>
    <row r="4" spans="1:4" x14ac:dyDescent="0.25">
      <c r="A4" s="9" t="s">
        <v>8</v>
      </c>
      <c r="B4" s="10">
        <v>642803.77999999991</v>
      </c>
      <c r="C4" s="10">
        <v>134610.3731</v>
      </c>
      <c r="D4" s="10">
        <v>-328414.92690000002</v>
      </c>
    </row>
    <row r="5" spans="1:4" x14ac:dyDescent="0.25">
      <c r="A5" s="9" t="s">
        <v>9</v>
      </c>
      <c r="B5" s="10">
        <v>528395.82999999996</v>
      </c>
      <c r="C5" s="10">
        <v>120959.51579999999</v>
      </c>
      <c r="D5" s="10">
        <v>-196707.08420000001</v>
      </c>
    </row>
    <row r="6" spans="1:4" x14ac:dyDescent="0.25">
      <c r="A6" s="9" t="s">
        <v>10</v>
      </c>
      <c r="B6" s="10">
        <v>560662.26</v>
      </c>
      <c r="C6" s="10">
        <v>123295.9768</v>
      </c>
      <c r="D6" s="10">
        <v>-366689.9632</v>
      </c>
    </row>
    <row r="7" spans="1:4" x14ac:dyDescent="0.25">
      <c r="A7" s="9" t="s">
        <v>12</v>
      </c>
      <c r="B7" s="10">
        <v>812792.96000000008</v>
      </c>
      <c r="C7" s="10">
        <v>128831.63620000001</v>
      </c>
      <c r="D7" s="10">
        <v>-478795.20380000002</v>
      </c>
    </row>
    <row r="8" spans="1:4" x14ac:dyDescent="0.25">
      <c r="A8" s="9" t="s">
        <v>13</v>
      </c>
      <c r="B8" s="10">
        <v>479846.31</v>
      </c>
      <c r="C8" s="10">
        <v>97392.138299999991</v>
      </c>
      <c r="D8" s="10">
        <v>-316341.09169999999</v>
      </c>
    </row>
    <row r="9" spans="1:4" x14ac:dyDescent="0.25">
      <c r="A9" s="9" t="s">
        <v>11</v>
      </c>
      <c r="B9" s="10">
        <v>712383.88</v>
      </c>
      <c r="C9" s="10">
        <v>116851.99709999999</v>
      </c>
      <c r="D9" s="10">
        <v>-368703.01289999997</v>
      </c>
    </row>
    <row r="10" spans="1:4" x14ac:dyDescent="0.25">
      <c r="A10" s="9" t="s">
        <v>5197</v>
      </c>
      <c r="B10" s="10">
        <v>3736885.02</v>
      </c>
      <c r="C10" s="10">
        <v>721941.63730000006</v>
      </c>
      <c r="D10" s="10">
        <v>-2055651.2827000001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A50F2-A201-46A3-BB8C-D662704CE4D5}">
  <dimension ref="A3:C14"/>
  <sheetViews>
    <sheetView topLeftCell="A11" workbookViewId="0">
      <selection activeCell="A3" sqref="A3"/>
    </sheetView>
  </sheetViews>
  <sheetFormatPr defaultRowHeight="15" x14ac:dyDescent="0.25"/>
  <cols>
    <col min="1" max="1" width="13.42578125" bestFit="1" customWidth="1"/>
    <col min="2" max="2" width="18.5703125" bestFit="1" customWidth="1"/>
    <col min="3" max="3" width="17.85546875" bestFit="1" customWidth="1"/>
  </cols>
  <sheetData>
    <row r="3" spans="1:3" x14ac:dyDescent="0.25">
      <c r="A3" s="8" t="s">
        <v>5196</v>
      </c>
      <c r="B3" s="4" t="s">
        <v>5198</v>
      </c>
      <c r="C3" s="4" t="s">
        <v>5199</v>
      </c>
    </row>
    <row r="4" spans="1:3" x14ac:dyDescent="0.25">
      <c r="A4" s="9">
        <v>2024</v>
      </c>
      <c r="B4" s="10">
        <v>1895459.62</v>
      </c>
      <c r="C4" s="10">
        <v>473537.67710000003</v>
      </c>
    </row>
    <row r="5" spans="1:3" x14ac:dyDescent="0.25">
      <c r="A5" s="11">
        <v>1</v>
      </c>
      <c r="B5" s="10">
        <v>338497.17</v>
      </c>
      <c r="C5" s="10">
        <v>109562.54400000002</v>
      </c>
    </row>
    <row r="6" spans="1:3" x14ac:dyDescent="0.25">
      <c r="A6" s="11">
        <v>2</v>
      </c>
      <c r="B6" s="10">
        <v>560141.43000000005</v>
      </c>
      <c r="C6" s="10">
        <v>120315.59860000001</v>
      </c>
    </row>
    <row r="7" spans="1:3" x14ac:dyDescent="0.25">
      <c r="A7" s="11">
        <v>3</v>
      </c>
      <c r="B7" s="10">
        <v>479210.88999999996</v>
      </c>
      <c r="C7" s="10">
        <v>124011.0932</v>
      </c>
    </row>
    <row r="8" spans="1:3" x14ac:dyDescent="0.25">
      <c r="A8" s="11">
        <v>4</v>
      </c>
      <c r="B8" s="10">
        <v>517610.13</v>
      </c>
      <c r="C8" s="10">
        <v>119648.44129999999</v>
      </c>
    </row>
    <row r="9" spans="1:3" x14ac:dyDescent="0.25">
      <c r="A9" s="9">
        <v>2025</v>
      </c>
      <c r="B9" s="10">
        <v>1841425.4000000001</v>
      </c>
      <c r="C9" s="10">
        <v>248403.96020000003</v>
      </c>
    </row>
    <row r="10" spans="1:3" x14ac:dyDescent="0.25">
      <c r="A10" s="11">
        <v>1</v>
      </c>
      <c r="B10" s="10">
        <v>498016.19000000006</v>
      </c>
      <c r="C10" s="10">
        <v>130913.61850000001</v>
      </c>
    </row>
    <row r="11" spans="1:3" x14ac:dyDescent="0.25">
      <c r="A11" s="11">
        <v>2</v>
      </c>
      <c r="B11" s="10">
        <v>384117.11000000004</v>
      </c>
      <c r="C11" s="10">
        <v>117490.34170000002</v>
      </c>
    </row>
    <row r="12" spans="1:3" x14ac:dyDescent="0.25">
      <c r="A12" s="11">
        <v>3</v>
      </c>
      <c r="B12" s="10">
        <v>458902.88</v>
      </c>
      <c r="C12" s="10">
        <v>0</v>
      </c>
    </row>
    <row r="13" spans="1:3" x14ac:dyDescent="0.25">
      <c r="A13" s="11">
        <v>4</v>
      </c>
      <c r="B13" s="10">
        <v>500389.22000000003</v>
      </c>
      <c r="C13" s="10">
        <v>0</v>
      </c>
    </row>
    <row r="14" spans="1:3" x14ac:dyDescent="0.25">
      <c r="A14" s="9" t="s">
        <v>5197</v>
      </c>
      <c r="B14" s="10">
        <v>3736885.02</v>
      </c>
      <c r="C14" s="10">
        <v>721941.63730000006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E3417-FB30-4B2B-8BE3-BD77BEB8EE97}">
  <dimension ref="A2:B13"/>
  <sheetViews>
    <sheetView topLeftCell="A9" workbookViewId="0">
      <selection activeCell="B14" sqref="B14"/>
    </sheetView>
  </sheetViews>
  <sheetFormatPr defaultRowHeight="15" x14ac:dyDescent="0.25"/>
  <cols>
    <col min="1" max="1" width="16" bestFit="1" customWidth="1"/>
    <col min="2" max="2" width="20" bestFit="1" customWidth="1"/>
  </cols>
  <sheetData>
    <row r="2" spans="1:2" x14ac:dyDescent="0.25">
      <c r="A2" s="8" t="s">
        <v>5196</v>
      </c>
      <c r="B2" t="s">
        <v>5200</v>
      </c>
    </row>
    <row r="3" spans="1:2" x14ac:dyDescent="0.25">
      <c r="A3" s="9" t="s">
        <v>5209</v>
      </c>
      <c r="B3" s="10">
        <v>-129846.26999999999</v>
      </c>
    </row>
    <row r="4" spans="1:2" x14ac:dyDescent="0.25">
      <c r="A4" s="9" t="s">
        <v>5205</v>
      </c>
      <c r="B4" s="10">
        <v>-117922.49399999999</v>
      </c>
    </row>
    <row r="5" spans="1:2" x14ac:dyDescent="0.25">
      <c r="A5" s="9" t="s">
        <v>5202</v>
      </c>
      <c r="B5" s="10">
        <v>-100375.0668</v>
      </c>
    </row>
    <row r="6" spans="1:2" x14ac:dyDescent="0.25">
      <c r="A6" s="9" t="s">
        <v>5207</v>
      </c>
      <c r="B6" s="10">
        <v>-100140.0304</v>
      </c>
    </row>
    <row r="7" spans="1:2" x14ac:dyDescent="0.25">
      <c r="A7" s="9" t="s">
        <v>5203</v>
      </c>
      <c r="B7" s="10">
        <v>-97659.008199999997</v>
      </c>
    </row>
    <row r="8" spans="1:2" x14ac:dyDescent="0.25">
      <c r="A8" s="9" t="s">
        <v>5201</v>
      </c>
      <c r="B8" s="10">
        <v>-91744.671000000002</v>
      </c>
    </row>
    <row r="9" spans="1:2" x14ac:dyDescent="0.25">
      <c r="A9" s="9" t="s">
        <v>5210</v>
      </c>
      <c r="B9" s="10">
        <v>-91605.535499999998</v>
      </c>
    </row>
    <row r="10" spans="1:2" x14ac:dyDescent="0.25">
      <c r="A10" s="9" t="s">
        <v>5204</v>
      </c>
      <c r="B10" s="10">
        <v>-90034.007800000007</v>
      </c>
    </row>
    <row r="11" spans="1:2" x14ac:dyDescent="0.25">
      <c r="A11" s="9" t="s">
        <v>5206</v>
      </c>
      <c r="B11" s="10">
        <v>-86474.732600000003</v>
      </c>
    </row>
    <row r="12" spans="1:2" x14ac:dyDescent="0.25">
      <c r="A12" s="9" t="s">
        <v>5208</v>
      </c>
      <c r="B12" s="10">
        <v>-86125.210299999992</v>
      </c>
    </row>
    <row r="13" spans="1:2" x14ac:dyDescent="0.25">
      <c r="A13" s="9" t="s">
        <v>5197</v>
      </c>
      <c r="B13" s="10">
        <v>-991927.0266000001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F3C3B-098B-4A69-B907-E1F92A80D58E}">
  <dimension ref="A3:B6"/>
  <sheetViews>
    <sheetView workbookViewId="0">
      <selection activeCell="A4" sqref="A4"/>
    </sheetView>
  </sheetViews>
  <sheetFormatPr defaultRowHeight="15" x14ac:dyDescent="0.25"/>
  <cols>
    <col min="1" max="1" width="13.42578125" bestFit="1" customWidth="1"/>
    <col min="2" max="2" width="19.28515625" bestFit="1" customWidth="1"/>
  </cols>
  <sheetData>
    <row r="3" spans="1:2" x14ac:dyDescent="0.25">
      <c r="A3" s="8" t="s">
        <v>5196</v>
      </c>
      <c r="B3" t="s">
        <v>5213</v>
      </c>
    </row>
    <row r="4" spans="1:2" x14ac:dyDescent="0.25">
      <c r="A4" s="9" t="s">
        <v>4096</v>
      </c>
      <c r="B4" s="10">
        <v>72347.805599999992</v>
      </c>
    </row>
    <row r="5" spans="1:2" x14ac:dyDescent="0.25">
      <c r="A5" s="9" t="s">
        <v>4066</v>
      </c>
      <c r="B5" s="10">
        <v>74634.966899999999</v>
      </c>
    </row>
    <row r="6" spans="1:2" x14ac:dyDescent="0.25">
      <c r="A6" s="9" t="s">
        <v>5197</v>
      </c>
      <c r="B6" s="10">
        <v>146982.77249999999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F191EF76F0BD48A3BD609FBB655177" ma:contentTypeVersion="5" ma:contentTypeDescription="Create a new document." ma:contentTypeScope="" ma:versionID="276c5f7203572e16f715a5fb1d7a979a">
  <xsd:schema xmlns:xsd="http://www.w3.org/2001/XMLSchema" xmlns:xs="http://www.w3.org/2001/XMLSchema" xmlns:p="http://schemas.microsoft.com/office/2006/metadata/properties" xmlns:ns3="193402ee-8a3f-4edd-ac08-f500e71536ea" targetNamespace="http://schemas.microsoft.com/office/2006/metadata/properties" ma:root="true" ma:fieldsID="beb124b9cad53266b1f94fe81e56ae82" ns3:_="">
    <xsd:import namespace="193402ee-8a3f-4edd-ac08-f500e71536e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3402ee-8a3f-4edd-ac08-f500e71536e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93402ee-8a3f-4edd-ac08-f500e71536ea" xsi:nil="true"/>
  </documentManagement>
</p:properties>
</file>

<file path=customXml/itemProps1.xml><?xml version="1.0" encoding="utf-8"?>
<ds:datastoreItem xmlns:ds="http://schemas.openxmlformats.org/officeDocument/2006/customXml" ds:itemID="{DAF808E1-83E3-4EF1-B2D8-E69079FF82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3402ee-8a3f-4edd-ac08-f500e71536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BDAE316-2880-4DFB-BEC4-0D337A88781F}">
  <ds:schemaRefs>
    <ds:schemaRef ds:uri="http://schemas.microsoft.com/sharepoint/v3/contenttype/forms"/>
  </ds:schemaRefs>
</ds:datastoreItem>
</file>

<file path=customXml/itemProps3.xml><?xml version="1.0" encoding="utf-8"?>
<ds:datastoreItem xmlns:ds="http://schemas.openxmlformats.org/officeDocument/2006/customXml" ds:itemID="{A5D4CBA5-6E9E-4466-A891-B526DBFEF94C}">
  <ds:schemaRefs>
    <ds:schemaRef ds:uri="http://www.w3.org/XML/1998/namespace"/>
    <ds:schemaRef ds:uri="http://purl.org/dc/elements/1.1/"/>
    <ds:schemaRef ds:uri="193402ee-8a3f-4edd-ac08-f500e71536ea"/>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Insights</vt:lpstr>
      <vt:lpstr>Raw_Budget</vt:lpstr>
      <vt:lpstr>Raw_GeneralLedger</vt:lpstr>
      <vt:lpstr>Raw_ExpenseClaims</vt:lpstr>
      <vt:lpstr>Data Quality Check</vt:lpstr>
      <vt:lpstr>Exchange_Rates</vt:lpstr>
      <vt:lpstr>GL_Summary</vt:lpstr>
      <vt:lpstr>Variance_Analysis</vt:lpstr>
      <vt:lpstr>Pivot by Dept </vt:lpstr>
      <vt:lpstr>Pivot Trend</vt:lpstr>
      <vt:lpstr>Pivot Ranking</vt:lpstr>
      <vt:lpstr>Pivot ExpensebyCat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Aryelle Leite De Almeida</dc:creator>
  <cp:lastModifiedBy>Aryelle Leite De Almeida</cp:lastModifiedBy>
  <cp:lastPrinted>2026-07-07T18:42:16Z</cp:lastPrinted>
  <dcterms:created xsi:type="dcterms:W3CDTF">2026-07-07T18:32:35Z</dcterms:created>
  <dcterms:modified xsi:type="dcterms:W3CDTF">2026-07-13T17:58:47Z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0x0101000CF191EF76F0BD48A3BD609FBB655177</vt:lpwstr>
  </property>
</Properties>
</file>